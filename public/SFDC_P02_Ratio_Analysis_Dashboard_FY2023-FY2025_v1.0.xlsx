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ocumentation" sheetId="2" state="visible" r:id="rId4"/>
    <sheet name="Dashboard" sheetId="3" state="visible" r:id="rId5"/>
    <sheet name="Ratios" sheetId="4" state="visible" r:id="rId6"/>
    <sheet name="Scorecard" sheetId="5" state="visible" r:id="rId7"/>
    <sheet name="DuPont" sheetId="6" state="visible" r:id="rId8"/>
    <sheet name="Credit_Risk" sheetId="7" state="visible" r:id="rId9"/>
    <sheet name="Sensitivity" sheetId="8" state="visible" r:id="rId10"/>
    <sheet name="FS_Data" sheetId="9" state="visible" r:id="rId11"/>
    <sheet name="Benchmarks" sheetId="10" state="visible" r:id="rId12"/>
    <sheet name="Chart_Data" sheetId="11" state="visible" r:id="rId13"/>
    <sheet name="Lists" sheetId="12" state="visible" r:id="rId14"/>
    <sheet name="Checks" sheetId="13" state="visible" r:id="rId15"/>
  </sheets>
  <definedNames>
    <definedName function="false" hidden="false" name="Bench_Set" vbProcedure="false">Scorecard!$C$5</definedName>
    <definedName function="false" hidden="false" name="Dash_Year" vbProcedure="false">Dashboard!$C$5</definedName>
    <definedName function="false" hidden="false" name="Dp_From" vbProcedure="false">DuPont!$D$16</definedName>
    <definedName function="false" hidden="false" name="Dp_To" vbProcedure="false">DuPont!$D$17</definedName>
    <definedName function="false" hidden="false" name="FY_List" vbProcedure="false">Lists!$A$5:$A$7</definedName>
    <definedName function="false" hidden="false" name="Grade_Desc" vbProcedure="false">Lists!$G$5:$G$9</definedName>
    <definedName function="false" hidden="false" name="Grade_Floor" vbProcedure="false">Lists!$E$5:$E$9</definedName>
    <definedName function="false" hidden="false" name="Grade_Letter" vbProcedure="false">Lists!$F$5:$F$9</definedName>
    <definedName function="false" hidden="false" name="Model_Status" vbProcedure="false">Checks!$C$4</definedName>
    <definedName function="false" hidden="false" name="Sens_Year" vbProcedure="false">Sensitivity!$C$5</definedName>
    <definedName function="false" hidden="false" name="Set_Idx" vbProcedure="false">Scorecard!$C$6</definedName>
    <definedName function="false" hidden="false" name="Set_List" vbProcedure="false">Lists!$C$5:$C$7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<sst xmlns="http://schemas.openxmlformats.org/spreadsheetml/2006/main" count="515" uniqueCount="370">
  <si>
    <t xml:space="preserve">PORTFOLIO PROJECT 02</t>
  </si>
  <si>
    <t xml:space="preserve">Ratio Analysis Dashboard</t>
  </si>
  <si>
    <t xml:space="preserve">Sampaguita Foods &amp; Distribution Corporation (SFDC)</t>
  </si>
  <si>
    <t xml:space="preserve">Benchmark scoring, DuPont, covenant and credit-risk analysis built on the Project 1 financial statements</t>
  </si>
  <si>
    <t xml:space="preserve">Prepared by Bengie Hirnani  |  Version 1.0  |  PHP in thousands</t>
  </si>
  <si>
    <t xml:space="preserve">Model status</t>
  </si>
  <si>
    <t xml:space="preserve">Scope</t>
  </si>
  <si>
    <t xml:space="preserve">35 ratios, a weighted 0-100 benchmark scorecard with selectable benchmark sets, five-step DuPont with attribution, Altman Z''-score, bank covenant headroom, what-if sensitivity and an interactive dashboard with 8 charts.</t>
  </si>
  <si>
    <t xml:space="preserve">Data notice</t>
  </si>
  <si>
    <t xml:space="preserve">The company and its figures are fictional and tie to the Project 1 workbook (control totals on Checks). Benchmarks are illustrative - replace with peer or lender data.</t>
  </si>
  <si>
    <t xml:space="preserve">NAVIGATION - click a button to jump to a sheet</t>
  </si>
  <si>
    <t xml:space="preserve">DASHBOARD</t>
  </si>
  <si>
    <t xml:space="preserve">Executive ratio dashboard with year selector, health score and 8 charts</t>
  </si>
  <si>
    <t xml:space="preserve">ANALYSIS</t>
  </si>
  <si>
    <t xml:space="preserve">35 ratios across profitability, liquidity, solvency, efficiency and cash flow</t>
  </si>
  <si>
    <t xml:space="preserve">Weighted benchmark scoring (0-100), category scores and letter grade</t>
  </si>
  <si>
    <t xml:space="preserve">Five-step DuPont analysis with driver attribution of ROE change</t>
  </si>
  <si>
    <t xml:space="preserve">Altman Z''-score and bank covenant compliance with headroom</t>
  </si>
  <si>
    <t xml:space="preserve">What-if analysis: sales, margin, opex, DSO, DIO and interest rate shocks</t>
  </si>
  <si>
    <t xml:space="preserve">DATA AND CONTROLS</t>
  </si>
  <si>
    <t xml:space="preserve">Condensed financial statements from Project 1 (inputs)</t>
  </si>
  <si>
    <t xml:space="preserve">Three benchmark sets, weights and direction</t>
  </si>
  <si>
    <t xml:space="preserve">Helper tables for dashboard charts</t>
  </si>
  <si>
    <t xml:space="preserve">Drop-down lists and grade table</t>
  </si>
  <si>
    <t xml:space="preserve">Model integrity checks</t>
  </si>
  <si>
    <t xml:space="preserve">Purpose, method, conventions, how to update</t>
  </si>
  <si>
    <t xml:space="preserve">Model Documentation</t>
  </si>
  <si>
    <t xml:space="preserve">Sampaguita Foods &amp; Distribution Corporation (SFDC)  |  PHP in thousands</t>
  </si>
  <si>
    <t xml:space="preserve">1. PURPOSE</t>
  </si>
  <si>
    <t xml:space="preserve">Objective</t>
  </si>
  <si>
    <t xml:space="preserve">Turn the Project 1 financial statements into a decision-ready ratio dashboard: what the ratios say, how they compare with a benchmark, why return on equity moved, how close the company is to bank covenants, and what happens under stress.</t>
  </si>
  <si>
    <t xml:space="preserve">Source data</t>
  </si>
  <si>
    <t xml:space="preserve">FS_Data holds condensed statements copied from the Project 1 workbook (blue cells). Subtotals are recalculated here and reconciled to Project 1 control totals on Checks.</t>
  </si>
  <si>
    <t xml:space="preserve">2. HOW IT WORKS</t>
  </si>
  <si>
    <t xml:space="preserve">Ratios</t>
  </si>
  <si>
    <t xml:space="preserve">35 ratios in five families, each with its definition. Averages use opening and closing balances.</t>
  </si>
  <si>
    <t xml:space="preserve">Scorecard</t>
  </si>
  <si>
    <t xml:space="preserve">Each of 17 key ratios is scored 0-100 (100 when the benchmark is met, scaled proportionally otherwise), weighted, rolled up to four category scores and an overall score with a letter grade. Choose the benchmark set on the Scorecard sheet.</t>
  </si>
  <si>
    <t xml:space="preserve">DuPont</t>
  </si>
  <si>
    <t xml:space="preserve">ROE is split into tax burden, interest burden, EBIT margin, asset turnover and equity multiplier. The change between any two years is attributed to each driver with an exact log-decomposition.</t>
  </si>
  <si>
    <t xml:space="preserve">Credit risk</t>
  </si>
  <si>
    <t xml:space="preserve">Altman Z''-score (emerging-market model) and four illustrative bank covenants with headroom and early-warning colouring.</t>
  </si>
  <si>
    <t xml:space="preserve">Sensitivity</t>
  </si>
  <si>
    <t xml:space="preserve">Shock net sales, gross margin, operating expenses, DSO, DIO and interest rates to see pro-forma ratios and covenant tests.</t>
  </si>
  <si>
    <t xml:space="preserve">3. CONVENTIONS</t>
  </si>
  <si>
    <t xml:space="preserve">Colours</t>
  </si>
  <si>
    <t xml:space="preserve">Blue = input; black = formula; green = link to another sheet; yellow fill = selector or key assumption.</t>
  </si>
  <si>
    <t xml:space="preserve">Signs</t>
  </si>
  <si>
    <t xml:space="preserve">Expenses are negative in FS_Data (as in Project 1) and positive inside ratio formulas where noted.</t>
  </si>
  <si>
    <t xml:space="preserve">Controls</t>
  </si>
  <si>
    <t xml:space="preserve">Drop-downs for year, benchmark set and DuPont years; data validation on weights and direction; IFERROR on every ratio; model-status banner from the Checks sheet.</t>
  </si>
  <si>
    <t xml:space="preserve">4. HOW TO UPDATE</t>
  </si>
  <si>
    <t xml:space="preserve">New data</t>
  </si>
  <si>
    <t xml:space="preserve">Overwrite the blue cells on FS_Data with new statements (or a different company) and keep the Checks banner green.</t>
  </si>
  <si>
    <t xml:space="preserve">Benchmarks</t>
  </si>
  <si>
    <t xml:space="preserve">Edit the Benchmarks sheet - weights, direction and the three reference sets.</t>
  </si>
  <si>
    <t xml:space="preserve">Google Sheets</t>
  </si>
  <si>
    <t xml:space="preserve">The workbook uses standard functions only (no macros), so it opens in Google Sheets; re-apply the chart styling if needed.</t>
  </si>
  <si>
    <t xml:space="preserve">Fiscal year</t>
  </si>
  <si>
    <t xml:space="preserve">Benchmark set</t>
  </si>
  <si>
    <t xml:space="preserve">Model integrity</t>
  </si>
  <si>
    <t xml:space="preserve">FINANCIAL HEALTH SCORE</t>
  </si>
  <si>
    <t xml:space="preserve">RETURN ON EQUITY</t>
  </si>
  <si>
    <t xml:space="preserve">NET PROFIT MARGIN</t>
  </si>
  <si>
    <t xml:space="preserve">CURRENT RATIO</t>
  </si>
  <si>
    <t xml:space="preserve">BORROWINGS-TO-EQUITY</t>
  </si>
  <si>
    <t xml:space="preserve">INTEREST COVER</t>
  </si>
  <si>
    <t xml:space="preserve">CASH CONVERSION CYCLE (DAYS)</t>
  </si>
  <si>
    <t xml:space="preserve">ALTMAN Z''-SCORE</t>
  </si>
  <si>
    <t xml:space="preserve">KEY INSIGHTS (update automatically with the selected year)</t>
  </si>
  <si>
    <t xml:space="preserve">Ratio Analysis</t>
  </si>
  <si>
    <t xml:space="preserve">Sampaguita Foods &amp; Distribution Corporation (SFDC)  |  PHP in thousands  |  Averages use opening and closing balances</t>
  </si>
  <si>
    <t xml:space="preserve">Ratio</t>
  </si>
  <si>
    <t xml:space="preserve">Category</t>
  </si>
  <si>
    <t xml:space="preserve">Change FY25 vs FY24</t>
  </si>
  <si>
    <t xml:space="preserve">Definition</t>
  </si>
  <si>
    <t xml:space="preserve">PROFITABILITY</t>
  </si>
  <si>
    <t xml:space="preserve">Gross profit margin</t>
  </si>
  <si>
    <t xml:space="preserve">Profitability</t>
  </si>
  <si>
    <t xml:space="preserve">Gross profit / net sales</t>
  </si>
  <si>
    <t xml:space="preserve">EBITDA margin</t>
  </si>
  <si>
    <t xml:space="preserve">EBITDA / net sales</t>
  </si>
  <si>
    <t xml:space="preserve">Operating profit margin</t>
  </si>
  <si>
    <t xml:space="preserve">Operating profit / net sales</t>
  </si>
  <si>
    <t xml:space="preserve">Net profit margin</t>
  </si>
  <si>
    <t xml:space="preserve">Net profit / net sales</t>
  </si>
  <si>
    <t xml:space="preserve">Return on assets (average)</t>
  </si>
  <si>
    <t xml:space="preserve">Net profit / average total assets</t>
  </si>
  <si>
    <t xml:space="preserve">Return on equity (average)</t>
  </si>
  <si>
    <t xml:space="preserve">Net profit / average equity</t>
  </si>
  <si>
    <t xml:space="preserve">Return on capital employed</t>
  </si>
  <si>
    <t xml:space="preserve">EBIT / (total assets - current liabilities)</t>
  </si>
  <si>
    <t xml:space="preserve">LIQUIDITY</t>
  </si>
  <si>
    <t xml:space="preserve">Current ratio</t>
  </si>
  <si>
    <t xml:space="preserve">Liquidity</t>
  </si>
  <si>
    <t xml:space="preserve">Current assets / current liabilities</t>
  </si>
  <si>
    <t xml:space="preserve">Quick ratio</t>
  </si>
  <si>
    <t xml:space="preserve">(Cash + receivables) / current liabilities</t>
  </si>
  <si>
    <t xml:space="preserve">Cash ratio</t>
  </si>
  <si>
    <t xml:space="preserve">Cash / current liabilities</t>
  </si>
  <si>
    <t xml:space="preserve">Working capital (PHP '000)</t>
  </si>
  <si>
    <t xml:space="preserve">Current assets - current liabilities</t>
  </si>
  <si>
    <t xml:space="preserve">Operating cash flow ratio</t>
  </si>
  <si>
    <t xml:space="preserve">Operating cash flow / current liabilities</t>
  </si>
  <si>
    <t xml:space="preserve">SOLVENCY AND COVERAGE</t>
  </si>
  <si>
    <t xml:space="preserve">Borrowings-to-equity</t>
  </si>
  <si>
    <t xml:space="preserve">Solvency</t>
  </si>
  <si>
    <t xml:space="preserve">Total borrowings / total equity</t>
  </si>
  <si>
    <t xml:space="preserve">Total liabilities-to-equity</t>
  </si>
  <si>
    <t xml:space="preserve">Total liabilities / total equity</t>
  </si>
  <si>
    <t xml:space="preserve">Debt ratio</t>
  </si>
  <si>
    <t xml:space="preserve">Total liabilities / total assets</t>
  </si>
  <si>
    <t xml:space="preserve">Equity ratio</t>
  </si>
  <si>
    <t xml:space="preserve">Total equity / total assets</t>
  </si>
  <si>
    <t xml:space="preserve">Interest cover</t>
  </si>
  <si>
    <t xml:space="preserve">EBIT / finance costs</t>
  </si>
  <si>
    <t xml:space="preserve">EBITDA interest cover</t>
  </si>
  <si>
    <t xml:space="preserve">EBITDA / finance costs</t>
  </si>
  <si>
    <t xml:space="preserve">Net debt / EBITDA</t>
  </si>
  <si>
    <t xml:space="preserve">(Borrowings - cash) / EBITDA</t>
  </si>
  <si>
    <t xml:space="preserve">Debt service cover ratio</t>
  </si>
  <si>
    <t xml:space="preserve">EBITDA / (finance costs + principal repaid)</t>
  </si>
  <si>
    <t xml:space="preserve">EFFICIENCY</t>
  </si>
  <si>
    <t xml:space="preserve">Receivables turnover</t>
  </si>
  <si>
    <t xml:space="preserve">Efficiency</t>
  </si>
  <si>
    <t xml:space="preserve">Net sales / average receivables</t>
  </si>
  <si>
    <t xml:space="preserve">Days sales outstanding</t>
  </si>
  <si>
    <t xml:space="preserve">365 / receivables turnover</t>
  </si>
  <si>
    <t xml:space="preserve">Inventory turnover</t>
  </si>
  <si>
    <t xml:space="preserve">Cost of sales / average inventories</t>
  </si>
  <si>
    <t xml:space="preserve">Days inventory outstanding</t>
  </si>
  <si>
    <t xml:space="preserve">365 / inventory turnover</t>
  </si>
  <si>
    <t xml:space="preserve">Payables turnover</t>
  </si>
  <si>
    <t xml:space="preserve">Cost of sales / average payables</t>
  </si>
  <si>
    <t xml:space="preserve">Days payables outstanding</t>
  </si>
  <si>
    <t xml:space="preserve">365 / payables turnover</t>
  </si>
  <si>
    <t xml:space="preserve">Cash conversion cycle (days)</t>
  </si>
  <si>
    <t xml:space="preserve">DSO + DIO - DPO</t>
  </si>
  <si>
    <t xml:space="preserve">Total asset turnover</t>
  </si>
  <si>
    <t xml:space="preserve">Net sales / average total assets</t>
  </si>
  <si>
    <t xml:space="preserve">Fixed asset turnover</t>
  </si>
  <si>
    <t xml:space="preserve">Net sales / average net PPE</t>
  </si>
  <si>
    <t xml:space="preserve">CASH FLOW QUALITY</t>
  </si>
  <si>
    <t xml:space="preserve">Free cash flow (PHP '000)</t>
  </si>
  <si>
    <t xml:space="preserve">Cash</t>
  </si>
  <si>
    <t xml:space="preserve">Operating cash flow - capital expenditure</t>
  </si>
  <si>
    <t xml:space="preserve">Free cash flow margin</t>
  </si>
  <si>
    <t xml:space="preserve">Free cash flow / net sales</t>
  </si>
  <si>
    <t xml:space="preserve">Cash conversion (CFO / net profit)</t>
  </si>
  <si>
    <t xml:space="preserve">Operating cash flow / net profit</t>
  </si>
  <si>
    <t xml:space="preserve">Benchmark Scorecard</t>
  </si>
  <si>
    <t xml:space="preserve">Sampaguita Foods &amp; Distribution Corporation (SFDC)  |  PHP in thousands  |  Score = 100 when the benchmark is met, scaled down proportionally otherwise</t>
  </si>
  <si>
    <t xml:space="preserve">Top quartile</t>
  </si>
  <si>
    <t xml:space="preserve">Set index (helper)</t>
  </si>
  <si>
    <t xml:space="preserve">Ratio value</t>
  </si>
  <si>
    <t xml:space="preserve">Score (0-100)</t>
  </si>
  <si>
    <t xml:space="preserve">Weight</t>
  </si>
  <si>
    <t xml:space="preserve">Benchmark</t>
  </si>
  <si>
    <t xml:space="preserve">Better if</t>
  </si>
  <si>
    <t xml:space="preserve">CATEGORY SCORES AND OVERALL RATING</t>
  </si>
  <si>
    <t xml:space="preserve">Overall health score</t>
  </si>
  <si>
    <t xml:space="preserve">Letter grade</t>
  </si>
  <si>
    <t xml:space="preserve">Rating</t>
  </si>
  <si>
    <t xml:space="preserve">DuPont Analysis (five-step)</t>
  </si>
  <si>
    <t xml:space="preserve">Sampaguita Foods &amp; Distribution Corporation (SFDC)  |  PHP in thousands  |  ROE = tax burden x interest burden x EBIT margin x asset turnover x equity multiplier</t>
  </si>
  <si>
    <t xml:space="preserve">Driver</t>
  </si>
  <si>
    <t xml:space="preserve">Tax burden (net profit / profit before tax)</t>
  </si>
  <si>
    <t xml:space="preserve">Interest burden (profit before tax / EBIT)</t>
  </si>
  <si>
    <t xml:space="preserve">EBIT margin (EBIT / net sales)</t>
  </si>
  <si>
    <t xml:space="preserve">Asset turnover (net sales / average assets)</t>
  </si>
  <si>
    <t xml:space="preserve">Equity multiplier (average assets / average equity)</t>
  </si>
  <si>
    <t xml:space="preserve">Return on equity (product of drivers)</t>
  </si>
  <si>
    <t xml:space="preserve">ROE per Ratios sheet</t>
  </si>
  <si>
    <t xml:space="preserve">Difference (should be 0)</t>
  </si>
  <si>
    <t xml:space="preserve">ATTRIBUTION OF THE CHANGE IN ROE (log-decomposition, sums exactly to the change)</t>
  </si>
  <si>
    <t xml:space="preserve">From year</t>
  </si>
  <si>
    <t xml:space="preserve">To year</t>
  </si>
  <si>
    <t xml:space="preserve">From</t>
  </si>
  <si>
    <t xml:space="preserve">To</t>
  </si>
  <si>
    <t xml:space="preserve">Contribution to change in ROE (pts)</t>
  </si>
  <si>
    <t xml:space="preserve">Tax burden</t>
  </si>
  <si>
    <t xml:space="preserve">Interest burden</t>
  </si>
  <si>
    <t xml:space="preserve">EBIT margin</t>
  </si>
  <si>
    <t xml:space="preserve">Asset turnover</t>
  </si>
  <si>
    <t xml:space="preserve">Equity multiplier</t>
  </si>
  <si>
    <t xml:space="preserve">Return on equity</t>
  </si>
  <si>
    <t xml:space="preserve">Change in ROE</t>
  </si>
  <si>
    <t xml:space="preserve">Attribution check (should be 0)</t>
  </si>
  <si>
    <t xml:space="preserve">Credit Risk: Altman Z''-Score and Covenant Compliance</t>
  </si>
  <si>
    <t xml:space="preserve">A. Altman Z''-score (emerging-market model)</t>
  </si>
  <si>
    <t xml:space="preserve">Coefficient</t>
  </si>
  <si>
    <t xml:space="preserve">X1 Working capital / total assets</t>
  </si>
  <si>
    <t xml:space="preserve">X2 Retained earnings / total assets</t>
  </si>
  <si>
    <t xml:space="preserve">X3 EBIT / total assets</t>
  </si>
  <si>
    <t xml:space="preserve">X4 Equity / total liabilities</t>
  </si>
  <si>
    <t xml:space="preserve">Constant (emerging markets)</t>
  </si>
  <si>
    <t xml:space="preserve">Z''-score</t>
  </si>
  <si>
    <t xml:space="preserve">Z'' = 3.25 + 6.56 X1 + 3.26 X2 + 6.72 X3 + 1.05 X4. Zones: above 5.85 safe; 4.15-5.85 grey; below 4.15 distress.</t>
  </si>
  <si>
    <t xml:space="preserve">Zone</t>
  </si>
  <si>
    <t xml:space="preserve">Safe-zone floor / distress ceiling</t>
  </si>
  <si>
    <t xml:space="preserve">B. Bank covenant compliance (illustrative terms)</t>
  </si>
  <si>
    <t xml:space="preserve">Threshold</t>
  </si>
  <si>
    <t xml:space="preserve">Test</t>
  </si>
  <si>
    <t xml:space="preserve">Current ratio (at least)</t>
  </si>
  <si>
    <t xml:space="preserve">Min</t>
  </si>
  <si>
    <t xml:space="preserve">Borrowings-to-equity (at most)</t>
  </si>
  <si>
    <t xml:space="preserve">Max</t>
  </si>
  <si>
    <t xml:space="preserve">Interest cover (at least)</t>
  </si>
  <si>
    <t xml:space="preserve">Debt service cover ratio (at least)</t>
  </si>
  <si>
    <t xml:space="preserve">Headroom vs covenant (positive = compliant)</t>
  </si>
  <si>
    <t xml:space="preserve">Status FY2025</t>
  </si>
  <si>
    <t xml:space="preserve">Colour key: green = more than 15% headroom; amber = 0-15% headroom (early-warning); red = breach.</t>
  </si>
  <si>
    <t xml:space="preserve">What-if Sensitivity Analysis</t>
  </si>
  <si>
    <t xml:space="preserve">Sampaguita Foods &amp; Distribution Corporation (SFDC)  |  PHP in thousands  |  Change the yellow cells; pro-forma results recalculate</t>
  </si>
  <si>
    <t xml:space="preserve">Base year</t>
  </si>
  <si>
    <t xml:space="preserve">SCENARIO SHOCKS (inputs)</t>
  </si>
  <si>
    <t xml:space="preserve">Change in net sales (%)</t>
  </si>
  <si>
    <t xml:space="preserve">Example: -10% net sales, -1.0% gross margin points, +5 DSO days.</t>
  </si>
  <si>
    <t xml:space="preserve">Change in gross margin (percentage points)</t>
  </si>
  <si>
    <t xml:space="preserve">Defaults are zero so the pro-forma equals the base case.</t>
  </si>
  <si>
    <t xml:space="preserve">Change in operating expenses, excl. depreciation (%)</t>
  </si>
  <si>
    <t xml:space="preserve">Change in days sales outstanding (days)</t>
  </si>
  <si>
    <t xml:space="preserve">Change in days inventory outstanding (days)</t>
  </si>
  <si>
    <t xml:space="preserve">Change in interest rate on borrowings (points)</t>
  </si>
  <si>
    <t xml:space="preserve">PHP '000 unless stated</t>
  </si>
  <si>
    <t xml:space="preserve">Base</t>
  </si>
  <si>
    <t xml:space="preserve">Pro-forma</t>
  </si>
  <si>
    <t xml:space="preserve">Change</t>
  </si>
  <si>
    <t xml:space="preserve">Net sales</t>
  </si>
  <si>
    <t xml:space="preserve">Gross profit</t>
  </si>
  <si>
    <t xml:space="preserve">Gross margin</t>
  </si>
  <si>
    <t xml:space="preserve">Operating expenses (excl. depreciation)</t>
  </si>
  <si>
    <t xml:space="preserve">Depreciation</t>
  </si>
  <si>
    <t xml:space="preserve">EBIT</t>
  </si>
  <si>
    <t xml:space="preserve">Finance costs</t>
  </si>
  <si>
    <t xml:space="preserve">Profit before tax</t>
  </si>
  <si>
    <t xml:space="preserve">Income tax (at base effective rate)</t>
  </si>
  <si>
    <t xml:space="preserve">Net profit</t>
  </si>
  <si>
    <t xml:space="preserve">Trade receivables</t>
  </si>
  <si>
    <t xml:space="preserve">Inventories</t>
  </si>
  <si>
    <t xml:space="preserve">Cash (adjusted for profit and working capital)</t>
  </si>
  <si>
    <t xml:space="preserve">Current assets</t>
  </si>
  <si>
    <t xml:space="preserve">Current liabilities</t>
  </si>
  <si>
    <t xml:space="preserve">Total equity</t>
  </si>
  <si>
    <t xml:space="preserve">Total borrowings</t>
  </si>
  <si>
    <t xml:space="preserve">PRO-FORMA RATIOS AND COVENANT TESTS</t>
  </si>
  <si>
    <t xml:space="preserve">Return on equity (year-end equity)</t>
  </si>
  <si>
    <t xml:space="preserve">Interest cover (EBIT / finance costs)</t>
  </si>
  <si>
    <t xml:space="preserve">Covenant: current ratio</t>
  </si>
  <si>
    <t xml:space="preserve">Covenant: borrowings-to-equity</t>
  </si>
  <si>
    <t xml:space="preserve">Covenant: interest cover</t>
  </si>
  <si>
    <t xml:space="preserve">Simplifications: tax at the base effective rate; payables and equity move only through profit; current liabilities unchanged. Use as a directional stress test.</t>
  </si>
  <si>
    <t xml:space="preserve">Financial Statement Data (from Project 1)</t>
  </si>
  <si>
    <t xml:space="preserve">Sampaguita Foods &amp; Distribution Corporation (SFDC)  |  PHP in thousands  |  Blue = hard-coded from the Project 1 workbook; totals are recalculated here</t>
  </si>
  <si>
    <t xml:space="preserve">PHP '000</t>
  </si>
  <si>
    <t xml:space="preserve">INCOME STATEMENT</t>
  </si>
  <si>
    <t xml:space="preserve">Cost of sales</t>
  </si>
  <si>
    <t xml:space="preserve">Selling and distribution expenses</t>
  </si>
  <si>
    <t xml:space="preserve">General and administrative expenses</t>
  </si>
  <si>
    <t xml:space="preserve">Operating profit</t>
  </si>
  <si>
    <t xml:space="preserve">Gain / (loss) on disposal</t>
  </si>
  <si>
    <t xml:space="preserve">Other income</t>
  </si>
  <si>
    <t xml:space="preserve">EBITDA</t>
  </si>
  <si>
    <t xml:space="preserve">Interest income</t>
  </si>
  <si>
    <t xml:space="preserve">Profit before income tax</t>
  </si>
  <si>
    <t xml:space="preserve">Income tax expense</t>
  </si>
  <si>
    <t xml:space="preserve">STATEMENT OF FINANCIAL POSITION</t>
  </si>
  <si>
    <t xml:space="preserve">Cash and cash equivalents</t>
  </si>
  <si>
    <t xml:space="preserve">Trade and other receivables</t>
  </si>
  <si>
    <t xml:space="preserve">Prepayments and other current assets</t>
  </si>
  <si>
    <t xml:space="preserve">Total current assets</t>
  </si>
  <si>
    <t xml:space="preserve">Property, plant and equipment, net</t>
  </si>
  <si>
    <t xml:space="preserve">Other non-current assets</t>
  </si>
  <si>
    <t xml:space="preserve">Total assets</t>
  </si>
  <si>
    <t xml:space="preserve">Trade and other payables</t>
  </si>
  <si>
    <t xml:space="preserve">Accrued expenses</t>
  </si>
  <si>
    <t xml:space="preserve">Income tax payable</t>
  </si>
  <si>
    <t xml:space="preserve">Short-term loans</t>
  </si>
  <si>
    <t xml:space="preserve">Current portion of long-term loans</t>
  </si>
  <si>
    <t xml:space="preserve">Total current liabilities</t>
  </si>
  <si>
    <t xml:space="preserve">Long-term loans, net of current portion</t>
  </si>
  <si>
    <t xml:space="preserve">Total liabilities</t>
  </si>
  <si>
    <t xml:space="preserve">Share capital</t>
  </si>
  <si>
    <t xml:space="preserve">Additional paid-in capital</t>
  </si>
  <si>
    <t xml:space="preserve">Retained earnings</t>
  </si>
  <si>
    <t xml:space="preserve">Total liabilities and equity</t>
  </si>
  <si>
    <t xml:space="preserve">Memo: total borrowings</t>
  </si>
  <si>
    <t xml:space="preserve">CASH FLOW SUMMARY</t>
  </si>
  <si>
    <t xml:space="preserve">Net cash from operating activities</t>
  </si>
  <si>
    <t xml:space="preserve">Purchase of property, plant and equipment</t>
  </si>
  <si>
    <t xml:space="preserve">Net cash used in investing activities</t>
  </si>
  <si>
    <t xml:space="preserve">Repayment of long-term loans</t>
  </si>
  <si>
    <t xml:space="preserve">Net cash from / (used in) financing</t>
  </si>
  <si>
    <t xml:space="preserve">Free cash flow (CFO less capex)</t>
  </si>
  <si>
    <t xml:space="preserve">CONTROL TOTALS FROM PROJECT 1 (for reconciliation on Checks)</t>
  </si>
  <si>
    <t xml:space="preserve">Net profit per Project 1</t>
  </si>
  <si>
    <t xml:space="preserve">Must equal the recalculated net profit above</t>
  </si>
  <si>
    <t xml:space="preserve">Total assets per Project 1</t>
  </si>
  <si>
    <t xml:space="preserve">Must equal the recalculated total assets above</t>
  </si>
  <si>
    <t xml:space="preserve">Benchmarks, Weights and Direction</t>
  </si>
  <si>
    <t xml:space="preserve">Sampaguita Foods &amp; Distribution Corporation (SFDC)  |  PHP in thousands  |  Illustrative reference points - replace with peer or lender data</t>
  </si>
  <si>
    <t xml:space="preserve">Industry median</t>
  </si>
  <si>
    <t xml:space="preserve">Lender view</t>
  </si>
  <si>
    <t xml:space="preserve">Higher</t>
  </si>
  <si>
    <t xml:space="preserve">Lower</t>
  </si>
  <si>
    <t xml:space="preserve">Total weight</t>
  </si>
  <si>
    <t xml:space="preserve">Chart Data</t>
  </si>
  <si>
    <t xml:space="preserve">Sampaguita Foods &amp; Distribution Corporation (SFDC)  |  PHP in thousands  |  Helper tables - all formulas</t>
  </si>
  <si>
    <t xml:space="preserve">Margins</t>
  </si>
  <si>
    <t xml:space="preserve">Net margin</t>
  </si>
  <si>
    <t xml:space="preserve">Returns</t>
  </si>
  <si>
    <t xml:space="preserve">Return on assets</t>
  </si>
  <si>
    <t xml:space="preserve">Leverage</t>
  </si>
  <si>
    <t xml:space="preserve">Working capital days</t>
  </si>
  <si>
    <t xml:space="preserve">DSO</t>
  </si>
  <si>
    <t xml:space="preserve">DIO</t>
  </si>
  <si>
    <t xml:space="preserve">DPO</t>
  </si>
  <si>
    <t xml:space="preserve">Cash conversion cycle</t>
  </si>
  <si>
    <t xml:space="preserve">Category scores (selected year)</t>
  </si>
  <si>
    <t xml:space="preserve">Covenant headroom (selected year)</t>
  </si>
  <si>
    <t xml:space="preserve">DuPont attribution (pts of ROE)</t>
  </si>
  <si>
    <t xml:space="preserve">Lists</t>
  </si>
  <si>
    <t xml:space="preserve">Fiscal years</t>
  </si>
  <si>
    <t xml:space="preserve">Benchmark sets</t>
  </si>
  <si>
    <t xml:space="preserve">Grade floor</t>
  </si>
  <si>
    <t xml:space="preserve">Grade</t>
  </si>
  <si>
    <t xml:space="preserve">E</t>
  </si>
  <si>
    <t xml:space="preserve">Distressed</t>
  </si>
  <si>
    <t xml:space="preserve">D</t>
  </si>
  <si>
    <t xml:space="preserve">Weak</t>
  </si>
  <si>
    <t xml:space="preserve">C</t>
  </si>
  <si>
    <t xml:space="preserve">Adequate</t>
  </si>
  <si>
    <t xml:space="preserve">B</t>
  </si>
  <si>
    <t xml:space="preserve">Good</t>
  </si>
  <si>
    <t xml:space="preserve">A</t>
  </si>
  <si>
    <t xml:space="preserve">Strong</t>
  </si>
  <si>
    <t xml:space="preserve">Model Integrity Checks</t>
  </si>
  <si>
    <t xml:space="preserve">Overall status</t>
  </si>
  <si>
    <t xml:space="preserve">Check (difference should be zero)</t>
  </si>
  <si>
    <t xml:space="preserve">Difference</t>
  </si>
  <si>
    <t xml:space="preserve">Status</t>
  </si>
  <si>
    <t xml:space="preserve">What it proves</t>
  </si>
  <si>
    <t xml:space="preserve">Balance sheet balances - FY2022</t>
  </si>
  <si>
    <t xml:space="preserve">Assets = liabilities + equity in the imported statements</t>
  </si>
  <si>
    <t xml:space="preserve">Balance sheet balances - FY2023</t>
  </si>
  <si>
    <t xml:space="preserve">Balance sheet balances - FY2024</t>
  </si>
  <si>
    <t xml:space="preserve">Balance sheet balances - FY2025</t>
  </si>
  <si>
    <t xml:space="preserve">Net profit agrees to Project 1 - FY2023</t>
  </si>
  <si>
    <t xml:space="preserve">Recalculated net profit equals the Project 1 figure</t>
  </si>
  <si>
    <t xml:space="preserve">Net profit agrees to Project 1 - FY2024</t>
  </si>
  <si>
    <t xml:space="preserve">Net profit agrees to Project 1 - FY2025</t>
  </si>
  <si>
    <t xml:space="preserve">Total assets agree to Project 1 - FY2022</t>
  </si>
  <si>
    <t xml:space="preserve">Recalculated total assets equal the Project 1 figure</t>
  </si>
  <si>
    <t xml:space="preserve">Total assets agree to Project 1 - FY2023</t>
  </si>
  <si>
    <t xml:space="preserve">Total assets agree to Project 1 - FY2024</t>
  </si>
  <si>
    <t xml:space="preserve">Total assets agree to Project 1 - FY2025</t>
  </si>
  <si>
    <t xml:space="preserve">Cash movement = net cash flow - FY2023</t>
  </si>
  <si>
    <t xml:space="preserve">Cash flow summary reconciles to the balance sheet</t>
  </si>
  <si>
    <t xml:space="preserve">Cash movement = net cash flow - FY2024</t>
  </si>
  <si>
    <t xml:space="preserve">Cash movement = net cash flow - FY2025</t>
  </si>
  <si>
    <t xml:space="preserve">DuPont ROE = ratio ROE - FY2023</t>
  </si>
  <si>
    <t xml:space="preserve">Ratio decomposition is arithmetically consistent</t>
  </si>
  <si>
    <t xml:space="preserve">DuPont ROE = ratio ROE - FY2024</t>
  </si>
  <si>
    <t xml:space="preserve">DuPont ROE = ratio ROE - FY2025</t>
  </si>
  <si>
    <t xml:space="preserve">DuPont attribution sums to change in ROE</t>
  </si>
  <si>
    <t xml:space="preserve">Log-decomposition is exact</t>
  </si>
  <si>
    <t xml:space="preserve">Scorecard weights total 100</t>
  </si>
  <si>
    <t xml:space="preserve">Weights are complete</t>
  </si>
  <si>
    <t xml:space="preserve">Sensitivity base case equals Ratios (net margin, selected year)</t>
  </si>
  <si>
    <t xml:space="preserve">What-if engine reproduces the base ratios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</si>
</sst>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&quot;FY&quot;0"/>
    <numFmt numFmtId="166" formatCode="0.0"/>
    <numFmt numFmtId="167" formatCode="0.0%"/>
    <numFmt numFmtId="168" formatCode="0.00\x"/>
    <numFmt numFmtId="169" formatCode="0.0\x"/>
    <numFmt numFmtId="170" formatCode="0.00"/>
    <numFmt numFmtId="171" formatCode="0%"/>
    <numFmt numFmtId="172" formatCode="0"/>
    <numFmt numFmtId="173" formatCode="0.0%;\(0.0%\);\-"/>
    <numFmt numFmtId="174" formatCode="#,##0;\(#,##0\);\-"/>
    <numFmt numFmtId="175" formatCode="0.0000"/>
    <numFmt numFmtId="176" formatCode="0.00%;\(0.00%\);\-"/>
    <numFmt numFmtId="177" formatCode="0.000"/>
    <numFmt numFmtId="178" formatCode="0.00%"/>
    <numFmt numFmtId="179" formatCode="#,##0.00;\(#,##0.00\);\-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C9A227"/>
      <name val="Arial"/>
      <family val="0"/>
      <charset val="1"/>
    </font>
    <font>
      <b val="true"/>
      <sz val="26"/>
      <color rgb="FFFFFFFF"/>
      <name val="Arial"/>
      <family val="0"/>
      <charset val="1"/>
    </font>
    <font>
      <sz val="13"/>
      <color rgb="FFFFFFFF"/>
      <name val="Arial"/>
      <family val="0"/>
      <charset val="1"/>
    </font>
    <font>
      <sz val="10"/>
      <color rgb="FFD5DEEA"/>
      <name val="Arial"/>
      <family val="0"/>
      <charset val="1"/>
    </font>
    <font>
      <sz val="9"/>
      <color rgb="FFD5DEEA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0B1F3A"/>
      <name val="Arial"/>
      <family val="0"/>
      <charset val="1"/>
    </font>
    <font>
      <b val="true"/>
      <u val="single"/>
      <sz val="10"/>
      <color rgb="FFFFFFFF"/>
      <name val="Arial"/>
      <family val="0"/>
      <charset val="1"/>
    </font>
    <font>
      <b val="true"/>
      <sz val="16"/>
      <color rgb="FF0B1F3A"/>
      <name val="Arial"/>
      <family val="0"/>
      <charset val="1"/>
    </font>
    <font>
      <i val="true"/>
      <sz val="9"/>
      <color rgb="FF595959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8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B1F3A"/>
        <bgColor rgb="FF000000"/>
      </patternFill>
    </fill>
    <fill>
      <patternFill patternType="solid">
        <fgColor rgb="FFC9A227"/>
        <bgColor rgb="FF99CC00"/>
      </patternFill>
    </fill>
    <fill>
      <patternFill patternType="solid">
        <fgColor rgb="FFD5DEEA"/>
        <bgColor rgb="FFD9D9D9"/>
      </patternFill>
    </fill>
    <fill>
      <patternFill patternType="solid">
        <fgColor rgb="FFFFF4CC"/>
        <bgColor rgb="FFFFF2CC"/>
      </patternFill>
    </fill>
    <fill>
      <patternFill patternType="solid">
        <fgColor rgb="FFEEF2F7"/>
        <bgColor rgb="FFFFFF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7C2D0"/>
      </left>
      <right style="thin">
        <color rgb="FFB7C2D0"/>
      </right>
      <top style="thin">
        <color rgb="FFB7C2D0"/>
      </top>
      <bottom/>
      <diagonal/>
    </border>
    <border diagonalUp="false" diagonalDown="false">
      <left style="thin">
        <color rgb="FFB7C2D0"/>
      </left>
      <right style="thin">
        <color rgb="FFB7C2D0"/>
      </right>
      <top/>
      <bottom/>
      <diagonal/>
    </border>
    <border diagonalUp="false" diagonalDown="false">
      <left style="thin">
        <color rgb="FFB7C2D0"/>
      </left>
      <right style="thin">
        <color rgb="FFB7C2D0"/>
      </right>
      <top/>
      <bottom style="thin">
        <color rgb="FFB7C2D0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2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9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2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6" fontId="9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7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9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7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27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8" fontId="27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7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9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9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2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9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9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</dxf>
    <dxf>
      <font>
        <b val="1"/>
        <color rgb="FFC00000"/>
      </font>
    </dxf>
    <dxf>
      <font>
        <b val="1"/>
        <color rgb="FF9C6500"/>
      </font>
    </dxf>
    <dxf>
      <font>
        <b val="1"/>
        <color rgb="FF0B1F3A"/>
      </font>
    </dxf>
    <dxf>
      <font>
        <color rgb="FFC00000"/>
      </font>
    </dxf>
    <dxf>
      <font>
        <b val="1"/>
        <color rgb="FF7F6000"/>
      </font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  <dxf>
      <font>
        <b val="1"/>
        <color rgb="FF9C0006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7C2D0"/>
      <rgbColor rgb="FF878787"/>
      <rgbColor rgb="FF9999FF"/>
      <rgbColor rgb="FF993366"/>
      <rgbColor rgb="FFFFF4CC"/>
      <rgbColor rgb="FFEEF2F7"/>
      <rgbColor rgb="FF660066"/>
      <rgbColor rgb="FFFF8080"/>
      <rgbColor rgb="FF0563C1"/>
      <rgbColor rgb="FFD5DE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6EFCE"/>
      <rgbColor rgb="FFFFF2C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C9A227"/>
      <rgbColor rgb="FFFF6600"/>
      <rgbColor rgb="FF5B7DB1"/>
      <rgbColor rgb="FF8C9BB0"/>
      <rgbColor rgb="FF0B1F3A"/>
      <rgbColor rgb="FF339966"/>
      <rgbColor rgb="FF006100"/>
      <rgbColor rgb="FF333300"/>
      <rgbColor rgb="FF9C65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Profitability margins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Chart_Data!B6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0b1f3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Chart_Data!$C$5:$E$5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Chart_Data!$C$6:$E$6</c:f>
              <c:numCache>
                <c:formatCode>0.0%;\(0.0%\);\-</c:formatCode>
                <c:ptCount val="3"/>
                <c:pt idx="0">
                  <c:v>0.252267031047913</c:v>
                </c:pt>
                <c:pt idx="1">
                  <c:v>0.25487105985257</c:v>
                </c:pt>
                <c:pt idx="2">
                  <c:v>0.256975737370455</c:v>
                </c:pt>
              </c:numCache>
            </c:numRef>
          </c:val>
        </c:ser>
        <c:ser>
          <c:idx val="1"/>
          <c:order val="1"/>
          <c:tx>
            <c:strRef>
              <c:f>Chart_Data!B7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c9a22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Chart_Data!$C$5:$E$5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Chart_Data!$C$7:$E$7</c:f>
              <c:numCache>
                <c:formatCode>0.0%;\(0.0%\);\-</c:formatCode>
                <c:ptCount val="3"/>
                <c:pt idx="0">
                  <c:v>0.0698559768510738</c:v>
                </c:pt>
                <c:pt idx="1">
                  <c:v>0.0768168534992945</c:v>
                </c:pt>
                <c:pt idx="2">
                  <c:v>0.0843649287052595</c:v>
                </c:pt>
              </c:numCache>
            </c:numRef>
          </c:val>
        </c:ser>
        <c:ser>
          <c:idx val="2"/>
          <c:order val="2"/>
          <c:tx>
            <c:strRef>
              <c:f>Chart_Data!B8</c:f>
              <c:strCache>
                <c:ptCount val="1"/>
                <c:pt idx="0">
                  <c:v>Net margin</c:v>
                </c:pt>
              </c:strCache>
            </c:strRef>
          </c:tx>
          <c:spPr>
            <a:solidFill>
              <a:srgbClr val="5b7db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Chart_Data!$C$5:$E$5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Chart_Data!$C$8:$E$8</c:f>
              <c:numCache>
                <c:formatCode>0.0%;\(0.0%\);\-</c:formatCode>
                <c:ptCount val="3"/>
                <c:pt idx="0">
                  <c:v>0.0273797432281353</c:v>
                </c:pt>
                <c:pt idx="1">
                  <c:v>0.0323314438309568</c:v>
                </c:pt>
                <c:pt idx="2">
                  <c:v>0.0384660473323859</c:v>
                </c:pt>
              </c:numCache>
            </c:numRef>
          </c:val>
        </c:ser>
        <c:gapWidth val="150"/>
        <c:overlap val="0"/>
        <c:axId val="31022873"/>
        <c:axId val="65397621"/>
      </c:barChart>
      <c:catAx>
        <c:axId val="310228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397621"/>
        <c:crosses val="autoZero"/>
        <c:auto val="1"/>
        <c:lblAlgn val="ctr"/>
        <c:lblOffset val="100"/>
        <c:noMultiLvlLbl val="0"/>
      </c:catAx>
      <c:valAx>
        <c:axId val="653976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02287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Return on assets and equity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Chart_Data!B11</c:f>
              <c:strCache>
                <c:ptCount val="1"/>
                <c:pt idx="0">
                  <c:v>Return on assets</c:v>
                </c:pt>
              </c:strCache>
            </c:strRef>
          </c:tx>
          <c:spPr>
            <a:solidFill>
              <a:srgbClr val="0b1f3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Chart_Data!$C$10:$E$10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Chart_Data!$C$11:$E$11</c:f>
              <c:numCache>
                <c:formatCode>0.0%;\(0.0%\);\-</c:formatCode>
                <c:ptCount val="3"/>
                <c:pt idx="0">
                  <c:v>0.0549430273407668</c:v>
                </c:pt>
                <c:pt idx="1">
                  <c:v>0.0661498696225725</c:v>
                </c:pt>
                <c:pt idx="2">
                  <c:v>0.079556850096612</c:v>
                </c:pt>
              </c:numCache>
            </c:numRef>
          </c:val>
        </c:ser>
        <c:ser>
          <c:idx val="1"/>
          <c:order val="1"/>
          <c:tx>
            <c:strRef>
              <c:f>Chart_Data!B12</c:f>
              <c:strCache>
                <c:ptCount val="1"/>
                <c:pt idx="0">
                  <c:v>Return on equity</c:v>
                </c:pt>
              </c:strCache>
            </c:strRef>
          </c:tx>
          <c:spPr>
            <a:solidFill>
              <a:srgbClr val="c9a22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Chart_Data!$C$10:$E$10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Chart_Data!$C$12:$E$12</c:f>
              <c:numCache>
                <c:formatCode>0.0%;\(0.0%\);\-</c:formatCode>
                <c:ptCount val="3"/>
                <c:pt idx="0">
                  <c:v>0.119502154089847</c:v>
                </c:pt>
                <c:pt idx="1">
                  <c:v>0.139843183193172</c:v>
                </c:pt>
                <c:pt idx="2">
                  <c:v>0.161643835616438</c:v>
                </c:pt>
              </c:numCache>
            </c:numRef>
          </c:val>
        </c:ser>
        <c:gapWidth val="150"/>
        <c:overlap val="0"/>
        <c:axId val="53034365"/>
        <c:axId val="62207453"/>
      </c:barChart>
      <c:catAx>
        <c:axId val="530343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207453"/>
        <c:crosses val="autoZero"/>
        <c:auto val="1"/>
        <c:lblAlgn val="ctr"/>
        <c:lblOffset val="100"/>
        <c:noMultiLvlLbl val="0"/>
      </c:catAx>
      <c:valAx>
        <c:axId val="622074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03436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Liquidity ratios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Chart_Data!B15</c:f>
              <c:strCache>
                <c:ptCount val="1"/>
                <c:pt idx="0">
                  <c:v>Current ratio</c:v>
                </c:pt>
              </c:strCache>
            </c:strRef>
          </c:tx>
          <c:spPr>
            <a:solidFill>
              <a:srgbClr val="0b1f3a"/>
            </a:solidFill>
            <a:ln w="28080">
              <a:solidFill>
                <a:srgbClr val="0b1f3a"/>
              </a:solidFill>
              <a:round/>
            </a:ln>
          </c:spPr>
          <c:marker>
            <c:symbol val="circle"/>
            <c:size val="6"/>
            <c:spPr>
              <a:solidFill>
                <a:srgbClr val="0b1f3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Chart_Data!$C$14:$E$14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Chart_Data!$C$15:$E$15</c:f>
              <c:numCache>
                <c:formatCode>0.00\x</c:formatCode>
                <c:ptCount val="3"/>
                <c:pt idx="0">
                  <c:v>1.57550099572465</c:v>
                </c:pt>
                <c:pt idx="1">
                  <c:v>1.76093716347189</c:v>
                </c:pt>
                <c:pt idx="2">
                  <c:v>1.75515074326367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Chart_Data!B16</c:f>
              <c:strCache>
                <c:ptCount val="1"/>
                <c:pt idx="0">
                  <c:v>Quick ratio</c:v>
                </c:pt>
              </c:strCache>
            </c:strRef>
          </c:tx>
          <c:spPr>
            <a:solidFill>
              <a:srgbClr val="c9a227"/>
            </a:solidFill>
            <a:ln w="28080">
              <a:solidFill>
                <a:srgbClr val="c9a227"/>
              </a:solidFill>
              <a:round/>
            </a:ln>
          </c:spPr>
          <c:marker>
            <c:symbol val="circle"/>
            <c:size val="6"/>
            <c:spPr>
              <a:solidFill>
                <a:srgbClr val="c9a22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Chart_Data!$C$14:$E$14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Chart_Data!$C$16:$E$16</c:f>
              <c:numCache>
                <c:formatCode>0.00\x</c:formatCode>
                <c:ptCount val="3"/>
                <c:pt idx="0">
                  <c:v>0.969285724233014</c:v>
                </c:pt>
                <c:pt idx="1">
                  <c:v>1.13716212578075</c:v>
                </c:pt>
                <c:pt idx="2">
                  <c:v>1.12564404392042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Chart_Data!B17</c:f>
              <c:strCache>
                <c:ptCount val="1"/>
                <c:pt idx="0">
                  <c:v>Cash ratio</c:v>
                </c:pt>
              </c:strCache>
            </c:strRef>
          </c:tx>
          <c:spPr>
            <a:solidFill>
              <a:srgbClr val="5b7db1"/>
            </a:solidFill>
            <a:ln w="28080">
              <a:solidFill>
                <a:srgbClr val="5b7db1"/>
              </a:solidFill>
              <a:round/>
            </a:ln>
          </c:spPr>
          <c:marker>
            <c:symbol val="circle"/>
            <c:size val="6"/>
            <c:spPr>
              <a:solidFill>
                <a:srgbClr val="5b7db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Chart_Data!$C$14:$E$14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Chart_Data!$C$17:$E$17</c:f>
              <c:numCache>
                <c:formatCode>0.00\x</c:formatCode>
                <c:ptCount val="3"/>
                <c:pt idx="0">
                  <c:v>0.405364379517317</c:v>
                </c:pt>
                <c:pt idx="1">
                  <c:v>0.541541029506784</c:v>
                </c:pt>
                <c:pt idx="2">
                  <c:v>0.525835729401851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9950089"/>
        <c:axId val="71330000"/>
      </c:lineChart>
      <c:catAx>
        <c:axId val="699500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330000"/>
        <c:crosses val="autoZero"/>
        <c:auto val="1"/>
        <c:lblAlgn val="ctr"/>
        <c:lblOffset val="100"/>
        <c:noMultiLvlLbl val="0"/>
      </c:catAx>
      <c:valAx>
        <c:axId val="713300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\x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95008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Leverage and coverage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Chart_Data!B20</c:f>
              <c:strCache>
                <c:ptCount val="1"/>
                <c:pt idx="0">
                  <c:v>Borrowings-to-equity</c:v>
                </c:pt>
              </c:strCache>
            </c:strRef>
          </c:tx>
          <c:spPr>
            <a:solidFill>
              <a:srgbClr val="0b1f3a"/>
            </a:solidFill>
            <a:ln w="28080">
              <a:solidFill>
                <a:srgbClr val="0b1f3a"/>
              </a:solidFill>
              <a:round/>
            </a:ln>
          </c:spPr>
          <c:marker>
            <c:symbol val="circle"/>
            <c:size val="6"/>
            <c:spPr>
              <a:solidFill>
                <a:srgbClr val="0b1f3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Chart_Data!$C$19:$E$19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Chart_Data!$C$20:$E$20</c:f>
              <c:numCache>
                <c:formatCode>0.00\x</c:formatCode>
                <c:ptCount val="3"/>
                <c:pt idx="0">
                  <c:v>0.69189717187031</c:v>
                </c:pt>
                <c:pt idx="1">
                  <c:v>0.696232101796462</c:v>
                </c:pt>
                <c:pt idx="2">
                  <c:v>0.543962830569893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Chart_Data!B21</c:f>
              <c:strCache>
                <c:ptCount val="1"/>
                <c:pt idx="0">
                  <c:v>Net debt / EBITDA</c:v>
                </c:pt>
              </c:strCache>
            </c:strRef>
          </c:tx>
          <c:spPr>
            <a:solidFill>
              <a:srgbClr val="c9a227"/>
            </a:solidFill>
            <a:ln w="28080">
              <a:solidFill>
                <a:srgbClr val="c9a227"/>
              </a:solidFill>
              <a:round/>
            </a:ln>
          </c:spPr>
          <c:marker>
            <c:symbol val="circle"/>
            <c:size val="6"/>
            <c:spPr>
              <a:solidFill>
                <a:srgbClr val="c9a22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Chart_Data!$C$19:$E$19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Chart_Data!$C$21:$E$21</c:f>
              <c:numCache>
                <c:formatCode>0.00\x</c:formatCode>
                <c:ptCount val="3"/>
                <c:pt idx="0">
                  <c:v>1.35606694560669</c:v>
                </c:pt>
                <c:pt idx="1">
                  <c:v>1.03796990844856</c:v>
                </c:pt>
                <c:pt idx="2">
                  <c:v>0.624719648951731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Chart_Data!B22</c:f>
              <c:strCache>
                <c:ptCount val="1"/>
                <c:pt idx="0">
                  <c:v>Interest cover</c:v>
                </c:pt>
              </c:strCache>
            </c:strRef>
          </c:tx>
          <c:spPr>
            <a:solidFill>
              <a:srgbClr val="5b7db1"/>
            </a:solidFill>
            <a:ln w="28080">
              <a:solidFill>
                <a:srgbClr val="5b7db1"/>
              </a:solidFill>
              <a:round/>
            </a:ln>
          </c:spPr>
          <c:marker>
            <c:symbol val="circle"/>
            <c:size val="6"/>
            <c:spPr>
              <a:solidFill>
                <a:srgbClr val="5b7db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Chart_Data!$C$19:$E$19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Chart_Data!$C$22:$E$22</c:f>
              <c:numCache>
                <c:formatCode>0.00\x</c:formatCode>
                <c:ptCount val="3"/>
                <c:pt idx="0">
                  <c:v>3.83562038192112</c:v>
                </c:pt>
                <c:pt idx="1">
                  <c:v>4.32880174291939</c:v>
                </c:pt>
                <c:pt idx="2">
                  <c:v>5.1969049247606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0032822"/>
        <c:axId val="76610478"/>
      </c:lineChart>
      <c:catAx>
        <c:axId val="500328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610478"/>
        <c:crosses val="autoZero"/>
        <c:auto val="1"/>
        <c:lblAlgn val="ctr"/>
        <c:lblOffset val="100"/>
        <c:noMultiLvlLbl val="0"/>
      </c:catAx>
      <c:valAx>
        <c:axId val="766104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\x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03282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Working capital days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Chart_Data!B25</c:f>
              <c:strCache>
                <c:ptCount val="1"/>
                <c:pt idx="0">
                  <c:v>DSO</c:v>
                </c:pt>
              </c:strCache>
            </c:strRef>
          </c:tx>
          <c:spPr>
            <a:solidFill>
              <a:srgbClr val="0b1f3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Chart_Data!$C$24:$E$24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Chart_Data!$C$25:$E$25</c:f>
              <c:numCache>
                <c:formatCode>0.0</c:formatCode>
                <c:ptCount val="3"/>
                <c:pt idx="0">
                  <c:v>33.7803184195207</c:v>
                </c:pt>
                <c:pt idx="1">
                  <c:v>34.4729770696292</c:v>
                </c:pt>
                <c:pt idx="2">
                  <c:v>34.1080470609044</c:v>
                </c:pt>
              </c:numCache>
            </c:numRef>
          </c:val>
        </c:ser>
        <c:ser>
          <c:idx val="1"/>
          <c:order val="1"/>
          <c:tx>
            <c:strRef>
              <c:f>Chart_Data!B26</c:f>
              <c:strCache>
                <c:ptCount val="1"/>
                <c:pt idx="0">
                  <c:v>DIO</c:v>
                </c:pt>
              </c:strCache>
            </c:strRef>
          </c:tx>
          <c:spPr>
            <a:solidFill>
              <a:srgbClr val="c9a22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Chart_Data!$C$24:$E$24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Chart_Data!$C$26:$E$26</c:f>
              <c:numCache>
                <c:formatCode>0.0</c:formatCode>
                <c:ptCount val="3"/>
                <c:pt idx="0">
                  <c:v>44.6446202382174</c:v>
                </c:pt>
                <c:pt idx="1">
                  <c:v>42.6630785960231</c:v>
                </c:pt>
                <c:pt idx="2">
                  <c:v>41.8560254820441</c:v>
                </c:pt>
              </c:numCache>
            </c:numRef>
          </c:val>
        </c:ser>
        <c:ser>
          <c:idx val="2"/>
          <c:order val="2"/>
          <c:tx>
            <c:strRef>
              <c:f>Chart_Data!B27</c:f>
              <c:strCache>
                <c:ptCount val="1"/>
                <c:pt idx="0">
                  <c:v>DPO</c:v>
                </c:pt>
              </c:strCache>
            </c:strRef>
          </c:tx>
          <c:spPr>
            <a:solidFill>
              <a:srgbClr val="5b7db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Chart_Data!$C$24:$E$24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Chart_Data!$C$27:$E$27</c:f>
              <c:numCache>
                <c:formatCode>0.0</c:formatCode>
                <c:ptCount val="3"/>
                <c:pt idx="0">
                  <c:v>38.5181570319409</c:v>
                </c:pt>
                <c:pt idx="1">
                  <c:v>38.8670803430667</c:v>
                </c:pt>
                <c:pt idx="2">
                  <c:v>39.9682547041857</c:v>
                </c:pt>
              </c:numCache>
            </c:numRef>
          </c:val>
        </c:ser>
        <c:ser>
          <c:idx val="3"/>
          <c:order val="3"/>
          <c:tx>
            <c:strRef>
              <c:f>Chart_Data!B28</c:f>
              <c:strCache>
                <c:ptCount val="1"/>
                <c:pt idx="0">
                  <c:v>Cash conversion cycle</c:v>
                </c:pt>
              </c:strCache>
            </c:strRef>
          </c:tx>
          <c:spPr>
            <a:solidFill>
              <a:srgbClr val="8c9bb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Chart_Data!$C$24:$E$24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Chart_Data!$C$28:$E$28</c:f>
              <c:numCache>
                <c:formatCode>0.0</c:formatCode>
                <c:ptCount val="3"/>
                <c:pt idx="0">
                  <c:v>39.9067816257972</c:v>
                </c:pt>
                <c:pt idx="1">
                  <c:v>38.2689753225856</c:v>
                </c:pt>
                <c:pt idx="2">
                  <c:v>35.9958178387628</c:v>
                </c:pt>
              </c:numCache>
            </c:numRef>
          </c:val>
        </c:ser>
        <c:gapWidth val="150"/>
        <c:overlap val="0"/>
        <c:axId val="30352705"/>
        <c:axId val="88029563"/>
      </c:barChart>
      <c:catAx>
        <c:axId val="303527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029563"/>
        <c:crosses val="autoZero"/>
        <c:auto val="1"/>
        <c:lblAlgn val="ctr"/>
        <c:lblOffset val="100"/>
        <c:noMultiLvlLbl val="0"/>
      </c:catAx>
      <c:valAx>
        <c:axId val="880295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35270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Category scores (selected year, 0-100)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Chart_Data!C30</c:f>
              <c:strCache>
                <c:ptCount val="1"/>
                <c:pt idx="0">
                  <c:v>FY2025</c:v>
                </c:pt>
              </c:strCache>
            </c:strRef>
          </c:tx>
          <c:spPr>
            <a:solidFill>
              <a:srgbClr val="0b1f3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Chart_Data!$B$31:$B$34</c:f>
              <c:strCache>
                <c:ptCount val="4"/>
                <c:pt idx="0">
                  <c:v>Profitability</c:v>
                </c:pt>
                <c:pt idx="1">
                  <c:v>Liquidity</c:v>
                </c:pt>
                <c:pt idx="2">
                  <c:v>Solvency</c:v>
                </c:pt>
                <c:pt idx="3">
                  <c:v>Efficiency</c:v>
                </c:pt>
              </c:strCache>
            </c:strRef>
          </c:cat>
          <c:val>
            <c:numRef>
              <c:f>Chart_Data!$C$31:$C$34</c:f>
              <c:numCache>
                <c:formatCode>0.0</c:formatCode>
                <c:ptCount val="4"/>
                <c:pt idx="0">
                  <c:v>80.6998703234901</c:v>
                </c:pt>
                <c:pt idx="1">
                  <c:v>89.2088535535787</c:v>
                </c:pt>
                <c:pt idx="2">
                  <c:v>85.8339570841607</c:v>
                </c:pt>
                <c:pt idx="3">
                  <c:v>81.8011902476126</c:v>
                </c:pt>
              </c:numCache>
            </c:numRef>
          </c:val>
        </c:ser>
        <c:gapWidth val="150"/>
        <c:overlap val="0"/>
        <c:axId val="67017235"/>
        <c:axId val="73874237"/>
      </c:barChart>
      <c:catAx>
        <c:axId val="670172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874237"/>
        <c:crosses val="autoZero"/>
        <c:auto val="1"/>
        <c:lblAlgn val="ctr"/>
        <c:lblOffset val="100"/>
        <c:noMultiLvlLbl val="0"/>
      </c:catAx>
      <c:valAx>
        <c:axId val="738742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0172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Covenant headroom (selected year)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Chart_Data!C36</c:f>
              <c:strCache>
                <c:ptCount val="1"/>
                <c:pt idx="0">
                  <c:v>FY2025</c:v>
                </c:pt>
              </c:strCache>
            </c:strRef>
          </c:tx>
          <c:spPr>
            <a:solidFill>
              <a:srgbClr val="0b1f3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Chart_Data!$B$37:$B$40</c:f>
              <c:strCache>
                <c:ptCount val="4"/>
                <c:pt idx="0">
                  <c:v>Current ratio</c:v>
                </c:pt>
                <c:pt idx="1">
                  <c:v>Borrowings-to-equity</c:v>
                </c:pt>
                <c:pt idx="2">
                  <c:v>Interest cover</c:v>
                </c:pt>
                <c:pt idx="3">
                  <c:v>Debt service cover ratio</c:v>
                </c:pt>
              </c:strCache>
            </c:strRef>
          </c:cat>
          <c:val>
            <c:numRef>
              <c:f>Chart_Data!$C$37:$C$40</c:f>
              <c:numCache>
                <c:formatCode>0.0%;\(0.0%\);\-</c:formatCode>
                <c:ptCount val="4"/>
                <c:pt idx="0">
                  <c:v>0.462625619386392</c:v>
                </c:pt>
                <c:pt idx="1">
                  <c:v>0.637358112953405</c:v>
                </c:pt>
                <c:pt idx="2">
                  <c:v>0.732301641586867</c:v>
                </c:pt>
                <c:pt idx="3">
                  <c:v>1.45849565477974</c:v>
                </c:pt>
              </c:numCache>
            </c:numRef>
          </c:val>
        </c:ser>
        <c:gapWidth val="150"/>
        <c:overlap val="0"/>
        <c:axId val="20007209"/>
        <c:axId val="71711524"/>
      </c:barChart>
      <c:catAx>
        <c:axId val="200072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711524"/>
        <c:crosses val="autoZero"/>
        <c:auto val="1"/>
        <c:lblAlgn val="ctr"/>
        <c:lblOffset val="100"/>
        <c:noMultiLvlLbl val="0"/>
      </c:catAx>
      <c:valAx>
        <c:axId val="717115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0072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ROE change attribution (DuPont, pts)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Chart_Data!C42</c:f>
              <c:strCache>
                <c:ptCount val="1"/>
                <c:pt idx="0">
                  <c:v>FY2024 to FY2025</c:v>
                </c:pt>
              </c:strCache>
            </c:strRef>
          </c:tx>
          <c:spPr>
            <a:solidFill>
              <a:srgbClr val="0b1f3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Chart_Data!$B$43:$B$47</c:f>
              <c:strCache>
                <c:ptCount val="5"/>
                <c:pt idx="0">
                  <c:v>Tax burden</c:v>
                </c:pt>
                <c:pt idx="1">
                  <c:v>Interest burden</c:v>
                </c:pt>
                <c:pt idx="2">
                  <c:v>EBIT margin</c:v>
                </c:pt>
                <c:pt idx="3">
                  <c:v>Asset turnover</c:v>
                </c:pt>
                <c:pt idx="4">
                  <c:v>Equity multiplier</c:v>
                </c:pt>
              </c:strCache>
            </c:strRef>
          </c:cat>
          <c:val>
            <c:numRef>
              <c:f>Chart_Data!$C$43:$C$47</c:f>
              <c:numCache>
                <c:formatCode>0.00%;\(0.00%\);\-</c:formatCode>
                <c:ptCount val="5"/>
                <c:pt idx="0">
                  <c:v>0.00025878278333759</c:v>
                </c:pt>
                <c:pt idx="1">
                  <c:v>0.00762283525987557</c:v>
                </c:pt>
                <c:pt idx="2">
                  <c:v>0.0182622029185704</c:v>
                </c:pt>
                <c:pt idx="3">
                  <c:v>0.00162717882460198</c:v>
                </c:pt>
                <c:pt idx="4">
                  <c:v>-0.00597034736311919</c:v>
                </c:pt>
              </c:numCache>
            </c:numRef>
          </c:val>
        </c:ser>
        <c:gapWidth val="150"/>
        <c:overlap val="0"/>
        <c:axId val="34373213"/>
        <c:axId val="68471509"/>
      </c:barChart>
      <c:catAx>
        <c:axId val="343732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471509"/>
        <c:crosses val="autoZero"/>
        <c:auto val="1"/>
        <c:lblAlgn val="ctr"/>
        <c:lblOffset val="100"/>
        <c:noMultiLvlLbl val="0"/>
      </c:catAx>
      <c:valAx>
        <c:axId val="684715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3732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0</xdr:rowOff>
    </xdr:from>
    <xdr:to>
      <xdr:col>7</xdr:col>
      <xdr:colOff>82080</xdr:colOff>
      <xdr:row>28</xdr:row>
      <xdr:rowOff>140400</xdr:rowOff>
    </xdr:to>
    <xdr:graphicFrame>
      <xdr:nvGraphicFramePr>
        <xdr:cNvPr id="0" name="Chart 1"/>
        <xdr:cNvGraphicFramePr/>
      </xdr:nvGraphicFramePr>
      <xdr:xfrm>
        <a:off x="141120" y="3105000"/>
        <a:ext cx="5579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14</xdr:row>
      <xdr:rowOff>0</xdr:rowOff>
    </xdr:from>
    <xdr:to>
      <xdr:col>13</xdr:col>
      <xdr:colOff>81720</xdr:colOff>
      <xdr:row>28</xdr:row>
      <xdr:rowOff>140400</xdr:rowOff>
    </xdr:to>
    <xdr:graphicFrame>
      <xdr:nvGraphicFramePr>
        <xdr:cNvPr id="1" name="Chart 2"/>
        <xdr:cNvGraphicFramePr/>
      </xdr:nvGraphicFramePr>
      <xdr:xfrm>
        <a:off x="5638680" y="3105000"/>
        <a:ext cx="5579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30</xdr:row>
      <xdr:rowOff>0</xdr:rowOff>
    </xdr:from>
    <xdr:to>
      <xdr:col>7</xdr:col>
      <xdr:colOff>82080</xdr:colOff>
      <xdr:row>44</xdr:row>
      <xdr:rowOff>140760</xdr:rowOff>
    </xdr:to>
    <xdr:graphicFrame>
      <xdr:nvGraphicFramePr>
        <xdr:cNvPr id="2" name="Chart 3"/>
        <xdr:cNvGraphicFramePr/>
      </xdr:nvGraphicFramePr>
      <xdr:xfrm>
        <a:off x="141120" y="6153120"/>
        <a:ext cx="5579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30</xdr:row>
      <xdr:rowOff>0</xdr:rowOff>
    </xdr:from>
    <xdr:to>
      <xdr:col>13</xdr:col>
      <xdr:colOff>81720</xdr:colOff>
      <xdr:row>44</xdr:row>
      <xdr:rowOff>140760</xdr:rowOff>
    </xdr:to>
    <xdr:graphicFrame>
      <xdr:nvGraphicFramePr>
        <xdr:cNvPr id="3" name="Chart 4"/>
        <xdr:cNvGraphicFramePr/>
      </xdr:nvGraphicFramePr>
      <xdr:xfrm>
        <a:off x="5638680" y="6153120"/>
        <a:ext cx="5579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46</xdr:row>
      <xdr:rowOff>0</xdr:rowOff>
    </xdr:from>
    <xdr:to>
      <xdr:col>7</xdr:col>
      <xdr:colOff>82080</xdr:colOff>
      <xdr:row>60</xdr:row>
      <xdr:rowOff>140760</xdr:rowOff>
    </xdr:to>
    <xdr:graphicFrame>
      <xdr:nvGraphicFramePr>
        <xdr:cNvPr id="4" name="Chart 5"/>
        <xdr:cNvGraphicFramePr/>
      </xdr:nvGraphicFramePr>
      <xdr:xfrm>
        <a:off x="141120" y="9201240"/>
        <a:ext cx="5579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46</xdr:row>
      <xdr:rowOff>0</xdr:rowOff>
    </xdr:from>
    <xdr:to>
      <xdr:col>13</xdr:col>
      <xdr:colOff>81720</xdr:colOff>
      <xdr:row>60</xdr:row>
      <xdr:rowOff>140760</xdr:rowOff>
    </xdr:to>
    <xdr:graphicFrame>
      <xdr:nvGraphicFramePr>
        <xdr:cNvPr id="5" name="Chart 6"/>
        <xdr:cNvGraphicFramePr/>
      </xdr:nvGraphicFramePr>
      <xdr:xfrm>
        <a:off x="5638680" y="9201240"/>
        <a:ext cx="5579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62</xdr:row>
      <xdr:rowOff>0</xdr:rowOff>
    </xdr:from>
    <xdr:to>
      <xdr:col>7</xdr:col>
      <xdr:colOff>82080</xdr:colOff>
      <xdr:row>76</xdr:row>
      <xdr:rowOff>140400</xdr:rowOff>
    </xdr:to>
    <xdr:graphicFrame>
      <xdr:nvGraphicFramePr>
        <xdr:cNvPr id="6" name="Chart 7"/>
        <xdr:cNvGraphicFramePr/>
      </xdr:nvGraphicFramePr>
      <xdr:xfrm>
        <a:off x="141120" y="12249000"/>
        <a:ext cx="5579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7</xdr:col>
      <xdr:colOff>0</xdr:colOff>
      <xdr:row>62</xdr:row>
      <xdr:rowOff>0</xdr:rowOff>
    </xdr:from>
    <xdr:to>
      <xdr:col>13</xdr:col>
      <xdr:colOff>81720</xdr:colOff>
      <xdr:row>76</xdr:row>
      <xdr:rowOff>140400</xdr:rowOff>
    </xdr:to>
    <xdr:graphicFrame>
      <xdr:nvGraphicFramePr>
        <xdr:cNvPr id="7" name="Chart 8"/>
        <xdr:cNvGraphicFramePr/>
      </xdr:nvGraphicFramePr>
      <xdr:xfrm>
        <a:off x="5638680" y="12249000"/>
        <a:ext cx="5579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3A"/>
    <pageSetUpPr fitToPage="true"/>
  </sheetPr>
  <dimension ref="B1:F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62"/>
    <col collapsed="false" customWidth="true" hidden="false" outlineLevel="0" max="4" min="4" style="0" width="4"/>
    <col collapsed="false" customWidth="true" hidden="false" outlineLevel="0" max="5" min="5" style="0" width="30"/>
    <col collapsed="false" customWidth="true" hidden="false" outlineLevel="0" max="6" min="6" style="0" width="62"/>
  </cols>
  <sheetData>
    <row r="1" customFormat="false" ht="15" hidden="false" customHeight="false" outlineLevel="0" collapsed="false">
      <c r="B1" s="1"/>
      <c r="C1" s="1"/>
      <c r="D1" s="1"/>
      <c r="E1" s="1"/>
      <c r="F1" s="1"/>
    </row>
    <row r="2" customFormat="false" ht="15" hidden="false" customHeight="false" outlineLevel="0" collapsed="false">
      <c r="B2" s="2" t="s">
        <v>0</v>
      </c>
      <c r="C2" s="1"/>
      <c r="D2" s="1"/>
      <c r="E2" s="1"/>
      <c r="F2" s="1"/>
    </row>
    <row r="3" customFormat="false" ht="36" hidden="false" customHeight="true" outlineLevel="0" collapsed="false">
      <c r="B3" s="3" t="s">
        <v>1</v>
      </c>
      <c r="C3" s="1"/>
      <c r="D3" s="1"/>
      <c r="E3" s="1"/>
      <c r="F3" s="1"/>
    </row>
    <row r="4" customFormat="false" ht="16.15" hidden="false" customHeight="false" outlineLevel="0" collapsed="false">
      <c r="B4" s="4" t="s">
        <v>2</v>
      </c>
      <c r="C4" s="1"/>
      <c r="D4" s="1"/>
      <c r="E4" s="1"/>
      <c r="F4" s="1"/>
    </row>
    <row r="5" customFormat="false" ht="15" hidden="false" customHeight="false" outlineLevel="0" collapsed="false">
      <c r="B5" s="5" t="s">
        <v>3</v>
      </c>
      <c r="C5" s="1"/>
      <c r="D5" s="1"/>
      <c r="E5" s="1"/>
      <c r="F5" s="1"/>
    </row>
    <row r="6" customFormat="false" ht="15" hidden="false" customHeight="false" outlineLevel="0" collapsed="false">
      <c r="B6" s="1"/>
      <c r="C6" s="1"/>
      <c r="D6" s="1"/>
      <c r="E6" s="1"/>
      <c r="F6" s="1"/>
    </row>
    <row r="7" customFormat="false" ht="15" hidden="false" customHeight="false" outlineLevel="0" collapsed="false">
      <c r="B7" s="6" t="s">
        <v>4</v>
      </c>
      <c r="C7" s="1"/>
      <c r="D7" s="1"/>
      <c r="E7" s="1"/>
      <c r="F7" s="1"/>
    </row>
    <row r="8" customFormat="false" ht="15" hidden="false" customHeight="false" outlineLevel="0" collapsed="false">
      <c r="B8" s="7"/>
      <c r="C8" s="7"/>
      <c r="D8" s="7"/>
      <c r="E8" s="7"/>
      <c r="F8" s="7"/>
    </row>
    <row r="10" customFormat="false" ht="15" hidden="false" customHeight="false" outlineLevel="0" collapsed="false">
      <c r="B10" s="8" t="s">
        <v>5</v>
      </c>
      <c r="C10" s="9" t="str">
        <f aca="false">Model_Status</f>
        <v>✔ All 20 integrity checks passed</v>
      </c>
      <c r="D10" s="9"/>
      <c r="E10" s="9"/>
      <c r="F10" s="9"/>
    </row>
    <row r="11" customFormat="false" ht="42" hidden="false" customHeight="true" outlineLevel="0" collapsed="false">
      <c r="B11" s="8" t="s">
        <v>6</v>
      </c>
      <c r="C11" s="10" t="s">
        <v>7</v>
      </c>
      <c r="D11" s="10"/>
      <c r="E11" s="10"/>
      <c r="F11" s="10"/>
    </row>
    <row r="12" customFormat="false" ht="30" hidden="false" customHeight="true" outlineLevel="0" collapsed="false">
      <c r="B12" s="8" t="s">
        <v>8</v>
      </c>
      <c r="C12" s="11" t="s">
        <v>9</v>
      </c>
      <c r="D12" s="11"/>
      <c r="E12" s="11"/>
      <c r="F12" s="11"/>
    </row>
    <row r="14" customFormat="false" ht="15" hidden="false" customHeight="false" outlineLevel="0" collapsed="false">
      <c r="B14" s="12" t="s">
        <v>10</v>
      </c>
      <c r="C14" s="13"/>
      <c r="D14" s="13"/>
      <c r="E14" s="13"/>
      <c r="F14" s="13"/>
    </row>
    <row r="15" customFormat="false" ht="15" hidden="false" customHeight="false" outlineLevel="0" collapsed="false">
      <c r="B15" s="14" t="s">
        <v>11</v>
      </c>
    </row>
    <row r="16" customFormat="false" ht="19.5" hidden="false" customHeight="true" outlineLevel="0" collapsed="false">
      <c r="B16" s="15" t="str">
        <f aca="false">HYPERLINK("#Dashboard!A1","Dashboard")</f>
        <v>Dashboard</v>
      </c>
      <c r="C16" s="16" t="s">
        <v>12</v>
      </c>
    </row>
    <row r="18" customFormat="false" ht="15" hidden="false" customHeight="false" outlineLevel="0" collapsed="false">
      <c r="B18" s="14" t="s">
        <v>13</v>
      </c>
    </row>
    <row r="19" customFormat="false" ht="19.5" hidden="false" customHeight="true" outlineLevel="0" collapsed="false">
      <c r="B19" s="15" t="str">
        <f aca="false">HYPERLINK("#Ratios!A1","Ratios")</f>
        <v>Ratios</v>
      </c>
      <c r="C19" s="16" t="s">
        <v>14</v>
      </c>
    </row>
    <row r="20" customFormat="false" ht="19.5" hidden="false" customHeight="true" outlineLevel="0" collapsed="false">
      <c r="B20" s="15" t="str">
        <f aca="false">HYPERLINK("#Scorecard!A1","Scorecard")</f>
        <v>Scorecard</v>
      </c>
      <c r="C20" s="16" t="s">
        <v>15</v>
      </c>
    </row>
    <row r="21" customFormat="false" ht="19.5" hidden="false" customHeight="true" outlineLevel="0" collapsed="false">
      <c r="B21" s="15" t="str">
        <f aca="false">HYPERLINK("#DuPont!A1","DuPont")</f>
        <v>DuPont</v>
      </c>
      <c r="C21" s="16" t="s">
        <v>16</v>
      </c>
    </row>
    <row r="22" customFormat="false" ht="19.5" hidden="false" customHeight="true" outlineLevel="0" collapsed="false">
      <c r="B22" s="15" t="str">
        <f aca="false">HYPERLINK("#Credit_Risk!A1","Credit Risk")</f>
        <v>Credit Risk</v>
      </c>
      <c r="C22" s="16" t="s">
        <v>17</v>
      </c>
    </row>
    <row r="23" customFormat="false" ht="19.5" hidden="false" customHeight="true" outlineLevel="0" collapsed="false">
      <c r="B23" s="15" t="str">
        <f aca="false">HYPERLINK("#Sensitivity!A1","Sensitivity")</f>
        <v>Sensitivity</v>
      </c>
      <c r="C23" s="16" t="s">
        <v>18</v>
      </c>
    </row>
    <row r="25" customFormat="false" ht="15" hidden="false" customHeight="false" outlineLevel="0" collapsed="false">
      <c r="B25" s="14" t="s">
        <v>19</v>
      </c>
    </row>
    <row r="26" customFormat="false" ht="19.5" hidden="false" customHeight="true" outlineLevel="0" collapsed="false">
      <c r="B26" s="15" t="str">
        <f aca="false">HYPERLINK("#FS_Data!A1","FS Data")</f>
        <v>FS Data</v>
      </c>
      <c r="C26" s="16" t="s">
        <v>20</v>
      </c>
    </row>
    <row r="27" customFormat="false" ht="19.5" hidden="false" customHeight="true" outlineLevel="0" collapsed="false">
      <c r="B27" s="15" t="str">
        <f aca="false">HYPERLINK("#Benchmarks!A1","Benchmarks")</f>
        <v>Benchmarks</v>
      </c>
      <c r="C27" s="16" t="s">
        <v>21</v>
      </c>
    </row>
    <row r="28" customFormat="false" ht="19.5" hidden="false" customHeight="true" outlineLevel="0" collapsed="false">
      <c r="B28" s="15" t="str">
        <f aca="false">HYPERLINK("#Chart_Data!A1","Chart Data")</f>
        <v>Chart Data</v>
      </c>
      <c r="C28" s="16" t="s">
        <v>22</v>
      </c>
    </row>
    <row r="29" customFormat="false" ht="19.5" hidden="false" customHeight="true" outlineLevel="0" collapsed="false">
      <c r="B29" s="15" t="str">
        <f aca="false">HYPERLINK("#Lists!A1","Lists")</f>
        <v>Lists</v>
      </c>
      <c r="C29" s="16" t="s">
        <v>23</v>
      </c>
    </row>
    <row r="30" customFormat="false" ht="19.5" hidden="false" customHeight="true" outlineLevel="0" collapsed="false">
      <c r="B30" s="15" t="str">
        <f aca="false">HYPERLINK("#Checks!A1","Checks")</f>
        <v>Checks</v>
      </c>
      <c r="C30" s="16" t="s">
        <v>24</v>
      </c>
    </row>
    <row r="31" customFormat="false" ht="19.5" hidden="false" customHeight="true" outlineLevel="0" collapsed="false">
      <c r="B31" s="15" t="str">
        <f aca="false">HYPERLINK("#Documentation!A1","Documentation")</f>
        <v>Documentation</v>
      </c>
      <c r="C31" s="16" t="s">
        <v>25</v>
      </c>
    </row>
  </sheetData>
  <mergeCells count="3">
    <mergeCell ref="C10:F10"/>
    <mergeCell ref="C11:F11"/>
    <mergeCell ref="C12:F12"/>
  </mergeCells>
  <conditionalFormatting sqref="C10">
    <cfRule type="expression" priority="2" aboveAverage="0" equalAverage="0" bottom="0" percent="0" rank="0" text="" dxfId="0">
      <formula>LEFT(C10,1)="✔"</formula>
    </cfRule>
    <cfRule type="expression" priority="3" aboveAverage="0" equalAverage="0" bottom="0" percent="0" rank="0" text="" dxfId="1">
      <formula>LEFT(C10,1)="✖"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3A"/>
    <pageSetUpPr fitToPage="true"/>
  </sheetPr>
  <dimension ref="B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05"/>
  </cols>
  <sheetData>
    <row r="1" customFormat="false" ht="24" hidden="false" customHeight="true" outlineLevel="0" collapsed="false">
      <c r="B1" s="17" t="s">
        <v>26</v>
      </c>
    </row>
    <row r="2" customFormat="false" ht="15" hidden="false" customHeight="false" outlineLevel="0" collapsed="false">
      <c r="B2" s="18" t="s">
        <v>27</v>
      </c>
    </row>
    <row r="3" customFormat="false" ht="15" hidden="false" customHeight="false" outlineLevel="0" collapsed="false">
      <c r="B3" s="19" t="str">
        <f aca="false">HYPERLINK("#Cover!A1","◄ Back to Cover")</f>
        <v>◄ Back to Cover</v>
      </c>
    </row>
    <row r="5" customFormat="false" ht="15" hidden="false" customHeight="false" outlineLevel="0" collapsed="false">
      <c r="B5" s="12" t="s">
        <v>28</v>
      </c>
      <c r="C5" s="13"/>
    </row>
    <row r="6" customFormat="false" ht="39" hidden="false" customHeight="true" outlineLevel="0" collapsed="false">
      <c r="B6" s="20" t="s">
        <v>29</v>
      </c>
      <c r="C6" s="21" t="s">
        <v>30</v>
      </c>
    </row>
    <row r="7" customFormat="false" ht="25.5" hidden="false" customHeight="true" outlineLevel="0" collapsed="false">
      <c r="B7" s="20" t="s">
        <v>31</v>
      </c>
      <c r="C7" s="21" t="s">
        <v>32</v>
      </c>
    </row>
    <row r="9" customFormat="false" ht="15" hidden="false" customHeight="false" outlineLevel="0" collapsed="false">
      <c r="B9" s="12" t="s">
        <v>33</v>
      </c>
      <c r="C9" s="13"/>
    </row>
    <row r="10" customFormat="false" ht="15" hidden="false" customHeight="true" outlineLevel="0" collapsed="false">
      <c r="B10" s="20" t="s">
        <v>34</v>
      </c>
      <c r="C10" s="21" t="s">
        <v>35</v>
      </c>
    </row>
    <row r="11" customFormat="false" ht="39" hidden="false" customHeight="true" outlineLevel="0" collapsed="false">
      <c r="B11" s="20" t="s">
        <v>36</v>
      </c>
      <c r="C11" s="21" t="s">
        <v>37</v>
      </c>
    </row>
    <row r="12" customFormat="false" ht="25.5" hidden="false" customHeight="true" outlineLevel="0" collapsed="false">
      <c r="B12" s="20" t="s">
        <v>38</v>
      </c>
      <c r="C12" s="21" t="s">
        <v>39</v>
      </c>
    </row>
    <row r="13" customFormat="false" ht="25.5" hidden="false" customHeight="true" outlineLevel="0" collapsed="false">
      <c r="B13" s="20" t="s">
        <v>40</v>
      </c>
      <c r="C13" s="21" t="s">
        <v>41</v>
      </c>
    </row>
    <row r="14" customFormat="false" ht="25.5" hidden="false" customHeight="true" outlineLevel="0" collapsed="false">
      <c r="B14" s="20" t="s">
        <v>42</v>
      </c>
      <c r="C14" s="21" t="s">
        <v>43</v>
      </c>
    </row>
    <row r="16" customFormat="false" ht="15" hidden="false" customHeight="false" outlineLevel="0" collapsed="false">
      <c r="B16" s="12" t="s">
        <v>44</v>
      </c>
      <c r="C16" s="13"/>
    </row>
    <row r="17" customFormat="false" ht="15" hidden="false" customHeight="true" outlineLevel="0" collapsed="false">
      <c r="B17" s="20" t="s">
        <v>45</v>
      </c>
      <c r="C17" s="21" t="s">
        <v>46</v>
      </c>
    </row>
    <row r="18" customFormat="false" ht="15" hidden="false" customHeight="true" outlineLevel="0" collapsed="false">
      <c r="B18" s="20" t="s">
        <v>47</v>
      </c>
      <c r="C18" s="21" t="s">
        <v>48</v>
      </c>
    </row>
    <row r="19" customFormat="false" ht="25.5" hidden="false" customHeight="true" outlineLevel="0" collapsed="false">
      <c r="B19" s="20" t="s">
        <v>49</v>
      </c>
      <c r="C19" s="21" t="s">
        <v>50</v>
      </c>
    </row>
    <row r="21" customFormat="false" ht="15" hidden="false" customHeight="false" outlineLevel="0" collapsed="false">
      <c r="B21" s="12" t="s">
        <v>51</v>
      </c>
      <c r="C21" s="13"/>
    </row>
    <row r="22" customFormat="false" ht="15" hidden="false" customHeight="true" outlineLevel="0" collapsed="false">
      <c r="B22" s="20" t="s">
        <v>52</v>
      </c>
      <c r="C22" s="21" t="s">
        <v>53</v>
      </c>
    </row>
    <row r="23" customFormat="false" ht="15" hidden="false" customHeight="true" outlineLevel="0" collapsed="false">
      <c r="B23" s="20" t="s">
        <v>54</v>
      </c>
      <c r="C23" s="21" t="s">
        <v>55</v>
      </c>
    </row>
    <row r="24" customFormat="false" ht="25.5" hidden="false" customHeight="true" outlineLevel="0" collapsed="false">
      <c r="B24" s="20" t="s">
        <v>56</v>
      </c>
      <c r="C24" s="21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B1:M8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3"/>
  </cols>
  <sheetData>
    <row r="1" customFormat="false" ht="24" hidden="false" customHeight="true" outlineLevel="0" collapsed="false">
      <c r="B1" s="17" t="s">
        <v>1</v>
      </c>
    </row>
    <row r="2" customFormat="false" ht="15" hidden="false" customHeight="false" outlineLevel="0" collapsed="false">
      <c r="B2" s="18" t="s">
        <v>27</v>
      </c>
    </row>
    <row r="3" customFormat="false" ht="15" hidden="false" customHeight="false" outlineLevel="0" collapsed="false">
      <c r="B3" s="19" t="str">
        <f aca="false">HYPERLINK("#Cover!A1","◄ Back to Cover")</f>
        <v>◄ Back to Cover</v>
      </c>
    </row>
    <row r="5" customFormat="false" ht="15" hidden="false" customHeight="false" outlineLevel="0" collapsed="false">
      <c r="B5" s="22" t="s">
        <v>58</v>
      </c>
      <c r="C5" s="23" t="n">
        <v>2025</v>
      </c>
      <c r="E5" s="24" t="s">
        <v>59</v>
      </c>
      <c r="F5" s="25" t="str">
        <f aca="false">Bench_Set</f>
        <v>Top quartile</v>
      </c>
      <c r="G5" s="25"/>
      <c r="H5" s="24" t="s">
        <v>60</v>
      </c>
      <c r="I5" s="9" t="str">
        <f aca="false">Model_Status</f>
        <v>✔ All 20 integrity checks passed</v>
      </c>
      <c r="J5" s="9"/>
      <c r="K5" s="9"/>
      <c r="L5" s="9"/>
      <c r="M5" s="9"/>
    </row>
    <row r="7" customFormat="false" ht="15" hidden="false" customHeight="false" outlineLevel="0" collapsed="false">
      <c r="B7" s="26" t="s">
        <v>61</v>
      </c>
      <c r="C7" s="26"/>
      <c r="D7" s="26"/>
      <c r="E7" s="26" t="s">
        <v>62</v>
      </c>
      <c r="F7" s="26"/>
      <c r="G7" s="26"/>
      <c r="H7" s="26" t="s">
        <v>63</v>
      </c>
      <c r="I7" s="26"/>
      <c r="J7" s="26"/>
      <c r="K7" s="26" t="s">
        <v>64</v>
      </c>
      <c r="L7" s="26"/>
      <c r="M7" s="26"/>
    </row>
    <row r="8" customFormat="false" ht="27.75" hidden="false" customHeight="true" outlineLevel="0" collapsed="false">
      <c r="B8" s="27" t="n">
        <f aca="false">INDEX(Scorecard!$J$33:$L$33,MATCH(Dash_Year,Scorecard!$J$9:$L$9,0))</f>
        <v>84.3309018060044</v>
      </c>
      <c r="C8" s="27"/>
      <c r="D8" s="27"/>
      <c r="E8" s="28" t="n">
        <f aca="false">INDEX(Ratios!$D$12:$F$12,MATCH(Dash_Year,Ratios!$D$5:$F$5,0))</f>
        <v>0.161643835616438</v>
      </c>
      <c r="F8" s="28"/>
      <c r="G8" s="28"/>
      <c r="H8" s="28" t="n">
        <f aca="false">INDEX(Ratios!$D$10:$F$10,MATCH(Dash_Year,Ratios!$D$5:$F$5,0))</f>
        <v>0.0384660473323859</v>
      </c>
      <c r="I8" s="28"/>
      <c r="J8" s="28"/>
      <c r="K8" s="29" t="n">
        <f aca="false">INDEX(Ratios!$D$15:$F$15,MATCH(Dash_Year,Ratios!$D$5:$F$5,0))</f>
        <v>1.75515074326367</v>
      </c>
      <c r="L8" s="29"/>
      <c r="M8" s="29"/>
    </row>
    <row r="9" customFormat="false" ht="15" hidden="false" customHeight="false" outlineLevel="0" collapsed="false">
      <c r="B9" s="30" t="str">
        <f aca="false">"Grade "&amp;INDEX(Scorecard!$J$34:$L$34,MATCH(Dash_Year,Scorecard!$J$9:$L$9,0))&amp;" - "&amp;INDEX(Scorecard!$J$35:$L$35,MATCH(Dash_Year,Scorecard!$J$9:$L$9,0))</f>
        <v>Grade B - Good</v>
      </c>
      <c r="C9" s="30"/>
      <c r="D9" s="30"/>
      <c r="E9" s="30" t="str">
        <f aca="false">IF(IF(Scorecard!$F$14="Higher",INDEX(Ratios!$D$12:$F$12,MATCH(Dash_Year,Ratios!$D$5:$F$5,0))&gt;=Scorecard!$E$14,INDEX(Ratios!$D$12:$F$12,MATCH(Dash_Year,Ratios!$D$5:$F$5,0))&lt;=Scorecard!$E$14),"✔ Meets benchmark (",IF(IF(Scorecard!$F$14="Higher",INDEX(Ratios!$D$12:$F$12,MATCH(Dash_Year,Ratios!$D$5:$F$5,0))&gt;=0.8*Scorecard!$E$14,INDEX(Ratios!$D$12:$F$12,MATCH(Dash_Year,Ratios!$D$5:$F$5,0))&lt;=1.25*Scorecard!$E$14),"● Within 20% of benchmark (","✖ Misses benchmark ("))&amp;TEXT(Scorecard!$E$14,"0.0%")&amp;")"</f>
        <v>● Within 20% of benchmark (20.0%)</v>
      </c>
      <c r="F9" s="30"/>
      <c r="G9" s="30"/>
      <c r="H9" s="30" t="str">
        <f aca="false">IF(IF(Scorecard!$F$12="Higher",INDEX(Ratios!$D$10:$F$10,MATCH(Dash_Year,Ratios!$D$5:$F$5,0))&gt;=Scorecard!$E$12,INDEX(Ratios!$D$10:$F$10,MATCH(Dash_Year,Ratios!$D$5:$F$5,0))&lt;=Scorecard!$E$12),"✔ Meets benchmark (",IF(IF(Scorecard!$F$12="Higher",INDEX(Ratios!$D$10:$F$10,MATCH(Dash_Year,Ratios!$D$5:$F$5,0))&gt;=0.8*Scorecard!$E$12,INDEX(Ratios!$D$10:$F$10,MATCH(Dash_Year,Ratios!$D$5:$F$5,0))&lt;=1.25*Scorecard!$E$12),"● Within 20% of benchmark (","✖ Misses benchmark ("))&amp;TEXT(Scorecard!$E$12,"0.0%")&amp;")"</f>
        <v>✖ Misses benchmark (5.0%)</v>
      </c>
      <c r="I9" s="30"/>
      <c r="J9" s="30"/>
      <c r="K9" s="30" t="str">
        <f aca="false">IF(IF(Scorecard!$F$15="Higher",INDEX(Ratios!$D$15:$F$15,MATCH(Dash_Year,Ratios!$D$5:$F$5,0))&gt;=Scorecard!$E$15,INDEX(Ratios!$D$15:$F$15,MATCH(Dash_Year,Ratios!$D$5:$F$5,0))&lt;=Scorecard!$E$15),"✔ Meets benchmark (",IF(IF(Scorecard!$F$15="Higher",INDEX(Ratios!$D$15:$F$15,MATCH(Dash_Year,Ratios!$D$5:$F$5,0))&gt;=0.8*Scorecard!$E$15,INDEX(Ratios!$D$15:$F$15,MATCH(Dash_Year,Ratios!$D$5:$F$5,0))&lt;=1.25*Scorecard!$E$15),"● Within 20% of benchmark (","✖ Misses benchmark ("))&amp;TEXT(Scorecard!$E$15,"0.00")&amp;")"</f>
        <v>● Within 20% of benchmark (2.00)</v>
      </c>
      <c r="L9" s="30"/>
      <c r="M9" s="30"/>
    </row>
    <row r="11" customFormat="false" ht="15" hidden="false" customHeight="false" outlineLevel="0" collapsed="false">
      <c r="B11" s="26" t="s">
        <v>65</v>
      </c>
      <c r="C11" s="26"/>
      <c r="D11" s="26"/>
      <c r="E11" s="26" t="s">
        <v>66</v>
      </c>
      <c r="F11" s="26"/>
      <c r="G11" s="26"/>
      <c r="H11" s="26" t="s">
        <v>67</v>
      </c>
      <c r="I11" s="26"/>
      <c r="J11" s="26"/>
      <c r="K11" s="26" t="s">
        <v>68</v>
      </c>
      <c r="L11" s="26"/>
      <c r="M11" s="26"/>
    </row>
    <row r="12" customFormat="false" ht="27.75" hidden="false" customHeight="true" outlineLevel="0" collapsed="false">
      <c r="B12" s="29" t="n">
        <f aca="false">INDEX(Ratios!$D$21:$F$21,MATCH(Dash_Year,Ratios!$D$5:$F$5,0))</f>
        <v>0.543962830569893</v>
      </c>
      <c r="C12" s="29"/>
      <c r="D12" s="29"/>
      <c r="E12" s="31" t="n">
        <f aca="false">INDEX(Ratios!$D$25:$F$25,MATCH(Dash_Year,Ratios!$D$5:$F$5,0))</f>
        <v>5.1969049247606</v>
      </c>
      <c r="F12" s="31"/>
      <c r="G12" s="31"/>
      <c r="H12" s="27" t="n">
        <f aca="false">INDEX(Ratios!$D$36:$F$36,MATCH(Dash_Year,Ratios!$D$5:$F$5,0))</f>
        <v>35.9958178387628</v>
      </c>
      <c r="I12" s="27"/>
      <c r="J12" s="27"/>
      <c r="K12" s="32" t="n">
        <f aca="false">INDEX(Credit_Risk!$D$11:$F$11,MATCH(Dash_Year,Credit_Risk!$D$5:$F$5,0))</f>
        <v>7.53622319747884</v>
      </c>
      <c r="L12" s="32"/>
      <c r="M12" s="32"/>
    </row>
    <row r="13" customFormat="false" ht="15" hidden="false" customHeight="false" outlineLevel="0" collapsed="false">
      <c r="B13" s="30" t="str">
        <f aca="false">IF(IF(Scorecard!$F$19="Higher",INDEX(Ratios!$D$21:$F$21,MATCH(Dash_Year,Ratios!$D$5:$F$5,0))&gt;=Scorecard!$E$19,INDEX(Ratios!$D$21:$F$21,MATCH(Dash_Year,Ratios!$D$5:$F$5,0))&lt;=Scorecard!$E$19),"✔ Meets benchmark (",IF(IF(Scorecard!$F$19="Higher",INDEX(Ratios!$D$21:$F$21,MATCH(Dash_Year,Ratios!$D$5:$F$5,0))&gt;=0.8*Scorecard!$E$19,INDEX(Ratios!$D$21:$F$21,MATCH(Dash_Year,Ratios!$D$5:$F$5,0))&lt;=1.25*Scorecard!$E$19),"● Within 20% of benchmark (","✖ Misses benchmark ("))&amp;TEXT(Scorecard!$E$19,"0.00")&amp;")"</f>
        <v>● Within 20% of benchmark (0.50)</v>
      </c>
      <c r="C13" s="30"/>
      <c r="D13" s="30"/>
      <c r="E13" s="30" t="str">
        <f aca="false">IF(IF(Scorecard!$F$21="Higher",INDEX(Ratios!$D$25:$F$25,MATCH(Dash_Year,Ratios!$D$5:$F$5,0))&gt;=Scorecard!$E$21,INDEX(Ratios!$D$25:$F$25,MATCH(Dash_Year,Ratios!$D$5:$F$5,0))&lt;=Scorecard!$E$21),"✔ Meets benchmark (",IF(IF(Scorecard!$F$21="Higher",INDEX(Ratios!$D$25:$F$25,MATCH(Dash_Year,Ratios!$D$5:$F$5,0))&gt;=0.8*Scorecard!$E$21,INDEX(Ratios!$D$25:$F$25,MATCH(Dash_Year,Ratios!$D$5:$F$5,0))&lt;=1.25*Scorecard!$E$21),"● Within 20% of benchmark (","✖ Misses benchmark ("))&amp;TEXT(Scorecard!$E$21,"0.0")&amp;")"</f>
        <v>✖ Misses benchmark (7.0)</v>
      </c>
      <c r="F13" s="30"/>
      <c r="G13" s="30"/>
      <c r="H13" s="30" t="str">
        <f aca="false">IF(IF(Scorecard!$F$25="Higher",INDEX(Ratios!$D$36:$F$36,MATCH(Dash_Year,Ratios!$D$5:$F$5,0))&gt;=Scorecard!$E$25,INDEX(Ratios!$D$36:$F$36,MATCH(Dash_Year,Ratios!$D$5:$F$5,0))&lt;=Scorecard!$E$25),"✔ Meets benchmark (",IF(IF(Scorecard!$F$25="Higher",INDEX(Ratios!$D$36:$F$36,MATCH(Dash_Year,Ratios!$D$5:$F$5,0))&gt;=0.8*Scorecard!$E$25,INDEX(Ratios!$D$36:$F$36,MATCH(Dash_Year,Ratios!$D$5:$F$5,0))&lt;=1.25*Scorecard!$E$25),"● Within 20% of benchmark (","✖ Misses benchmark ("))&amp;TEXT(Scorecard!$E$25,"0")&amp;")"</f>
        <v>✖ Misses benchmark (25)</v>
      </c>
      <c r="I13" s="30"/>
      <c r="J13" s="30"/>
      <c r="K13" s="30" t="str">
        <f aca="false">"Zone: "&amp;INDEX(Credit_Risk!$D$12:$F$12,MATCH(Dash_Year,Credit_Risk!$D$5:$F$5,0))</f>
        <v>Zone: Safe</v>
      </c>
      <c r="L13" s="30"/>
      <c r="M13" s="30"/>
    </row>
    <row r="80" customFormat="false" ht="15" hidden="false" customHeight="false" outlineLevel="0" collapsed="false">
      <c r="B80" s="12" t="s">
        <v>69</v>
      </c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</row>
    <row r="81" customFormat="false" ht="19.5" hidden="false" customHeight="true" outlineLevel="0" collapsed="false">
      <c r="B81" s="33" t="str">
        <f aca="false">"1. Financial health score is "&amp;TEXT(INDEX(Scorecard!$J$33:$L$33,MATCH(Dash_Year,Scorecard!$J$9:$L$9,0)),"0.0")&amp;" out of 100 against the "&amp;Bench_Set&amp;" benchmark set (grade "&amp;INDEX(Scorecard!$J$34:$L$34,MATCH(Dash_Year,Scorecard!$J$9:$L$9,0))&amp;")."</f>
        <v>1. Financial health score is 84.3 out of 100 against the Top quartile benchmark set (grade B).</v>
      </c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</row>
    <row r="82" customFormat="false" ht="19.5" hidden="false" customHeight="true" outlineLevel="0" collapsed="false">
      <c r="B82" s="33" t="str">
        <f aca="false">"2. Profitability: gross margin "&amp;TEXT(INDEX(Ratios!$D$7:$F$7,MATCH(Dash_Year,Ratios!$D$5:$F$5,0)),"0.0%")&amp;", net margin "&amp;TEXT(INDEX(Ratios!$D$10:$F$10,MATCH(Dash_Year,Ratios!$D$5:$F$5,0)),"0.0%")&amp;" and ROE "&amp;TEXT(INDEX(Ratios!$D$12:$F$12,MATCH(Dash_Year,Ratios!$D$5:$F$5,0)),"0.0%")&amp;"."</f>
        <v>2. Profitability: gross margin 25.7%, net margin 3.8% and ROE 16.2%.</v>
      </c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</row>
    <row r="83" customFormat="false" ht="19.5" hidden="false" customHeight="true" outlineLevel="0" collapsed="false">
      <c r="B83" s="33" t="str">
        <f aca="false">"3. Liquidity: current ratio "&amp;TEXT(INDEX(Ratios!$D$15:$F$15,MATCH(Dash_Year,Ratios!$D$5:$F$5,0)),"0.00")&amp;"x and quick ratio "&amp;TEXT(INDEX(Ratios!$D$16:$F$16,MATCH(Dash_Year,Ratios!$D$5:$F$5,0)),"0.00")&amp;"x; cash conversion cycle "&amp;TEXT(INDEX(Ratios!$D$36:$F$36,MATCH(Dash_Year,Ratios!$D$5:$F$5,0)),"0")&amp;" days."</f>
        <v>3. Liquidity: current ratio 1.76x and quick ratio 1.13x; cash conversion cycle 36 days.</v>
      </c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</row>
    <row r="84" customFormat="false" ht="19.5" hidden="false" customHeight="true" outlineLevel="0" collapsed="false">
      <c r="B84" s="33" t="str">
        <f aca="false">"4. Leverage: borrowings-to-equity "&amp;TEXT(INDEX(Ratios!$D$21:$F$21,MATCH(Dash_Year,Ratios!$D$5:$F$5,0)),"0.00")&amp;"x, interest cover "&amp;TEXT(INDEX(Ratios!$D$25:$F$25,MATCH(Dash_Year,Ratios!$D$5:$F$5,0)),"0.0")&amp;"x, net debt "&amp;TEXT(INDEX(Ratios!$D$27:$F$27,MATCH(Dash_Year,Ratios!$D$5:$F$5,0)),"0.0")&amp;"x EBITDA."</f>
        <v>4. Leverage: borrowings-to-equity 0.54x, interest cover 5.2x, net debt 0.6x EBITDA.</v>
      </c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</row>
    <row r="85" customFormat="false" ht="19.5" hidden="false" customHeight="true" outlineLevel="0" collapsed="false">
      <c r="B85" s="33" t="str">
        <f aca="false">"5. Credit risk: Altman Z''-score of "&amp;TEXT(INDEX(Credit_Risk!$D$11:$F$11,MATCH(Dash_Year,Credit_Risk!$D$5:$F$5,0)),"0.00")&amp;" places the company in the "&amp;INDEX(Credit_Risk!$D$12:$F$12,MATCH(Dash_Year,Credit_Risk!$D$5:$F$5,0))&amp;" zone."</f>
        <v>5. Credit risk: Altman Z''-score of 7.54 places the company in the Safe zone.</v>
      </c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</row>
  </sheetData>
  <mergeCells count="31">
    <mergeCell ref="F5:G5"/>
    <mergeCell ref="I5:M5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1:D11"/>
    <mergeCell ref="E11:G11"/>
    <mergeCell ref="H11:J11"/>
    <mergeCell ref="K11:M11"/>
    <mergeCell ref="B12:D12"/>
    <mergeCell ref="E12:G12"/>
    <mergeCell ref="H12:J12"/>
    <mergeCell ref="K12:M12"/>
    <mergeCell ref="B13:D13"/>
    <mergeCell ref="E13:G13"/>
    <mergeCell ref="H13:J13"/>
    <mergeCell ref="K13:M13"/>
    <mergeCell ref="B81:M81"/>
    <mergeCell ref="B82:M82"/>
    <mergeCell ref="B83:M83"/>
    <mergeCell ref="B84:M84"/>
    <mergeCell ref="B85:M85"/>
  </mergeCells>
  <conditionalFormatting sqref="I5">
    <cfRule type="expression" priority="2" aboveAverage="0" equalAverage="0" bottom="0" percent="0" rank="0" text="" dxfId="0">
      <formula>LEFT(I5,1)="✔"</formula>
    </cfRule>
    <cfRule type="expression" priority="3" aboveAverage="0" equalAverage="0" bottom="0" percent="0" rank="0" text="" dxfId="1">
      <formula>LEFT(I5,1)="✖"</formula>
    </cfRule>
  </conditionalFormatting>
  <conditionalFormatting sqref="B9">
    <cfRule type="expression" priority="4" aboveAverage="0" equalAverage="0" bottom="0" percent="0" rank="0" text="" dxfId="2">
      <formula>OR(LEFT(B9,1)="▲",LEFT(B9,1)="✔")</formula>
    </cfRule>
    <cfRule type="expression" priority="5" aboveAverage="0" equalAverage="0" bottom="0" percent="0" rank="0" text="" dxfId="3">
      <formula>OR(LEFT(B9,1)="▼",LEFT(B9,1)="✖")</formula>
    </cfRule>
    <cfRule type="expression" priority="6" aboveAverage="0" equalAverage="0" bottom="0" percent="0" rank="0" text="" dxfId="4">
      <formula>LEFT(B9,1)="●"</formula>
    </cfRule>
    <cfRule type="expression" priority="7" aboveAverage="0" equalAverage="0" bottom="0" percent="0" rank="0" text="" dxfId="5">
      <formula>1</formula>
    </cfRule>
  </conditionalFormatting>
  <conditionalFormatting sqref="E9">
    <cfRule type="expression" priority="8" aboveAverage="0" equalAverage="0" bottom="0" percent="0" rank="0" text="" dxfId="2">
      <formula>OR(LEFT(E9,1)="▲",LEFT(E9,1)="✔")</formula>
    </cfRule>
    <cfRule type="expression" priority="9" aboveAverage="0" equalAverage="0" bottom="0" percent="0" rank="0" text="" dxfId="3">
      <formula>OR(LEFT(E9,1)="▼",LEFT(E9,1)="✖")</formula>
    </cfRule>
    <cfRule type="expression" priority="10" aboveAverage="0" equalAverage="0" bottom="0" percent="0" rank="0" text="" dxfId="4">
      <formula>LEFT(E9,1)="●"</formula>
    </cfRule>
  </conditionalFormatting>
  <conditionalFormatting sqref="H9">
    <cfRule type="expression" priority="11" aboveAverage="0" equalAverage="0" bottom="0" percent="0" rank="0" text="" dxfId="2">
      <formula>OR(LEFT(H9,1)="▲",LEFT(H9,1)="✔")</formula>
    </cfRule>
    <cfRule type="expression" priority="12" aboveAverage="0" equalAverage="0" bottom="0" percent="0" rank="0" text="" dxfId="3">
      <formula>OR(LEFT(H9,1)="▼",LEFT(H9,1)="✖")</formula>
    </cfRule>
    <cfRule type="expression" priority="13" aboveAverage="0" equalAverage="0" bottom="0" percent="0" rank="0" text="" dxfId="4">
      <formula>LEFT(H9,1)="●"</formula>
    </cfRule>
  </conditionalFormatting>
  <conditionalFormatting sqref="K9">
    <cfRule type="expression" priority="14" aboveAverage="0" equalAverage="0" bottom="0" percent="0" rank="0" text="" dxfId="2">
      <formula>OR(LEFT(K9,1)="▲",LEFT(K9,1)="✔")</formula>
    </cfRule>
    <cfRule type="expression" priority="15" aboveAverage="0" equalAverage="0" bottom="0" percent="0" rank="0" text="" dxfId="3">
      <formula>OR(LEFT(K9,1)="▼",LEFT(K9,1)="✖")</formula>
    </cfRule>
    <cfRule type="expression" priority="16" aboveAverage="0" equalAverage="0" bottom="0" percent="0" rank="0" text="" dxfId="4">
      <formula>LEFT(K9,1)="●"</formula>
    </cfRule>
  </conditionalFormatting>
  <conditionalFormatting sqref="B13">
    <cfRule type="expression" priority="17" aboveAverage="0" equalAverage="0" bottom="0" percent="0" rank="0" text="" dxfId="2">
      <formula>OR(LEFT(B13,1)="▲",LEFT(B13,1)="✔")</formula>
    </cfRule>
    <cfRule type="expression" priority="18" aboveAverage="0" equalAverage="0" bottom="0" percent="0" rank="0" text="" dxfId="3">
      <formula>OR(LEFT(B13,1)="▼",LEFT(B13,1)="✖")</formula>
    </cfRule>
    <cfRule type="expression" priority="19" aboveAverage="0" equalAverage="0" bottom="0" percent="0" rank="0" text="" dxfId="4">
      <formula>LEFT(B13,1)="●"</formula>
    </cfRule>
  </conditionalFormatting>
  <conditionalFormatting sqref="E13">
    <cfRule type="expression" priority="20" aboveAverage="0" equalAverage="0" bottom="0" percent="0" rank="0" text="" dxfId="2">
      <formula>OR(LEFT(E13,1)="▲",LEFT(E13,1)="✔")</formula>
    </cfRule>
    <cfRule type="expression" priority="21" aboveAverage="0" equalAverage="0" bottom="0" percent="0" rank="0" text="" dxfId="3">
      <formula>OR(LEFT(E13,1)="▼",LEFT(E13,1)="✖")</formula>
    </cfRule>
    <cfRule type="expression" priority="22" aboveAverage="0" equalAverage="0" bottom="0" percent="0" rank="0" text="" dxfId="4">
      <formula>LEFT(E13,1)="●"</formula>
    </cfRule>
  </conditionalFormatting>
  <conditionalFormatting sqref="H13">
    <cfRule type="expression" priority="23" aboveAverage="0" equalAverage="0" bottom="0" percent="0" rank="0" text="" dxfId="2">
      <formula>OR(LEFT(H13,1)="▲",LEFT(H13,1)="✔")</formula>
    </cfRule>
    <cfRule type="expression" priority="24" aboveAverage="0" equalAverage="0" bottom="0" percent="0" rank="0" text="" dxfId="3">
      <formula>OR(LEFT(H13,1)="▼",LEFT(H13,1)="✖")</formula>
    </cfRule>
    <cfRule type="expression" priority="25" aboveAverage="0" equalAverage="0" bottom="0" percent="0" rank="0" text="" dxfId="4">
      <formula>LEFT(H13,1)="●"</formula>
    </cfRule>
  </conditionalFormatting>
  <conditionalFormatting sqref="K13">
    <cfRule type="expression" priority="26" aboveAverage="0" equalAverage="0" bottom="0" percent="0" rank="0" text="" dxfId="2">
      <formula>OR(LEFT(K13,1)="▲",LEFT(K13,1)="✔")</formula>
    </cfRule>
    <cfRule type="expression" priority="27" aboveAverage="0" equalAverage="0" bottom="0" percent="0" rank="0" text="" dxfId="3">
      <formula>OR(LEFT(K13,1)="▼",LEFT(K13,1)="✖")</formula>
    </cfRule>
    <cfRule type="expression" priority="28" aboveAverage="0" equalAverage="0" bottom="0" percent="0" rank="0" text="" dxfId="4">
      <formula>LEFT(K13,1)="●"</formula>
    </cfRule>
  </conditionalFormatting>
  <dataValidations count="1">
    <dataValidation allowBlank="false" error="Pick a value from the list." errorStyle="stop" errorTitle="Invalid selection" operator="between" showDropDown="false" showErrorMessage="true" showInputMessage="false" sqref="C5" type="list">
      <formula1>FY_List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C9BB0"/>
    <pageSetUpPr fitToPage="true"/>
  </sheetPr>
  <dimension ref="B1:H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6" min="4" style="0" width="13"/>
    <col collapsed="false" customWidth="true" hidden="false" outlineLevel="0" max="7" min="7" style="0" width="14"/>
    <col collapsed="false" customWidth="true" hidden="false" outlineLevel="0" max="8" min="8" style="0" width="62"/>
  </cols>
  <sheetData>
    <row r="1" customFormat="false" ht="24" hidden="false" customHeight="true" outlineLevel="0" collapsed="false">
      <c r="B1" s="17" t="s">
        <v>70</v>
      </c>
    </row>
    <row r="2" customFormat="false" ht="15" hidden="false" customHeight="false" outlineLevel="0" collapsed="false">
      <c r="B2" s="18" t="s">
        <v>71</v>
      </c>
    </row>
    <row r="3" customFormat="false" ht="15" hidden="false" customHeight="false" outlineLevel="0" collapsed="false">
      <c r="B3" s="19" t="str">
        <f aca="false">HYPERLINK("#Cover!A1","◄ Back to Cover")</f>
        <v>◄ Back to Cover</v>
      </c>
    </row>
    <row r="5" customFormat="false" ht="30" hidden="false" customHeight="true" outlineLevel="0" collapsed="false">
      <c r="B5" s="34" t="s">
        <v>72</v>
      </c>
      <c r="C5" s="35" t="s">
        <v>73</v>
      </c>
      <c r="D5" s="36" t="n">
        <f aca="false">FS_Data!D$5</f>
        <v>2023</v>
      </c>
      <c r="E5" s="36" t="n">
        <f aca="false">FS_Data!E$5</f>
        <v>2024</v>
      </c>
      <c r="F5" s="36" t="n">
        <f aca="false">FS_Data!F$5</f>
        <v>2025</v>
      </c>
      <c r="G5" s="35" t="s">
        <v>74</v>
      </c>
      <c r="H5" s="35" t="s">
        <v>75</v>
      </c>
    </row>
    <row r="6" customFormat="false" ht="15" hidden="false" customHeight="false" outlineLevel="0" collapsed="false">
      <c r="B6" s="12" t="s">
        <v>76</v>
      </c>
      <c r="C6" s="13"/>
      <c r="D6" s="13"/>
      <c r="E6" s="13"/>
      <c r="F6" s="13"/>
      <c r="G6" s="13"/>
      <c r="H6" s="13"/>
    </row>
    <row r="7" customFormat="false" ht="15" hidden="false" customHeight="false" outlineLevel="0" collapsed="false">
      <c r="B7" s="37" t="s">
        <v>77</v>
      </c>
      <c r="C7" s="38" t="s">
        <v>78</v>
      </c>
      <c r="D7" s="39" t="n">
        <f aca="false">IFERROR(FS_Data!D9/FS_Data!D7,0)</f>
        <v>0.252267031047913</v>
      </c>
      <c r="E7" s="39" t="n">
        <f aca="false">IFERROR(FS_Data!E9/FS_Data!E7,0)</f>
        <v>0.25487105985257</v>
      </c>
      <c r="F7" s="39" t="n">
        <f aca="false">IFERROR(FS_Data!F9/FS_Data!F7,0)</f>
        <v>0.256975737370455</v>
      </c>
      <c r="G7" s="39" t="n">
        <f aca="false">F7-E7</f>
        <v>0.00210467751788523</v>
      </c>
      <c r="H7" s="38" t="s">
        <v>79</v>
      </c>
    </row>
    <row r="8" customFormat="false" ht="15" hidden="false" customHeight="false" outlineLevel="0" collapsed="false">
      <c r="B8" s="37" t="s">
        <v>80</v>
      </c>
      <c r="C8" s="38" t="s">
        <v>78</v>
      </c>
      <c r="D8" s="39" t="n">
        <f aca="false">IFERROR(FS_Data!D17/FS_Data!D7,0)</f>
        <v>0.0698559768510738</v>
      </c>
      <c r="E8" s="39" t="n">
        <f aca="false">IFERROR(FS_Data!E17/FS_Data!E7,0)</f>
        <v>0.0768168534992945</v>
      </c>
      <c r="F8" s="39" t="n">
        <f aca="false">IFERROR(FS_Data!F17/FS_Data!F7,0)</f>
        <v>0.0843649287052595</v>
      </c>
      <c r="G8" s="39" t="n">
        <f aca="false">F8-E8</f>
        <v>0.00754807520596504</v>
      </c>
      <c r="H8" s="38" t="s">
        <v>81</v>
      </c>
    </row>
    <row r="9" customFormat="false" ht="15" hidden="false" customHeight="false" outlineLevel="0" collapsed="false">
      <c r="B9" s="37" t="s">
        <v>82</v>
      </c>
      <c r="C9" s="38" t="s">
        <v>78</v>
      </c>
      <c r="D9" s="39" t="n">
        <f aca="false">IFERROR(FS_Data!D13/FS_Data!D7,0)</f>
        <v>0.0465475120506432</v>
      </c>
      <c r="E9" s="39" t="n">
        <f aca="false">IFERROR(FS_Data!E13/FS_Data!E7,0)</f>
        <v>0.0538352142909685</v>
      </c>
      <c r="F9" s="39" t="n">
        <f aca="false">IFERROR(FS_Data!F13/FS_Data!F7,0)</f>
        <v>0.0603974324432717</v>
      </c>
      <c r="G9" s="39" t="n">
        <f aca="false">F9-E9</f>
        <v>0.00656221815230318</v>
      </c>
      <c r="H9" s="38" t="s">
        <v>83</v>
      </c>
    </row>
    <row r="10" customFormat="false" ht="15" hidden="false" customHeight="false" outlineLevel="0" collapsed="false">
      <c r="B10" s="37" t="s">
        <v>84</v>
      </c>
      <c r="C10" s="38" t="s">
        <v>78</v>
      </c>
      <c r="D10" s="39" t="n">
        <f aca="false">IFERROR(FS_Data!D22/FS_Data!D7,0)</f>
        <v>0.0273797432281353</v>
      </c>
      <c r="E10" s="39" t="n">
        <f aca="false">IFERROR(FS_Data!E22/FS_Data!E7,0)</f>
        <v>0.0323314438309568</v>
      </c>
      <c r="F10" s="39" t="n">
        <f aca="false">IFERROR(FS_Data!F22/FS_Data!F7,0)</f>
        <v>0.0384660473323859</v>
      </c>
      <c r="G10" s="39" t="n">
        <f aca="false">F10-E10</f>
        <v>0.00613460350142911</v>
      </c>
      <c r="H10" s="38" t="s">
        <v>85</v>
      </c>
    </row>
    <row r="11" customFormat="false" ht="15" hidden="false" customHeight="false" outlineLevel="0" collapsed="false">
      <c r="B11" s="37" t="s">
        <v>86</v>
      </c>
      <c r="C11" s="38" t="s">
        <v>78</v>
      </c>
      <c r="D11" s="39" t="n">
        <f aca="false">IFERROR(FS_Data!D22/AVERAGE(FS_Data!C32,FS_Data!D32),0)</f>
        <v>0.0549430273407668</v>
      </c>
      <c r="E11" s="39" t="n">
        <f aca="false">IFERROR(FS_Data!E22/AVERAGE(FS_Data!D32,FS_Data!E32),0)</f>
        <v>0.0661498696225725</v>
      </c>
      <c r="F11" s="39" t="n">
        <f aca="false">IFERROR(FS_Data!F22/AVERAGE(FS_Data!E32,FS_Data!F32),0)</f>
        <v>0.079556850096612</v>
      </c>
      <c r="G11" s="39" t="n">
        <f aca="false">F11-E11</f>
        <v>0.0134069804740396</v>
      </c>
      <c r="H11" s="38" t="s">
        <v>87</v>
      </c>
    </row>
    <row r="12" customFormat="false" ht="15" hidden="false" customHeight="false" outlineLevel="0" collapsed="false">
      <c r="B12" s="37" t="s">
        <v>88</v>
      </c>
      <c r="C12" s="38" t="s">
        <v>78</v>
      </c>
      <c r="D12" s="39" t="n">
        <f aca="false">IFERROR(FS_Data!D22/AVERAGE(FS_Data!C44,FS_Data!D44),0)</f>
        <v>0.119502154089847</v>
      </c>
      <c r="E12" s="39" t="n">
        <f aca="false">IFERROR(FS_Data!E22/AVERAGE(FS_Data!D44,FS_Data!E44),0)</f>
        <v>0.139843183193172</v>
      </c>
      <c r="F12" s="39" t="n">
        <f aca="false">IFERROR(FS_Data!F22/AVERAGE(FS_Data!E44,FS_Data!F44),0)</f>
        <v>0.161643835616438</v>
      </c>
      <c r="G12" s="39" t="n">
        <f aca="false">F12-E12</f>
        <v>0.0218006524232664</v>
      </c>
      <c r="H12" s="38" t="s">
        <v>89</v>
      </c>
    </row>
    <row r="13" customFormat="false" ht="15" hidden="false" customHeight="false" outlineLevel="0" collapsed="false">
      <c r="B13" s="37" t="s">
        <v>90</v>
      </c>
      <c r="C13" s="38" t="s">
        <v>78</v>
      </c>
      <c r="D13" s="39" t="n">
        <f aca="false">IFERROR(FS_Data!D16/(FS_Data!D32-FS_Data!D38),0)</f>
        <v>0.1471897658353</v>
      </c>
      <c r="E13" s="39" t="n">
        <f aca="false">IFERROR(FS_Data!E16/(FS_Data!E32-FS_Data!E38),0)</f>
        <v>0.158538609336202</v>
      </c>
      <c r="F13" s="39" t="n">
        <f aca="false">IFERROR(FS_Data!F16/(FS_Data!F32-FS_Data!F38),0)</f>
        <v>0.18818149732819</v>
      </c>
      <c r="G13" s="39" t="n">
        <f aca="false">F13-E13</f>
        <v>0.0296428879919884</v>
      </c>
      <c r="H13" s="38" t="s">
        <v>91</v>
      </c>
    </row>
    <row r="14" customFormat="false" ht="15" hidden="false" customHeight="false" outlineLevel="0" collapsed="false">
      <c r="B14" s="12" t="s">
        <v>92</v>
      </c>
      <c r="C14" s="13"/>
      <c r="D14" s="13"/>
      <c r="E14" s="13"/>
      <c r="F14" s="13"/>
      <c r="G14" s="13"/>
      <c r="H14" s="13"/>
    </row>
    <row r="15" customFormat="false" ht="15" hidden="false" customHeight="false" outlineLevel="0" collapsed="false">
      <c r="B15" s="37" t="s">
        <v>93</v>
      </c>
      <c r="C15" s="38" t="s">
        <v>94</v>
      </c>
      <c r="D15" s="40" t="n">
        <f aca="false">IFERROR(FS_Data!D29/FS_Data!D38,0)</f>
        <v>1.57550099572465</v>
      </c>
      <c r="E15" s="40" t="n">
        <f aca="false">IFERROR(FS_Data!E29/FS_Data!E38,0)</f>
        <v>1.76093716347189</v>
      </c>
      <c r="F15" s="40" t="n">
        <f aca="false">IFERROR(FS_Data!F29/FS_Data!F38,0)</f>
        <v>1.75515074326367</v>
      </c>
      <c r="G15" s="40" t="n">
        <f aca="false">F15-E15</f>
        <v>-0.00578642020822273</v>
      </c>
      <c r="H15" s="38" t="s">
        <v>95</v>
      </c>
    </row>
    <row r="16" customFormat="false" ht="15" hidden="false" customHeight="false" outlineLevel="0" collapsed="false">
      <c r="B16" s="37" t="s">
        <v>96</v>
      </c>
      <c r="C16" s="38" t="s">
        <v>94</v>
      </c>
      <c r="D16" s="40" t="n">
        <f aca="false">IFERROR((FS_Data!D25+FS_Data!D26)/FS_Data!D38,0)</f>
        <v>0.969285724233014</v>
      </c>
      <c r="E16" s="40" t="n">
        <f aca="false">IFERROR((FS_Data!E25+FS_Data!E26)/FS_Data!E38,0)</f>
        <v>1.13716212578075</v>
      </c>
      <c r="F16" s="40" t="n">
        <f aca="false">IFERROR((FS_Data!F25+FS_Data!F26)/FS_Data!F38,0)</f>
        <v>1.12564404392042</v>
      </c>
      <c r="G16" s="40" t="n">
        <f aca="false">F16-E16</f>
        <v>-0.0115180818603269</v>
      </c>
      <c r="H16" s="38" t="s">
        <v>97</v>
      </c>
    </row>
    <row r="17" customFormat="false" ht="15" hidden="false" customHeight="false" outlineLevel="0" collapsed="false">
      <c r="B17" s="37" t="s">
        <v>98</v>
      </c>
      <c r="C17" s="38" t="s">
        <v>94</v>
      </c>
      <c r="D17" s="40" t="n">
        <f aca="false">IFERROR(FS_Data!D25/FS_Data!D38,0)</f>
        <v>0.405364379517317</v>
      </c>
      <c r="E17" s="40" t="n">
        <f aca="false">IFERROR(FS_Data!E25/FS_Data!E38,0)</f>
        <v>0.541541029506784</v>
      </c>
      <c r="F17" s="40" t="n">
        <f aca="false">IFERROR(FS_Data!F25/FS_Data!F38,0)</f>
        <v>0.525835729401851</v>
      </c>
      <c r="G17" s="40" t="n">
        <f aca="false">F17-E17</f>
        <v>-0.0157053001049332</v>
      </c>
      <c r="H17" s="38" t="s">
        <v>99</v>
      </c>
    </row>
    <row r="18" customFormat="false" ht="15" hidden="false" customHeight="false" outlineLevel="0" collapsed="false">
      <c r="B18" s="37" t="s">
        <v>100</v>
      </c>
      <c r="C18" s="38" t="s">
        <v>94</v>
      </c>
      <c r="D18" s="41" t="n">
        <f aca="false">FS_Data!D29-FS_Data!D38</f>
        <v>82650</v>
      </c>
      <c r="E18" s="41" t="n">
        <f aca="false">FS_Data!E29-FS_Data!E38</f>
        <v>113057</v>
      </c>
      <c r="F18" s="41" t="n">
        <f aca="false">FS_Data!F29-FS_Data!F38</f>
        <v>117398</v>
      </c>
      <c r="G18" s="41" t="n">
        <f aca="false">F18-E18</f>
        <v>4341</v>
      </c>
      <c r="H18" s="38" t="s">
        <v>101</v>
      </c>
    </row>
    <row r="19" customFormat="false" ht="15" hidden="false" customHeight="false" outlineLevel="0" collapsed="false">
      <c r="B19" s="37" t="s">
        <v>102</v>
      </c>
      <c r="C19" s="38" t="s">
        <v>94</v>
      </c>
      <c r="D19" s="40" t="n">
        <f aca="false">IFERROR(FS_Data!D49/FS_Data!D38,0)</f>
        <v>0.224469759215675</v>
      </c>
      <c r="E19" s="40" t="n">
        <f aca="false">IFERROR(FS_Data!E49/FS_Data!E38,0)</f>
        <v>0.297800452293776</v>
      </c>
      <c r="F19" s="40" t="n">
        <f aca="false">IFERROR(FS_Data!F49/FS_Data!F38,0)</f>
        <v>0.371535349247088</v>
      </c>
      <c r="G19" s="40" t="n">
        <f aca="false">F19-E19</f>
        <v>0.0737348969533122</v>
      </c>
      <c r="H19" s="38" t="s">
        <v>103</v>
      </c>
    </row>
    <row r="20" customFormat="false" ht="15" hidden="false" customHeight="false" outlineLevel="0" collapsed="false">
      <c r="B20" s="12" t="s">
        <v>104</v>
      </c>
      <c r="C20" s="13"/>
      <c r="D20" s="13"/>
      <c r="E20" s="13"/>
      <c r="F20" s="13"/>
      <c r="G20" s="13"/>
      <c r="H20" s="13"/>
    </row>
    <row r="21" customFormat="false" ht="15" hidden="false" customHeight="false" outlineLevel="0" collapsed="false">
      <c r="B21" s="37" t="s">
        <v>105</v>
      </c>
      <c r="C21" s="38" t="s">
        <v>106</v>
      </c>
      <c r="D21" s="40" t="n">
        <f aca="false">IFERROR(FS_Data!D46/FS_Data!D44,0)</f>
        <v>0.69189717187031</v>
      </c>
      <c r="E21" s="40" t="n">
        <f aca="false">IFERROR(FS_Data!E46/FS_Data!E44,0)</f>
        <v>0.696232101796462</v>
      </c>
      <c r="F21" s="40" t="n">
        <f aca="false">IFERROR(FS_Data!F46/FS_Data!F44,0)</f>
        <v>0.543962830569893</v>
      </c>
      <c r="G21" s="40" t="n">
        <f aca="false">F21-E21</f>
        <v>-0.152269271226569</v>
      </c>
      <c r="H21" s="38" t="s">
        <v>107</v>
      </c>
    </row>
    <row r="22" customFormat="false" ht="15" hidden="false" customHeight="false" outlineLevel="0" collapsed="false">
      <c r="B22" s="37" t="s">
        <v>108</v>
      </c>
      <c r="C22" s="38" t="s">
        <v>106</v>
      </c>
      <c r="D22" s="40" t="n">
        <f aca="false">IFERROR(FS_Data!D40/FS_Data!D44,0)</f>
        <v>1.11219417890629</v>
      </c>
      <c r="E22" s="40" t="n">
        <f aca="false">IFERROR(FS_Data!E40/FS_Data!E44,0)</f>
        <v>1.11569362123141</v>
      </c>
      <c r="F22" s="40" t="n">
        <f aca="false">IFERROR(FS_Data!F40/FS_Data!F44,0)</f>
        <v>0.956896058109954</v>
      </c>
      <c r="G22" s="40" t="n">
        <f aca="false">F22-E22</f>
        <v>-0.158797563121461</v>
      </c>
      <c r="H22" s="38" t="s">
        <v>109</v>
      </c>
    </row>
    <row r="23" customFormat="false" ht="15" hidden="false" customHeight="false" outlineLevel="0" collapsed="false">
      <c r="B23" s="37" t="s">
        <v>110</v>
      </c>
      <c r="C23" s="38" t="s">
        <v>106</v>
      </c>
      <c r="D23" s="39" t="n">
        <f aca="false">IFERROR(FS_Data!D40/FS_Data!D32,0)</f>
        <v>0.526558680074667</v>
      </c>
      <c r="E23" s="39" t="n">
        <f aca="false">IFERROR(FS_Data!E40/FS_Data!E32,0)</f>
        <v>0.527341771055697</v>
      </c>
      <c r="F23" s="39" t="n">
        <f aca="false">IFERROR(FS_Data!F40/FS_Data!F32,0)</f>
        <v>0.48898665524124</v>
      </c>
      <c r="G23" s="39" t="n">
        <f aca="false">F23-E23</f>
        <v>-0.0383551158144566</v>
      </c>
      <c r="H23" s="38" t="s">
        <v>111</v>
      </c>
    </row>
    <row r="24" customFormat="false" ht="15" hidden="false" customHeight="false" outlineLevel="0" collapsed="false">
      <c r="B24" s="37" t="s">
        <v>112</v>
      </c>
      <c r="C24" s="38" t="s">
        <v>106</v>
      </c>
      <c r="D24" s="39" t="n">
        <f aca="false">IFERROR(FS_Data!D44/FS_Data!D32,0)</f>
        <v>0.473441319925333</v>
      </c>
      <c r="E24" s="39" t="n">
        <f aca="false">IFERROR(FS_Data!E44/FS_Data!E32,0)</f>
        <v>0.472658228944303</v>
      </c>
      <c r="F24" s="39" t="n">
        <f aca="false">IFERROR(FS_Data!F44/FS_Data!F32,0)</f>
        <v>0.51101334475876</v>
      </c>
      <c r="G24" s="39" t="n">
        <f aca="false">F24-E24</f>
        <v>0.0383551158144566</v>
      </c>
      <c r="H24" s="38" t="s">
        <v>113</v>
      </c>
    </row>
    <row r="25" customFormat="false" ht="15" hidden="false" customHeight="false" outlineLevel="0" collapsed="false">
      <c r="B25" s="37" t="s">
        <v>114</v>
      </c>
      <c r="C25" s="38" t="s">
        <v>106</v>
      </c>
      <c r="D25" s="40" t="n">
        <f aca="false">IFERROR(FS_Data!D16/-FS_Data!D19,0)</f>
        <v>3.83562038192112</v>
      </c>
      <c r="E25" s="40" t="n">
        <f aca="false">IFERROR(FS_Data!E16/-FS_Data!E19,0)</f>
        <v>4.32880174291939</v>
      </c>
      <c r="F25" s="40" t="n">
        <f aca="false">IFERROR(FS_Data!F16/-FS_Data!F19,0)</f>
        <v>5.1969049247606</v>
      </c>
      <c r="G25" s="40" t="n">
        <f aca="false">F25-E25</f>
        <v>0.868103181841212</v>
      </c>
      <c r="H25" s="38" t="s">
        <v>115</v>
      </c>
    </row>
    <row r="26" customFormat="false" ht="15" hidden="false" customHeight="false" outlineLevel="0" collapsed="false">
      <c r="B26" s="37" t="s">
        <v>116</v>
      </c>
      <c r="C26" s="38" t="s">
        <v>106</v>
      </c>
      <c r="D26" s="40" t="n">
        <f aca="false">IFERROR(FS_Data!D17/-FS_Data!D19,0)</f>
        <v>5.50427022358699</v>
      </c>
      <c r="E26" s="40" t="n">
        <f aca="false">IFERROR(FS_Data!E17/-FS_Data!E19,0)</f>
        <v>6.00636165577342</v>
      </c>
      <c r="F26" s="40" t="n">
        <f aca="false">IFERROR(FS_Data!F17/-FS_Data!F19,0)</f>
        <v>7.01436388508892</v>
      </c>
      <c r="G26" s="40" t="n">
        <f aca="false">F26-E26</f>
        <v>1.0080022293155</v>
      </c>
      <c r="H26" s="38" t="s">
        <v>117</v>
      </c>
    </row>
    <row r="27" customFormat="false" ht="15" hidden="false" customHeight="false" outlineLevel="0" collapsed="false">
      <c r="B27" s="37" t="s">
        <v>118</v>
      </c>
      <c r="C27" s="38" t="s">
        <v>106</v>
      </c>
      <c r="D27" s="40" t="n">
        <f aca="false">IFERROR((FS_Data!D46-FS_Data!D25)/FS_Data!D17,0)</f>
        <v>1.35606694560669</v>
      </c>
      <c r="E27" s="40" t="n">
        <f aca="false">IFERROR((FS_Data!E46-FS_Data!E25)/FS_Data!E17,0)</f>
        <v>1.03796990844856</v>
      </c>
      <c r="F27" s="40" t="n">
        <f aca="false">IFERROR((FS_Data!F46-FS_Data!F25)/FS_Data!F17,0)</f>
        <v>0.624719648951731</v>
      </c>
      <c r="G27" s="40" t="n">
        <f aca="false">F27-E27</f>
        <v>-0.413250259496828</v>
      </c>
      <c r="H27" s="38" t="s">
        <v>119</v>
      </c>
    </row>
    <row r="28" customFormat="false" ht="15" hidden="false" customHeight="false" outlineLevel="0" collapsed="false">
      <c r="B28" s="37" t="s">
        <v>120</v>
      </c>
      <c r="C28" s="38" t="s">
        <v>106</v>
      </c>
      <c r="D28" s="40" t="n">
        <f aca="false">IFERROR(FS_Data!D17/(-FS_Data!D19-FS_Data!D52),0)</f>
        <v>2.55831586459123</v>
      </c>
      <c r="E28" s="40" t="n">
        <f aca="false">IFERROR(FS_Data!E17/(-FS_Data!E19-FS_Data!E52),0)</f>
        <v>2.81605720122574</v>
      </c>
      <c r="F28" s="40" t="n">
        <f aca="false">IFERROR(FS_Data!F17/(-FS_Data!F19-FS_Data!F52),0)</f>
        <v>3.07311956847468</v>
      </c>
      <c r="G28" s="40" t="n">
        <f aca="false">F28-E28</f>
        <v>0.257062367248937</v>
      </c>
      <c r="H28" s="38" t="s">
        <v>121</v>
      </c>
    </row>
    <row r="29" customFormat="false" ht="15" hidden="false" customHeight="false" outlineLevel="0" collapsed="false">
      <c r="B29" s="12" t="s">
        <v>122</v>
      </c>
      <c r="C29" s="13"/>
      <c r="D29" s="13"/>
      <c r="E29" s="13"/>
      <c r="F29" s="13"/>
      <c r="G29" s="13"/>
      <c r="H29" s="13"/>
    </row>
    <row r="30" customFormat="false" ht="15" hidden="false" customHeight="false" outlineLevel="0" collapsed="false">
      <c r="B30" s="37" t="s">
        <v>123</v>
      </c>
      <c r="C30" s="38" t="s">
        <v>124</v>
      </c>
      <c r="D30" s="40" t="n">
        <f aca="false">IFERROR(FS_Data!D7/AVERAGE(FS_Data!C26,FS_Data!D26),0)</f>
        <v>10.8051083316336</v>
      </c>
      <c r="E30" s="40" t="n">
        <f aca="false">IFERROR(FS_Data!E7/AVERAGE(FS_Data!D26,FS_Data!E26),0)</f>
        <v>10.5880034457937</v>
      </c>
      <c r="F30" s="40" t="n">
        <f aca="false">IFERROR(FS_Data!F7/AVERAGE(FS_Data!E26,FS_Data!F26),0)</f>
        <v>10.7012869821671</v>
      </c>
      <c r="G30" s="40" t="n">
        <f aca="false">F30-E30</f>
        <v>0.113283536373473</v>
      </c>
      <c r="H30" s="38" t="s">
        <v>125</v>
      </c>
    </row>
    <row r="31" customFormat="false" ht="15" hidden="false" customHeight="false" outlineLevel="0" collapsed="false">
      <c r="B31" s="37" t="s">
        <v>126</v>
      </c>
      <c r="C31" s="38" t="s">
        <v>124</v>
      </c>
      <c r="D31" s="42" t="n">
        <f aca="false">IFERROR(365/D30,0)</f>
        <v>33.7803184195207</v>
      </c>
      <c r="E31" s="42" t="n">
        <f aca="false">IFERROR(365/E30,0)</f>
        <v>34.4729770696292</v>
      </c>
      <c r="F31" s="42" t="n">
        <f aca="false">IFERROR(365/F30,0)</f>
        <v>34.1080470609044</v>
      </c>
      <c r="G31" s="42" t="n">
        <f aca="false">F31-E31</f>
        <v>-0.364930008724841</v>
      </c>
      <c r="H31" s="38" t="s">
        <v>127</v>
      </c>
    </row>
    <row r="32" customFormat="false" ht="15" hidden="false" customHeight="false" outlineLevel="0" collapsed="false">
      <c r="B32" s="37" t="s">
        <v>128</v>
      </c>
      <c r="C32" s="38" t="s">
        <v>124</v>
      </c>
      <c r="D32" s="40" t="n">
        <f aca="false">IFERROR(-FS_Data!D8/AVERAGE(FS_Data!C27,FS_Data!D27),0)</f>
        <v>8.17567711523609</v>
      </c>
      <c r="E32" s="40" t="n">
        <f aca="false">IFERROR(-FS_Data!E8/AVERAGE(FS_Data!D27,FS_Data!E27),0)</f>
        <v>8.55540697042018</v>
      </c>
      <c r="F32" s="40" t="n">
        <f aca="false">IFERROR(-FS_Data!F8/AVERAGE(FS_Data!E27,FS_Data!F27),0)</f>
        <v>8.72036930875298</v>
      </c>
      <c r="G32" s="40" t="n">
        <f aca="false">F32-E32</f>
        <v>0.164962338332797</v>
      </c>
      <c r="H32" s="38" t="s">
        <v>129</v>
      </c>
    </row>
    <row r="33" customFormat="false" ht="15" hidden="false" customHeight="false" outlineLevel="0" collapsed="false">
      <c r="B33" s="37" t="s">
        <v>130</v>
      </c>
      <c r="C33" s="38" t="s">
        <v>124</v>
      </c>
      <c r="D33" s="42" t="n">
        <f aca="false">IFERROR(365/D32,0)</f>
        <v>44.6446202382174</v>
      </c>
      <c r="E33" s="42" t="n">
        <f aca="false">IFERROR(365/E32,0)</f>
        <v>42.6630785960231</v>
      </c>
      <c r="F33" s="42" t="n">
        <f aca="false">IFERROR(365/F32,0)</f>
        <v>41.8560254820441</v>
      </c>
      <c r="G33" s="42" t="n">
        <f aca="false">F33-E33</f>
        <v>-0.807053113978988</v>
      </c>
      <c r="H33" s="38" t="s">
        <v>131</v>
      </c>
    </row>
    <row r="34" customFormat="false" ht="15" hidden="false" customHeight="false" outlineLevel="0" collapsed="false">
      <c r="B34" s="37" t="s">
        <v>132</v>
      </c>
      <c r="C34" s="38" t="s">
        <v>124</v>
      </c>
      <c r="D34" s="40" t="n">
        <f aca="false">IFERROR(-FS_Data!D8/AVERAGE(FS_Data!C33,FS_Data!D33),0)</f>
        <v>9.47605046880426</v>
      </c>
      <c r="E34" s="40" t="n">
        <f aca="false">IFERROR(-FS_Data!E8/AVERAGE(FS_Data!D33,FS_Data!E33),0)</f>
        <v>9.39098066482656</v>
      </c>
      <c r="F34" s="40" t="n">
        <f aca="false">IFERROR(-FS_Data!F8/AVERAGE(FS_Data!E33,FS_Data!F33),0)</f>
        <v>9.13224764757553</v>
      </c>
      <c r="G34" s="40" t="n">
        <f aca="false">F34-E34</f>
        <v>-0.258733017251025</v>
      </c>
      <c r="H34" s="38" t="s">
        <v>133</v>
      </c>
    </row>
    <row r="35" customFormat="false" ht="15" hidden="false" customHeight="false" outlineLevel="0" collapsed="false">
      <c r="B35" s="37" t="s">
        <v>134</v>
      </c>
      <c r="C35" s="38" t="s">
        <v>124</v>
      </c>
      <c r="D35" s="42" t="n">
        <f aca="false">IFERROR(365/D34,0)</f>
        <v>38.5181570319409</v>
      </c>
      <c r="E35" s="42" t="n">
        <f aca="false">IFERROR(365/E34,0)</f>
        <v>38.8670803430667</v>
      </c>
      <c r="F35" s="42" t="n">
        <f aca="false">IFERROR(365/F34,0)</f>
        <v>39.9682547041857</v>
      </c>
      <c r="G35" s="42" t="n">
        <f aca="false">F35-E35</f>
        <v>1.10117436111902</v>
      </c>
      <c r="H35" s="38" t="s">
        <v>135</v>
      </c>
    </row>
    <row r="36" customFormat="false" ht="15" hidden="false" customHeight="false" outlineLevel="0" collapsed="false">
      <c r="B36" s="37" t="s">
        <v>136</v>
      </c>
      <c r="C36" s="38" t="s">
        <v>124</v>
      </c>
      <c r="D36" s="42" t="n">
        <f aca="false">D31+D33-D35</f>
        <v>39.9067816257972</v>
      </c>
      <c r="E36" s="42" t="n">
        <f aca="false">E31+E33-E35</f>
        <v>38.2689753225856</v>
      </c>
      <c r="F36" s="42" t="n">
        <f aca="false">F31+F33-F35</f>
        <v>35.9958178387628</v>
      </c>
      <c r="G36" s="42" t="n">
        <f aca="false">F36-E36</f>
        <v>-2.27315748382284</v>
      </c>
      <c r="H36" s="38" t="s">
        <v>137</v>
      </c>
    </row>
    <row r="37" customFormat="false" ht="15" hidden="false" customHeight="false" outlineLevel="0" collapsed="false">
      <c r="B37" s="37" t="s">
        <v>138</v>
      </c>
      <c r="C37" s="38" t="s">
        <v>124</v>
      </c>
      <c r="D37" s="40" t="n">
        <f aca="false">IFERROR(FS_Data!D7/AVERAGE(FS_Data!C32,FS_Data!D32),0)</f>
        <v>2.00670352833359</v>
      </c>
      <c r="E37" s="40" t="n">
        <f aca="false">IFERROR(FS_Data!E7/AVERAGE(FS_Data!D32,FS_Data!E32),0)</f>
        <v>2.04599182048391</v>
      </c>
      <c r="F37" s="40" t="n">
        <f aca="false">IFERROR(FS_Data!F7/AVERAGE(FS_Data!E32,FS_Data!F32),0)</f>
        <v>2.06823564191973</v>
      </c>
      <c r="G37" s="40" t="n">
        <f aca="false">F37-E37</f>
        <v>0.0222438214358274</v>
      </c>
      <c r="H37" s="38" t="s">
        <v>139</v>
      </c>
    </row>
    <row r="38" customFormat="false" ht="15" hidden="false" customHeight="false" outlineLevel="0" collapsed="false">
      <c r="B38" s="37" t="s">
        <v>140</v>
      </c>
      <c r="C38" s="38" t="s">
        <v>124</v>
      </c>
      <c r="D38" s="40" t="n">
        <f aca="false">IFERROR(FS_Data!D7/AVERAGE(FS_Data!C30,FS_Data!D30),0)</f>
        <v>4.64681631301799</v>
      </c>
      <c r="E38" s="40" t="n">
        <f aca="false">IFERROR(FS_Data!E7/AVERAGE(FS_Data!D30,FS_Data!E30),0)</f>
        <v>4.87004711348488</v>
      </c>
      <c r="F38" s="40" t="n">
        <f aca="false">IFERROR(FS_Data!F7/AVERAGE(FS_Data!E30,FS_Data!F30),0)</f>
        <v>5.06130925272924</v>
      </c>
      <c r="G38" s="40" t="n">
        <f aca="false">F38-E38</f>
        <v>0.191262139244358</v>
      </c>
      <c r="H38" s="38" t="s">
        <v>141</v>
      </c>
    </row>
    <row r="39" customFormat="false" ht="15" hidden="false" customHeight="false" outlineLevel="0" collapsed="false">
      <c r="B39" s="12" t="s">
        <v>142</v>
      </c>
      <c r="C39" s="13"/>
      <c r="D39" s="13"/>
      <c r="E39" s="13"/>
      <c r="F39" s="13"/>
      <c r="G39" s="13"/>
      <c r="H39" s="13"/>
    </row>
    <row r="40" customFormat="false" ht="15" hidden="false" customHeight="false" outlineLevel="0" collapsed="false">
      <c r="B40" s="37" t="s">
        <v>143</v>
      </c>
      <c r="C40" s="38" t="s">
        <v>144</v>
      </c>
      <c r="D40" s="43" t="n">
        <f aca="false">FS_Data!D54</f>
        <v>10137</v>
      </c>
      <c r="E40" s="43" t="n">
        <f aca="false">FS_Data!E54</f>
        <v>13346</v>
      </c>
      <c r="F40" s="43" t="n">
        <f aca="false">FS_Data!F54</f>
        <v>30860</v>
      </c>
      <c r="G40" s="41" t="n">
        <f aca="false">F40-E40</f>
        <v>17514</v>
      </c>
      <c r="H40" s="38" t="s">
        <v>145</v>
      </c>
    </row>
    <row r="41" customFormat="false" ht="15" hidden="false" customHeight="false" outlineLevel="0" collapsed="false">
      <c r="B41" s="37" t="s">
        <v>146</v>
      </c>
      <c r="C41" s="38" t="s">
        <v>144</v>
      </c>
      <c r="D41" s="39" t="n">
        <f aca="false">IFERROR(FS_Data!D54/FS_Data!D7,0)</f>
        <v>0.012345363273001</v>
      </c>
      <c r="E41" s="39" t="n">
        <f aca="false">IFERROR(FS_Data!E54/FS_Data!E7,0)</f>
        <v>0.0148745371908011</v>
      </c>
      <c r="F41" s="39" t="n">
        <f aca="false">IFERROR(FS_Data!F54/FS_Data!F7,0)</f>
        <v>0.0317345404661666</v>
      </c>
      <c r="G41" s="39" t="n">
        <f aca="false">F41-E41</f>
        <v>0.0168600032753655</v>
      </c>
      <c r="H41" s="38" t="s">
        <v>147</v>
      </c>
    </row>
    <row r="42" customFormat="false" ht="15" hidden="false" customHeight="false" outlineLevel="0" collapsed="false">
      <c r="B42" s="37" t="s">
        <v>148</v>
      </c>
      <c r="C42" s="38" t="s">
        <v>144</v>
      </c>
      <c r="D42" s="40" t="n">
        <f aca="false">IFERROR(FS_Data!D49/FS_Data!D22,0)</f>
        <v>1.43390267769771</v>
      </c>
      <c r="E42" s="40" t="n">
        <f aca="false">IFERROR(FS_Data!E49/FS_Data!E22,0)</f>
        <v>1.52525078423937</v>
      </c>
      <c r="F42" s="40" t="n">
        <f aca="false">IFERROR(FS_Data!F49/FS_Data!F22,0)</f>
        <v>1.5441373041758</v>
      </c>
      <c r="G42" s="40" t="n">
        <f aca="false">F42-E42</f>
        <v>0.0188865199364268</v>
      </c>
      <c r="H42" s="38" t="s">
        <v>149</v>
      </c>
    </row>
  </sheetData>
  <conditionalFormatting sqref="G6:G43">
    <cfRule type="cellIs" priority="2" operator="lessThan" aboveAverage="0" equalAverage="0" bottom="0" percent="0" rank="0" text="" dxfId="6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C9BB0"/>
    <pageSetUpPr fitToPage="true"/>
  </sheetPr>
  <dimension ref="B1:L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12" min="7" style="0" width="11"/>
  </cols>
  <sheetData>
    <row r="1" customFormat="false" ht="24" hidden="false" customHeight="true" outlineLevel="0" collapsed="false">
      <c r="B1" s="17" t="s">
        <v>150</v>
      </c>
    </row>
    <row r="2" customFormat="false" ht="15" hidden="false" customHeight="false" outlineLevel="0" collapsed="false">
      <c r="B2" s="18" t="s">
        <v>151</v>
      </c>
    </row>
    <row r="3" customFormat="false" ht="15" hidden="false" customHeight="false" outlineLevel="0" collapsed="false">
      <c r="B3" s="19" t="str">
        <f aca="false">HYPERLINK("#Cover!A1","◄ Back to Cover")</f>
        <v>◄ Back to Cover</v>
      </c>
    </row>
    <row r="5" customFormat="false" ht="15" hidden="false" customHeight="false" outlineLevel="0" collapsed="false">
      <c r="B5" s="8" t="s">
        <v>59</v>
      </c>
      <c r="C5" s="44" t="s">
        <v>152</v>
      </c>
      <c r="D5" s="44"/>
    </row>
    <row r="6" customFormat="false" ht="15" hidden="false" customHeight="false" outlineLevel="0" collapsed="false">
      <c r="B6" s="38" t="s">
        <v>153</v>
      </c>
      <c r="C6" s="45" t="n">
        <f aca="false">MATCH(Bench_Set,Benchmarks!$F$5:$H$5,0)</f>
        <v>2</v>
      </c>
    </row>
    <row r="8" customFormat="false" ht="15" hidden="false" customHeight="false" outlineLevel="0" collapsed="false">
      <c r="B8" s="46"/>
      <c r="C8" s="46"/>
      <c r="D8" s="46"/>
      <c r="E8" s="46"/>
      <c r="F8" s="46"/>
      <c r="G8" s="47" t="s">
        <v>154</v>
      </c>
      <c r="H8" s="47"/>
      <c r="I8" s="47"/>
      <c r="J8" s="47" t="s">
        <v>155</v>
      </c>
      <c r="K8" s="47"/>
      <c r="L8" s="47"/>
    </row>
    <row r="9" customFormat="false" ht="15" hidden="false" customHeight="false" outlineLevel="0" collapsed="false">
      <c r="B9" s="48" t="s">
        <v>72</v>
      </c>
      <c r="C9" s="49" t="s">
        <v>73</v>
      </c>
      <c r="D9" s="49" t="s">
        <v>156</v>
      </c>
      <c r="E9" s="49" t="s">
        <v>157</v>
      </c>
      <c r="F9" s="49" t="s">
        <v>158</v>
      </c>
      <c r="G9" s="36" t="n">
        <f aca="false">FS_Data!D$5</f>
        <v>2023</v>
      </c>
      <c r="H9" s="36" t="n">
        <f aca="false">FS_Data!E$5</f>
        <v>2024</v>
      </c>
      <c r="I9" s="36" t="n">
        <f aca="false">FS_Data!F$5</f>
        <v>2025</v>
      </c>
      <c r="J9" s="36" t="n">
        <f aca="false">FS_Data!D$5</f>
        <v>2023</v>
      </c>
      <c r="K9" s="36" t="n">
        <f aca="false">FS_Data!E$5</f>
        <v>2024</v>
      </c>
      <c r="L9" s="36" t="n">
        <f aca="false">FS_Data!F$5</f>
        <v>2025</v>
      </c>
    </row>
    <row r="10" customFormat="false" ht="15" hidden="false" customHeight="false" outlineLevel="0" collapsed="false">
      <c r="B10" s="50" t="str">
        <f aca="false">Benchmarks!B6</f>
        <v>Gross profit margin</v>
      </c>
      <c r="C10" s="51" t="str">
        <f aca="false">Benchmarks!C6</f>
        <v>Profitability</v>
      </c>
      <c r="D10" s="52" t="n">
        <f aca="false">Benchmarks!E6</f>
        <v>6</v>
      </c>
      <c r="E10" s="53" t="n">
        <f aca="false">INDEX(Benchmarks!F6:H6,Set_Idx)</f>
        <v>0.3</v>
      </c>
      <c r="F10" s="51" t="str">
        <f aca="false">Benchmarks!D6</f>
        <v>Higher</v>
      </c>
      <c r="G10" s="54" t="n">
        <f aca="false">Ratios!D7</f>
        <v>0.252267031047913</v>
      </c>
      <c r="H10" s="54" t="n">
        <f aca="false">Ratios!E7</f>
        <v>0.25487105985257</v>
      </c>
      <c r="I10" s="54" t="n">
        <f aca="false">Ratios!F7</f>
        <v>0.256975737370455</v>
      </c>
      <c r="J10" s="55" t="n">
        <f aca="false">IFERROR(IF($F10="Higher",MIN(100,MAX(0,100*G10/$E10)),IF(G10&lt;=0,100,MIN(100,MAX(0,100*$E10/G10)))),0)</f>
        <v>84.0890103493042</v>
      </c>
      <c r="K10" s="55" t="n">
        <f aca="false">IFERROR(IF($F10="Higher",MIN(100,MAX(0,100*H10/$E10)),IF(H10&lt;=0,100,MIN(100,MAX(0,100*$E10/H10)))),0)</f>
        <v>84.9570199508566</v>
      </c>
      <c r="L10" s="55" t="n">
        <f aca="false">IFERROR(IF($F10="Higher",MIN(100,MAX(0,100*I10/$E10)),IF(I10&lt;=0,100,MIN(100,MAX(0,100*$E10/I10)))),0)</f>
        <v>85.658579123485</v>
      </c>
    </row>
    <row r="11" customFormat="false" ht="15" hidden="false" customHeight="false" outlineLevel="0" collapsed="false">
      <c r="B11" s="50" t="str">
        <f aca="false">Benchmarks!B7</f>
        <v>Operating profit margin</v>
      </c>
      <c r="C11" s="51" t="str">
        <f aca="false">Benchmarks!C7</f>
        <v>Profitability</v>
      </c>
      <c r="D11" s="52" t="n">
        <f aca="false">Benchmarks!E7</f>
        <v>6</v>
      </c>
      <c r="E11" s="53" t="n">
        <f aca="false">INDEX(Benchmarks!F7:H7,Set_Idx)</f>
        <v>0.075</v>
      </c>
      <c r="F11" s="51" t="str">
        <f aca="false">Benchmarks!D7</f>
        <v>Higher</v>
      </c>
      <c r="G11" s="54" t="n">
        <f aca="false">Ratios!D9</f>
        <v>0.0465475120506432</v>
      </c>
      <c r="H11" s="54" t="n">
        <f aca="false">Ratios!E9</f>
        <v>0.0538352142909685</v>
      </c>
      <c r="I11" s="54" t="n">
        <f aca="false">Ratios!F9</f>
        <v>0.0603974324432717</v>
      </c>
      <c r="J11" s="55" t="n">
        <f aca="false">IFERROR(IF($F11="Higher",MIN(100,MAX(0,100*G11/$E11)),IF(G11&lt;=0,100,MIN(100,MAX(0,100*$E11/G11)))),0)</f>
        <v>62.0633494008575</v>
      </c>
      <c r="K11" s="55" t="n">
        <f aca="false">IFERROR(IF($F11="Higher",MIN(100,MAX(0,100*H11/$E11)),IF(H11&lt;=0,100,MIN(100,MAX(0,100*$E11/H11)))),0)</f>
        <v>71.7802857212914</v>
      </c>
      <c r="L11" s="55" t="n">
        <f aca="false">IFERROR(IF($F11="Higher",MIN(100,MAX(0,100*I11/$E11)),IF(I11&lt;=0,100,MIN(100,MAX(0,100*$E11/I11)))),0)</f>
        <v>80.5299099243623</v>
      </c>
    </row>
    <row r="12" customFormat="false" ht="15" hidden="false" customHeight="false" outlineLevel="0" collapsed="false">
      <c r="B12" s="50" t="str">
        <f aca="false">Benchmarks!B8</f>
        <v>Net profit margin</v>
      </c>
      <c r="C12" s="51" t="str">
        <f aca="false">Benchmarks!C8</f>
        <v>Profitability</v>
      </c>
      <c r="D12" s="52" t="n">
        <f aca="false">Benchmarks!E8</f>
        <v>6</v>
      </c>
      <c r="E12" s="53" t="n">
        <f aca="false">INDEX(Benchmarks!F8:H8,Set_Idx)</f>
        <v>0.05</v>
      </c>
      <c r="F12" s="51" t="str">
        <f aca="false">Benchmarks!D8</f>
        <v>Higher</v>
      </c>
      <c r="G12" s="54" t="n">
        <f aca="false">Ratios!D10</f>
        <v>0.0273797432281353</v>
      </c>
      <c r="H12" s="54" t="n">
        <f aca="false">Ratios!E10</f>
        <v>0.0323314438309568</v>
      </c>
      <c r="I12" s="54" t="n">
        <f aca="false">Ratios!F10</f>
        <v>0.0384660473323859</v>
      </c>
      <c r="J12" s="55" t="n">
        <f aca="false">IFERROR(IF($F12="Higher",MIN(100,MAX(0,100*G12/$E12)),IF(G12&lt;=0,100,MIN(100,MAX(0,100*$E12/G12)))),0)</f>
        <v>54.7594864562706</v>
      </c>
      <c r="K12" s="55" t="n">
        <f aca="false">IFERROR(IF($F12="Higher",MIN(100,MAX(0,100*H12/$E12)),IF(H12&lt;=0,100,MIN(100,MAX(0,100*$E12/H12)))),0)</f>
        <v>64.6628876619136</v>
      </c>
      <c r="L12" s="55" t="n">
        <f aca="false">IFERROR(IF($F12="Higher",MIN(100,MAX(0,100*I12/$E12)),IF(I12&lt;=0,100,MIN(100,MAX(0,100*$E12/I12)))),0)</f>
        <v>76.9320946647718</v>
      </c>
    </row>
    <row r="13" customFormat="false" ht="15" hidden="false" customHeight="false" outlineLevel="0" collapsed="false">
      <c r="B13" s="50" t="str">
        <f aca="false">Benchmarks!B9</f>
        <v>Return on assets (average)</v>
      </c>
      <c r="C13" s="51" t="str">
        <f aca="false">Benchmarks!C9</f>
        <v>Profitability</v>
      </c>
      <c r="D13" s="52" t="n">
        <f aca="false">Benchmarks!E9</f>
        <v>6</v>
      </c>
      <c r="E13" s="53" t="n">
        <f aca="false">INDEX(Benchmarks!F9:H9,Set_Idx)</f>
        <v>0.1</v>
      </c>
      <c r="F13" s="51" t="str">
        <f aca="false">Benchmarks!D9</f>
        <v>Higher</v>
      </c>
      <c r="G13" s="54" t="n">
        <f aca="false">Ratios!D11</f>
        <v>0.0549430273407668</v>
      </c>
      <c r="H13" s="54" t="n">
        <f aca="false">Ratios!E11</f>
        <v>0.0661498696225725</v>
      </c>
      <c r="I13" s="54" t="n">
        <f aca="false">Ratios!F11</f>
        <v>0.079556850096612</v>
      </c>
      <c r="J13" s="55" t="n">
        <f aca="false">IFERROR(IF($F13="Higher",MIN(100,MAX(0,100*G13/$E13)),IF(G13&lt;=0,100,MIN(100,MAX(0,100*$E13/G13)))),0)</f>
        <v>54.9430273407668</v>
      </c>
      <c r="K13" s="55" t="n">
        <f aca="false">IFERROR(IF($F13="Higher",MIN(100,MAX(0,100*H13/$E13)),IF(H13&lt;=0,100,MIN(100,MAX(0,100*$E13/H13)))),0)</f>
        <v>66.1498696225725</v>
      </c>
      <c r="L13" s="55" t="n">
        <f aca="false">IFERROR(IF($F13="Higher",MIN(100,MAX(0,100*I13/$E13)),IF(I13&lt;=0,100,MIN(100,MAX(0,100*$E13/I13)))),0)</f>
        <v>79.556850096612</v>
      </c>
    </row>
    <row r="14" customFormat="false" ht="15" hidden="false" customHeight="false" outlineLevel="0" collapsed="false">
      <c r="B14" s="50" t="str">
        <f aca="false">Benchmarks!B10</f>
        <v>Return on equity (average)</v>
      </c>
      <c r="C14" s="51" t="str">
        <f aca="false">Benchmarks!C10</f>
        <v>Profitability</v>
      </c>
      <c r="D14" s="52" t="n">
        <f aca="false">Benchmarks!E10</f>
        <v>6</v>
      </c>
      <c r="E14" s="53" t="n">
        <f aca="false">INDEX(Benchmarks!F10:H10,Set_Idx)</f>
        <v>0.2</v>
      </c>
      <c r="F14" s="51" t="str">
        <f aca="false">Benchmarks!D10</f>
        <v>Higher</v>
      </c>
      <c r="G14" s="54" t="n">
        <f aca="false">Ratios!D12</f>
        <v>0.119502154089847</v>
      </c>
      <c r="H14" s="54" t="n">
        <f aca="false">Ratios!E12</f>
        <v>0.139843183193172</v>
      </c>
      <c r="I14" s="54" t="n">
        <f aca="false">Ratios!F12</f>
        <v>0.161643835616438</v>
      </c>
      <c r="J14" s="55" t="n">
        <f aca="false">IFERROR(IF($F14="Higher",MIN(100,MAX(0,100*G14/$E14)),IF(G14&lt;=0,100,MIN(100,MAX(0,100*$E14/G14)))),0)</f>
        <v>59.7510770449236</v>
      </c>
      <c r="K14" s="55" t="n">
        <f aca="false">IFERROR(IF($F14="Higher",MIN(100,MAX(0,100*H14/$E14)),IF(H14&lt;=0,100,MIN(100,MAX(0,100*$E14/H14)))),0)</f>
        <v>69.921591596586</v>
      </c>
      <c r="L14" s="55" t="n">
        <f aca="false">IFERROR(IF($F14="Higher",MIN(100,MAX(0,100*I14/$E14)),IF(I14&lt;=0,100,MIN(100,MAX(0,100*$E14/I14)))),0)</f>
        <v>80.8219178082192</v>
      </c>
    </row>
    <row r="15" customFormat="false" ht="15" hidden="false" customHeight="false" outlineLevel="0" collapsed="false">
      <c r="B15" s="50" t="str">
        <f aca="false">Benchmarks!B11</f>
        <v>Current ratio</v>
      </c>
      <c r="C15" s="51" t="str">
        <f aca="false">Benchmarks!C11</f>
        <v>Liquidity</v>
      </c>
      <c r="D15" s="52" t="n">
        <f aca="false">Benchmarks!E11</f>
        <v>8</v>
      </c>
      <c r="E15" s="56" t="n">
        <f aca="false">INDEX(Benchmarks!F11:H11,Set_Idx)</f>
        <v>2</v>
      </c>
      <c r="F15" s="51" t="str">
        <f aca="false">Benchmarks!D11</f>
        <v>Higher</v>
      </c>
      <c r="G15" s="57" t="n">
        <f aca="false">Ratios!D15</f>
        <v>1.57550099572465</v>
      </c>
      <c r="H15" s="57" t="n">
        <f aca="false">Ratios!E15</f>
        <v>1.76093716347189</v>
      </c>
      <c r="I15" s="57" t="n">
        <f aca="false">Ratios!F15</f>
        <v>1.75515074326367</v>
      </c>
      <c r="J15" s="55" t="n">
        <f aca="false">IFERROR(IF($F15="Higher",MIN(100,MAX(0,100*G15/$E15)),IF(G15&lt;=0,100,MIN(100,MAX(0,100*$E15/G15)))),0)</f>
        <v>78.7750497862325</v>
      </c>
      <c r="K15" s="55" t="n">
        <f aca="false">IFERROR(IF($F15="Higher",MIN(100,MAX(0,100*H15/$E15)),IF(H15&lt;=0,100,MIN(100,MAX(0,100*$E15/H15)))),0)</f>
        <v>88.0468581735947</v>
      </c>
      <c r="L15" s="55" t="n">
        <f aca="false">IFERROR(IF($F15="Higher",MIN(100,MAX(0,100*I15/$E15)),IF(I15&lt;=0,100,MIN(100,MAX(0,100*$E15/I15)))),0)</f>
        <v>87.7575371631835</v>
      </c>
    </row>
    <row r="16" customFormat="false" ht="15" hidden="false" customHeight="false" outlineLevel="0" collapsed="false">
      <c r="B16" s="50" t="str">
        <f aca="false">Benchmarks!B12</f>
        <v>Quick ratio</v>
      </c>
      <c r="C16" s="51" t="str">
        <f aca="false">Benchmarks!C12</f>
        <v>Liquidity</v>
      </c>
      <c r="D16" s="52" t="n">
        <f aca="false">Benchmarks!E12</f>
        <v>7</v>
      </c>
      <c r="E16" s="56" t="n">
        <f aca="false">INDEX(Benchmarks!F12:H12,Set_Idx)</f>
        <v>1.2</v>
      </c>
      <c r="F16" s="51" t="str">
        <f aca="false">Benchmarks!D12</f>
        <v>Higher</v>
      </c>
      <c r="G16" s="57" t="n">
        <f aca="false">Ratios!D16</f>
        <v>0.969285724233014</v>
      </c>
      <c r="H16" s="57" t="n">
        <f aca="false">Ratios!E16</f>
        <v>1.13716212578075</v>
      </c>
      <c r="I16" s="57" t="n">
        <f aca="false">Ratios!F16</f>
        <v>1.12564404392042</v>
      </c>
      <c r="J16" s="55" t="n">
        <f aca="false">IFERROR(IF($F16="Higher",MIN(100,MAX(0,100*G16/$E16)),IF(G16&lt;=0,100,MIN(100,MAX(0,100*$E16/G16)))),0)</f>
        <v>80.7738103527511</v>
      </c>
      <c r="K16" s="55" t="n">
        <f aca="false">IFERROR(IF($F16="Higher",MIN(100,MAX(0,100*H16/$E16)),IF(H16&lt;=0,100,MIN(100,MAX(0,100*$E16/H16)))),0)</f>
        <v>94.7635104817288</v>
      </c>
      <c r="L16" s="55" t="n">
        <f aca="false">IFERROR(IF($F16="Higher",MIN(100,MAX(0,100*I16/$E16)),IF(I16&lt;=0,100,MIN(100,MAX(0,100*$E16/I16)))),0)</f>
        <v>93.8036703267015</v>
      </c>
    </row>
    <row r="17" customFormat="false" ht="15" hidden="false" customHeight="false" outlineLevel="0" collapsed="false">
      <c r="B17" s="50" t="str">
        <f aca="false">Benchmarks!B13</f>
        <v>Operating cash flow ratio</v>
      </c>
      <c r="C17" s="51" t="str">
        <f aca="false">Benchmarks!C13</f>
        <v>Liquidity</v>
      </c>
      <c r="D17" s="52" t="n">
        <f aca="false">Benchmarks!E13</f>
        <v>5</v>
      </c>
      <c r="E17" s="56" t="n">
        <f aca="false">INDEX(Benchmarks!F13:H13,Set_Idx)</f>
        <v>0.5</v>
      </c>
      <c r="F17" s="51" t="str">
        <f aca="false">Benchmarks!D13</f>
        <v>Higher</v>
      </c>
      <c r="G17" s="57" t="n">
        <f aca="false">Ratios!D19</f>
        <v>0.224469759215675</v>
      </c>
      <c r="H17" s="57" t="n">
        <f aca="false">Ratios!E19</f>
        <v>0.297800452293776</v>
      </c>
      <c r="I17" s="57" t="n">
        <f aca="false">Ratios!F19</f>
        <v>0.371535349247088</v>
      </c>
      <c r="J17" s="55" t="n">
        <f aca="false">IFERROR(IF($F17="Higher",MIN(100,MAX(0,100*G17/$E17)),IF(G17&lt;=0,100,MIN(100,MAX(0,100*$E17/G17)))),0)</f>
        <v>44.8939518431351</v>
      </c>
      <c r="K17" s="55" t="n">
        <f aca="false">IFERROR(IF($F17="Higher",MIN(100,MAX(0,100*H17/$E17)),IF(H17&lt;=0,100,MIN(100,MAX(0,100*$E17/H17)))),0)</f>
        <v>59.5600904587551</v>
      </c>
      <c r="L17" s="55" t="n">
        <f aca="false">IFERROR(IF($F17="Higher",MIN(100,MAX(0,100*I17/$E17)),IF(I17&lt;=0,100,MIN(100,MAX(0,100*$E17/I17)))),0)</f>
        <v>74.3070698494175</v>
      </c>
    </row>
    <row r="18" customFormat="false" ht="15" hidden="false" customHeight="false" outlineLevel="0" collapsed="false">
      <c r="B18" s="50" t="str">
        <f aca="false">Benchmarks!B14</f>
        <v>Cash ratio</v>
      </c>
      <c r="C18" s="51" t="str">
        <f aca="false">Benchmarks!C14</f>
        <v>Liquidity</v>
      </c>
      <c r="D18" s="52" t="n">
        <f aca="false">Benchmarks!E14</f>
        <v>5</v>
      </c>
      <c r="E18" s="56" t="n">
        <f aca="false">INDEX(Benchmarks!F14:H14,Set_Idx)</f>
        <v>0.5</v>
      </c>
      <c r="F18" s="51" t="str">
        <f aca="false">Benchmarks!D14</f>
        <v>Higher</v>
      </c>
      <c r="G18" s="57" t="n">
        <f aca="false">Ratios!D17</f>
        <v>0.405364379517317</v>
      </c>
      <c r="H18" s="57" t="n">
        <f aca="false">Ratios!E17</f>
        <v>0.541541029506784</v>
      </c>
      <c r="I18" s="57" t="n">
        <f aca="false">Ratios!F17</f>
        <v>0.525835729401851</v>
      </c>
      <c r="J18" s="55" t="n">
        <f aca="false">IFERROR(IF($F18="Higher",MIN(100,MAX(0,100*G18/$E18)),IF(G18&lt;=0,100,MIN(100,MAX(0,100*$E18/G18)))),0)</f>
        <v>81.0728759034635</v>
      </c>
      <c r="K18" s="55" t="n">
        <f aca="false">IFERROR(IF($F18="Higher",MIN(100,MAX(0,100*H18/$E18)),IF(H18&lt;=0,100,MIN(100,MAX(0,100*$E18/H18)))),0)</f>
        <v>100</v>
      </c>
      <c r="L18" s="55" t="n">
        <f aca="false">IFERROR(IF($F18="Higher",MIN(100,MAX(0,100*I18/$E18)),IF(I18&lt;=0,100,MIN(100,MAX(0,100*$E18/I18)))),0)</f>
        <v>100</v>
      </c>
    </row>
    <row r="19" customFormat="false" ht="15" hidden="false" customHeight="false" outlineLevel="0" collapsed="false">
      <c r="B19" s="50" t="str">
        <f aca="false">Benchmarks!B15</f>
        <v>Borrowings-to-equity</v>
      </c>
      <c r="C19" s="51" t="str">
        <f aca="false">Benchmarks!C15</f>
        <v>Solvency</v>
      </c>
      <c r="D19" s="52" t="n">
        <f aca="false">Benchmarks!E15</f>
        <v>7</v>
      </c>
      <c r="E19" s="56" t="n">
        <f aca="false">INDEX(Benchmarks!F15:H15,Set_Idx)</f>
        <v>0.5</v>
      </c>
      <c r="F19" s="51" t="str">
        <f aca="false">Benchmarks!D15</f>
        <v>Lower</v>
      </c>
      <c r="G19" s="57" t="n">
        <f aca="false">Ratios!D21</f>
        <v>0.69189717187031</v>
      </c>
      <c r="H19" s="57" t="n">
        <f aca="false">Ratios!E21</f>
        <v>0.696232101796462</v>
      </c>
      <c r="I19" s="57" t="n">
        <f aca="false">Ratios!F21</f>
        <v>0.543962830569893</v>
      </c>
      <c r="J19" s="55" t="n">
        <f aca="false">IFERROR(IF($F19="Higher",MIN(100,MAX(0,100*G19/$E19)),IF(G19&lt;=0,100,MIN(100,MAX(0,100*$E19/G19)))),0)</f>
        <v>72.2650735294118</v>
      </c>
      <c r="K19" s="55" t="n">
        <f aca="false">IFERROR(IF($F19="Higher",MIN(100,MAX(0,100*H19/$E19)),IF(H19&lt;=0,100,MIN(100,MAX(0,100*$E19/H19)))),0)</f>
        <v>71.8151315789474</v>
      </c>
      <c r="L19" s="55" t="n">
        <f aca="false">IFERROR(IF($F19="Higher",MIN(100,MAX(0,100*I19/$E19)),IF(I19&lt;=0,100,MIN(100,MAX(0,100*$E19/I19)))),0)</f>
        <v>91.9180451127819</v>
      </c>
    </row>
    <row r="20" customFormat="false" ht="15" hidden="false" customHeight="false" outlineLevel="0" collapsed="false">
      <c r="B20" s="50" t="str">
        <f aca="false">Benchmarks!B16</f>
        <v>Debt ratio</v>
      </c>
      <c r="C20" s="51" t="str">
        <f aca="false">Benchmarks!C16</f>
        <v>Solvency</v>
      </c>
      <c r="D20" s="52" t="n">
        <f aca="false">Benchmarks!E16</f>
        <v>4</v>
      </c>
      <c r="E20" s="53" t="n">
        <f aca="false">INDEX(Benchmarks!F16:H16,Set_Idx)</f>
        <v>0.45</v>
      </c>
      <c r="F20" s="51" t="str">
        <f aca="false">Benchmarks!D16</f>
        <v>Lower</v>
      </c>
      <c r="G20" s="54" t="n">
        <f aca="false">Ratios!D23</f>
        <v>0.526558680074667</v>
      </c>
      <c r="H20" s="54" t="n">
        <f aca="false">Ratios!E23</f>
        <v>0.527341771055697</v>
      </c>
      <c r="I20" s="54" t="n">
        <f aca="false">Ratios!F23</f>
        <v>0.48898665524124</v>
      </c>
      <c r="J20" s="55" t="n">
        <f aca="false">IFERROR(IF($F20="Higher",MIN(100,MAX(0,100*G20/$E20)),IF(G20&lt;=0,100,MIN(100,MAX(0,100*$E20/G20)))),0)</f>
        <v>85.4605606228329</v>
      </c>
      <c r="K20" s="55" t="n">
        <f aca="false">IFERROR(IF($F20="Higher",MIN(100,MAX(0,100*H20/$E20)),IF(H20&lt;=0,100,MIN(100,MAX(0,100*$E20/H20)))),0)</f>
        <v>85.3336535619273</v>
      </c>
      <c r="L20" s="55" t="n">
        <f aca="false">IFERROR(IF($F20="Higher",MIN(100,MAX(0,100*I20/$E20)),IF(I20&lt;=0,100,MIN(100,MAX(0,100*$E20/I20)))),0)</f>
        <v>92.0270512858871</v>
      </c>
    </row>
    <row r="21" customFormat="false" ht="15" hidden="false" customHeight="false" outlineLevel="0" collapsed="false">
      <c r="B21" s="50" t="str">
        <f aca="false">Benchmarks!B17</f>
        <v>Interest cover</v>
      </c>
      <c r="C21" s="51" t="str">
        <f aca="false">Benchmarks!C17</f>
        <v>Solvency</v>
      </c>
      <c r="D21" s="52" t="n">
        <f aca="false">Benchmarks!E17</f>
        <v>7</v>
      </c>
      <c r="E21" s="56" t="n">
        <f aca="false">INDEX(Benchmarks!F17:H17,Set_Idx)</f>
        <v>7</v>
      </c>
      <c r="F21" s="51" t="str">
        <f aca="false">Benchmarks!D17</f>
        <v>Higher</v>
      </c>
      <c r="G21" s="57" t="n">
        <f aca="false">Ratios!D25</f>
        <v>3.83562038192112</v>
      </c>
      <c r="H21" s="57" t="n">
        <f aca="false">Ratios!E25</f>
        <v>4.32880174291939</v>
      </c>
      <c r="I21" s="57" t="n">
        <f aca="false">Ratios!F25</f>
        <v>5.1969049247606</v>
      </c>
      <c r="J21" s="55" t="n">
        <f aca="false">IFERROR(IF($F21="Higher",MIN(100,MAX(0,100*G21/$E21)),IF(G21&lt;=0,100,MIN(100,MAX(0,100*$E21/G21)))),0)</f>
        <v>54.7945768845874</v>
      </c>
      <c r="K21" s="55" t="n">
        <f aca="false">IFERROR(IF($F21="Higher",MIN(100,MAX(0,100*H21/$E21)),IF(H21&lt;=0,100,MIN(100,MAX(0,100*$E21/H21)))),0)</f>
        <v>61.8400248988484</v>
      </c>
      <c r="L21" s="55" t="n">
        <f aca="false">IFERROR(IF($F21="Higher",MIN(100,MAX(0,100*I21/$E21)),IF(I21&lt;=0,100,MIN(100,MAX(0,100*$E21/I21)))),0)</f>
        <v>74.2414989251515</v>
      </c>
    </row>
    <row r="22" customFormat="false" ht="15" hidden="false" customHeight="false" outlineLevel="0" collapsed="false">
      <c r="B22" s="50" t="str">
        <f aca="false">Benchmarks!B18</f>
        <v>Debt service cover ratio</v>
      </c>
      <c r="C22" s="51" t="str">
        <f aca="false">Benchmarks!C18</f>
        <v>Solvency</v>
      </c>
      <c r="D22" s="52" t="n">
        <f aca="false">Benchmarks!E18</f>
        <v>7</v>
      </c>
      <c r="E22" s="56" t="n">
        <f aca="false">INDEX(Benchmarks!F18:H18,Set_Idx)</f>
        <v>3.5</v>
      </c>
      <c r="F22" s="51" t="str">
        <f aca="false">Benchmarks!D18</f>
        <v>Higher</v>
      </c>
      <c r="G22" s="57" t="n">
        <f aca="false">Ratios!D28</f>
        <v>2.55831586459123</v>
      </c>
      <c r="H22" s="57" t="n">
        <f aca="false">Ratios!E28</f>
        <v>2.81605720122574</v>
      </c>
      <c r="I22" s="57" t="n">
        <f aca="false">Ratios!F28</f>
        <v>3.07311956847468</v>
      </c>
      <c r="J22" s="55" t="n">
        <f aca="false">IFERROR(IF($F22="Higher",MIN(100,MAX(0,100*G22/$E22)),IF(G22&lt;=0,100,MIN(100,MAX(0,100*$E22/G22)))),0)</f>
        <v>73.0947389883209</v>
      </c>
      <c r="K22" s="55" t="n">
        <f aca="false">IFERROR(IF($F22="Higher",MIN(100,MAX(0,100*H22/$E22)),IF(H22&lt;=0,100,MIN(100,MAX(0,100*$E22/H22)))),0)</f>
        <v>80.4587771778783</v>
      </c>
      <c r="L22" s="55" t="n">
        <f aca="false">IFERROR(IF($F22="Higher",MIN(100,MAX(0,100*I22/$E22)),IF(I22&lt;=0,100,MIN(100,MAX(0,100*$E22/I22)))),0)</f>
        <v>87.8034162421337</v>
      </c>
    </row>
    <row r="23" customFormat="false" ht="15" hidden="false" customHeight="false" outlineLevel="0" collapsed="false">
      <c r="B23" s="50" t="str">
        <f aca="false">Benchmarks!B19</f>
        <v>Days sales outstanding</v>
      </c>
      <c r="C23" s="51" t="str">
        <f aca="false">Benchmarks!C19</f>
        <v>Efficiency</v>
      </c>
      <c r="D23" s="52" t="n">
        <f aca="false">Benchmarks!E19</f>
        <v>5</v>
      </c>
      <c r="E23" s="58" t="n">
        <f aca="false">INDEX(Benchmarks!F19:H19,Set_Idx)</f>
        <v>30</v>
      </c>
      <c r="F23" s="51" t="str">
        <f aca="false">Benchmarks!D19</f>
        <v>Lower</v>
      </c>
      <c r="G23" s="59" t="n">
        <f aca="false">Ratios!D31</f>
        <v>33.7803184195207</v>
      </c>
      <c r="H23" s="59" t="n">
        <f aca="false">Ratios!E31</f>
        <v>34.4729770696292</v>
      </c>
      <c r="I23" s="59" t="n">
        <f aca="false">Ratios!F31</f>
        <v>34.1080470609044</v>
      </c>
      <c r="J23" s="55" t="n">
        <f aca="false">IFERROR(IF($F23="Higher",MIN(100,MAX(0,100*G23/$E23)),IF(G23&lt;=0,100,MIN(100,MAX(0,100*$E23/G23)))),0)</f>
        <v>88.8091095750709</v>
      </c>
      <c r="K23" s="55" t="n">
        <f aca="false">IFERROR(IF($F23="Higher",MIN(100,MAX(0,100*H23/$E23)),IF(H23&lt;=0,100,MIN(100,MAX(0,100*$E23/H23)))),0)</f>
        <v>87.0246858558382</v>
      </c>
      <c r="L23" s="55" t="n">
        <f aca="false">IFERROR(IF($F23="Higher",MIN(100,MAX(0,100*I23/$E23)),IF(I23&lt;=0,100,MIN(100,MAX(0,100*$E23/I23)))),0)</f>
        <v>87.9557834150723</v>
      </c>
    </row>
    <row r="24" customFormat="false" ht="15" hidden="false" customHeight="false" outlineLevel="0" collapsed="false">
      <c r="B24" s="50" t="str">
        <f aca="false">Benchmarks!B20</f>
        <v>Days inventory outstanding</v>
      </c>
      <c r="C24" s="51" t="str">
        <f aca="false">Benchmarks!C20</f>
        <v>Efficiency</v>
      </c>
      <c r="D24" s="52" t="n">
        <f aca="false">Benchmarks!E20</f>
        <v>5</v>
      </c>
      <c r="E24" s="58" t="n">
        <f aca="false">INDEX(Benchmarks!F20:H20,Set_Idx)</f>
        <v>35</v>
      </c>
      <c r="F24" s="51" t="str">
        <f aca="false">Benchmarks!D20</f>
        <v>Lower</v>
      </c>
      <c r="G24" s="59" t="n">
        <f aca="false">Ratios!D33</f>
        <v>44.6446202382174</v>
      </c>
      <c r="H24" s="59" t="n">
        <f aca="false">Ratios!E33</f>
        <v>42.6630785960231</v>
      </c>
      <c r="I24" s="59" t="n">
        <f aca="false">Ratios!F33</f>
        <v>41.8560254820441</v>
      </c>
      <c r="J24" s="55" t="n">
        <f aca="false">IFERROR(IF($F24="Higher",MIN(100,MAX(0,100*G24/$E24)),IF(G24&lt;=0,100,MIN(100,MAX(0,100*$E24/G24)))),0)</f>
        <v>78.3969038447297</v>
      </c>
      <c r="K24" s="55" t="n">
        <f aca="false">IFERROR(IF($F24="Higher",MIN(100,MAX(0,100*H24/$E24)),IF(H24&lt;=0,100,MIN(100,MAX(0,100*$E24/H24)))),0)</f>
        <v>82.0381490314264</v>
      </c>
      <c r="L24" s="55" t="n">
        <f aca="false">IFERROR(IF($F24="Higher",MIN(100,MAX(0,100*I24/$E24)),IF(I24&lt;=0,100,MIN(100,MAX(0,100*$E24/I24)))),0)</f>
        <v>83.6199796729738</v>
      </c>
    </row>
    <row r="25" customFormat="false" ht="15" hidden="false" customHeight="false" outlineLevel="0" collapsed="false">
      <c r="B25" s="50" t="str">
        <f aca="false">Benchmarks!B21</f>
        <v>Cash conversion cycle (days)</v>
      </c>
      <c r="C25" s="51" t="str">
        <f aca="false">Benchmarks!C21</f>
        <v>Efficiency</v>
      </c>
      <c r="D25" s="52" t="n">
        <f aca="false">Benchmarks!E21</f>
        <v>5</v>
      </c>
      <c r="E25" s="58" t="n">
        <f aca="false">INDEX(Benchmarks!F21:H21,Set_Idx)</f>
        <v>25</v>
      </c>
      <c r="F25" s="51" t="str">
        <f aca="false">Benchmarks!D21</f>
        <v>Lower</v>
      </c>
      <c r="G25" s="59" t="n">
        <f aca="false">Ratios!D36</f>
        <v>39.9067816257972</v>
      </c>
      <c r="H25" s="59" t="n">
        <f aca="false">Ratios!E36</f>
        <v>38.2689753225856</v>
      </c>
      <c r="I25" s="59" t="n">
        <f aca="false">Ratios!F36</f>
        <v>35.9958178387628</v>
      </c>
      <c r="J25" s="55" t="n">
        <f aca="false">IFERROR(IF($F25="Higher",MIN(100,MAX(0,100*G25/$E25)),IF(G25&lt;=0,100,MIN(100,MAX(0,100*$E25/G25)))),0)</f>
        <v>62.6459939426414</v>
      </c>
      <c r="K25" s="55" t="n">
        <f aca="false">IFERROR(IF($F25="Higher",MIN(100,MAX(0,100*H25/$E25)),IF(H25&lt;=0,100,MIN(100,MAX(0,100*$E25/H25)))),0)</f>
        <v>65.3270692232135</v>
      </c>
      <c r="L25" s="55" t="n">
        <f aca="false">IFERROR(IF($F25="Higher",MIN(100,MAX(0,100*I25/$E25)),IF(I25&lt;=0,100,MIN(100,MAX(0,100*$E25/I25)))),0)</f>
        <v>69.4525128224154</v>
      </c>
    </row>
    <row r="26" customFormat="false" ht="15" hidden="false" customHeight="false" outlineLevel="0" collapsed="false">
      <c r="B26" s="50" t="str">
        <f aca="false">Benchmarks!B22</f>
        <v>Total asset turnover</v>
      </c>
      <c r="C26" s="51" t="str">
        <f aca="false">Benchmarks!C22</f>
        <v>Efficiency</v>
      </c>
      <c r="D26" s="52" t="n">
        <f aca="false">Benchmarks!E22</f>
        <v>5</v>
      </c>
      <c r="E26" s="56" t="n">
        <f aca="false">INDEX(Benchmarks!F22:H22,Set_Idx)</f>
        <v>2.4</v>
      </c>
      <c r="F26" s="51" t="str">
        <f aca="false">Benchmarks!D22</f>
        <v>Higher</v>
      </c>
      <c r="G26" s="57" t="n">
        <f aca="false">Ratios!D37</f>
        <v>2.00670352833359</v>
      </c>
      <c r="H26" s="57" t="n">
        <f aca="false">Ratios!E37</f>
        <v>2.04599182048391</v>
      </c>
      <c r="I26" s="57" t="n">
        <f aca="false">Ratios!F37</f>
        <v>2.06823564191973</v>
      </c>
      <c r="J26" s="55" t="n">
        <f aca="false">IFERROR(IF($F26="Higher",MIN(100,MAX(0,100*G26/$E26)),IF(G26&lt;=0,100,MIN(100,MAX(0,100*$E26/G26)))),0)</f>
        <v>83.6126470138995</v>
      </c>
      <c r="K26" s="55" t="n">
        <f aca="false">IFERROR(IF($F26="Higher",MIN(100,MAX(0,100*H26/$E26)),IF(H26&lt;=0,100,MIN(100,MAX(0,100*$E26/H26)))),0)</f>
        <v>85.2496591868295</v>
      </c>
      <c r="L26" s="55" t="n">
        <f aca="false">IFERROR(IF($F26="Higher",MIN(100,MAX(0,100*I26/$E26)),IF(I26&lt;=0,100,MIN(100,MAX(0,100*$E26/I26)))),0)</f>
        <v>86.176485079989</v>
      </c>
    </row>
    <row r="28" customFormat="false" ht="15" hidden="false" customHeight="false" outlineLevel="0" collapsed="false">
      <c r="B28" s="12" t="s">
        <v>159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customFormat="false" ht="15" hidden="false" customHeight="false" outlineLevel="0" collapsed="false">
      <c r="B29" s="37" t="s">
        <v>78</v>
      </c>
      <c r="D29" s="45" t="n">
        <f aca="false">SUMIFS($D$10:$D$26,$C$10:$C$26,B29)</f>
        <v>30</v>
      </c>
      <c r="J29" s="42" t="n">
        <f aca="false">IFERROR(SUMPRODUCT(($C$10:$C$26=$B29)*$D$10:$D$26*J$10:J$26)/$D29,0)</f>
        <v>63.1211901184245</v>
      </c>
      <c r="K29" s="42" t="n">
        <f aca="false">IFERROR(SUMPRODUCT(($C$10:$C$26=$B29)*$D$10:$D$26*K$10:K$26)/$D29,0)</f>
        <v>71.494330910644</v>
      </c>
      <c r="L29" s="42" t="n">
        <f aca="false">IFERROR(SUMPRODUCT(($C$10:$C$26=$B29)*$D$10:$D$26*L$10:L$26)/$D29,0)</f>
        <v>80.6998703234901</v>
      </c>
    </row>
    <row r="30" customFormat="false" ht="15" hidden="false" customHeight="false" outlineLevel="0" collapsed="false">
      <c r="B30" s="37" t="s">
        <v>94</v>
      </c>
      <c r="D30" s="45" t="n">
        <f aca="false">SUMIFS($D$10:$D$26,$C$10:$C$26,B30)</f>
        <v>25</v>
      </c>
      <c r="J30" s="42" t="n">
        <f aca="false">IFERROR(SUMPRODUCT(($C$10:$C$26=$B30)*$D$10:$D$26*J$10:J$26)/$D30,0)</f>
        <v>73.0180483796844</v>
      </c>
      <c r="K30" s="42" t="n">
        <f aca="false">IFERROR(SUMPRODUCT(($C$10:$C$26=$B30)*$D$10:$D$26*K$10:K$26)/$D30,0)</f>
        <v>86.6207956421854</v>
      </c>
      <c r="L30" s="42" t="n">
        <f aca="false">IFERROR(SUMPRODUCT(($C$10:$C$26=$B30)*$D$10:$D$26*L$10:L$26)/$D30,0)</f>
        <v>89.2088535535787</v>
      </c>
    </row>
    <row r="31" customFormat="false" ht="15" hidden="false" customHeight="false" outlineLevel="0" collapsed="false">
      <c r="B31" s="37" t="s">
        <v>106</v>
      </c>
      <c r="D31" s="45" t="n">
        <f aca="false">SUMIFS($D$10:$D$26,$C$10:$C$26,B31)</f>
        <v>25</v>
      </c>
      <c r="J31" s="42" t="n">
        <f aca="false">IFERROR(SUMPRODUCT(($C$10:$C$26=$B31)*$D$10:$D$26*J$10:J$26)/$D31,0)</f>
        <v>69.7169187323029</v>
      </c>
      <c r="K31" s="42" t="n">
        <f aca="false">IFERROR(SUMPRODUCT(($C$10:$C$26=$B31)*$D$10:$D$26*K$10:K$26)/$D31,0)</f>
        <v>73.6052859934971</v>
      </c>
      <c r="L31" s="42" t="n">
        <f aca="false">IFERROR(SUMPRODUCT(($C$10:$C$26=$B31)*$D$10:$D$26*L$10:L$26)/$D31,0)</f>
        <v>85.8339570841607</v>
      </c>
    </row>
    <row r="32" customFormat="false" ht="15" hidden="false" customHeight="false" outlineLevel="0" collapsed="false">
      <c r="B32" s="37" t="s">
        <v>124</v>
      </c>
      <c r="D32" s="45" t="n">
        <f aca="false">SUMIFS($D$10:$D$26,$C$10:$C$26,B32)</f>
        <v>20</v>
      </c>
      <c r="J32" s="42" t="n">
        <f aca="false">IFERROR(SUMPRODUCT(($C$10:$C$26=$B32)*$D$10:$D$26*J$10:J$26)/$D32,0)</f>
        <v>78.3661635940854</v>
      </c>
      <c r="K32" s="42" t="n">
        <f aca="false">IFERROR(SUMPRODUCT(($C$10:$C$26=$B32)*$D$10:$D$26*K$10:K$26)/$D32,0)</f>
        <v>79.9098908243269</v>
      </c>
      <c r="L32" s="42" t="n">
        <f aca="false">IFERROR(SUMPRODUCT(($C$10:$C$26=$B32)*$D$10:$D$26*L$10:L$26)/$D32,0)</f>
        <v>81.8011902476126</v>
      </c>
    </row>
    <row r="33" customFormat="false" ht="15" hidden="false" customHeight="false" outlineLevel="0" collapsed="false">
      <c r="B33" s="60" t="s">
        <v>160</v>
      </c>
      <c r="C33" s="61"/>
      <c r="D33" s="62" t="n">
        <f aca="false">SUM(D29:D32)</f>
        <v>100</v>
      </c>
      <c r="E33" s="61"/>
      <c r="F33" s="61"/>
      <c r="G33" s="61"/>
      <c r="H33" s="61"/>
      <c r="I33" s="61"/>
      <c r="J33" s="63" t="n">
        <f aca="false">SUMPRODUCT($D$10:$D$26,J$10:J$26)/SUM($D$10:$D$26)</f>
        <v>70.2933315323413</v>
      </c>
      <c r="K33" s="63" t="n">
        <f aca="false">SUMPRODUCT($D$10:$D$26,K$10:K$26)/SUM($D$10:$D$26)</f>
        <v>77.4867978469792</v>
      </c>
      <c r="L33" s="63" t="n">
        <f aca="false">SUMPRODUCT($D$10:$D$26,L$10:L$26)/SUM($D$10:$D$26)</f>
        <v>84.3309018060044</v>
      </c>
    </row>
    <row r="34" customFormat="false" ht="15" hidden="false" customHeight="false" outlineLevel="0" collapsed="false">
      <c r="B34" s="8" t="s">
        <v>161</v>
      </c>
      <c r="J34" s="64" t="str">
        <f aca="false">INDEX(Grade_Letter,MATCH(J33,Grade_Floor,1))</f>
        <v>C</v>
      </c>
      <c r="K34" s="64" t="str">
        <f aca="false">INDEX(Grade_Letter,MATCH(K33,Grade_Floor,1))</f>
        <v>C</v>
      </c>
      <c r="L34" s="64" t="str">
        <f aca="false">INDEX(Grade_Letter,MATCH(L33,Grade_Floor,1))</f>
        <v>B</v>
      </c>
    </row>
    <row r="35" customFormat="false" ht="15" hidden="false" customHeight="false" outlineLevel="0" collapsed="false">
      <c r="B35" s="8" t="s">
        <v>162</v>
      </c>
      <c r="J35" s="65" t="str">
        <f aca="false">INDEX(Grade_Desc,MATCH(J33,Grade_Floor,1))</f>
        <v>Adequate</v>
      </c>
      <c r="K35" s="65" t="str">
        <f aca="false">INDEX(Grade_Desc,MATCH(K33,Grade_Floor,1))</f>
        <v>Adequate</v>
      </c>
      <c r="L35" s="65" t="str">
        <f aca="false">INDEX(Grade_Desc,MATCH(L33,Grade_Floor,1))</f>
        <v>Good</v>
      </c>
    </row>
  </sheetData>
  <mergeCells count="3">
    <mergeCell ref="C5:D5"/>
    <mergeCell ref="G8:I8"/>
    <mergeCell ref="J8:L8"/>
  </mergeCells>
  <conditionalFormatting sqref="J10:L26">
    <cfRule type="colorScale" priority="2">
      <colorScale>
        <cfvo type="num" val="40"/>
        <cfvo type="num" val="75"/>
        <cfvo type="num" val="100"/>
        <color rgb="FFF8CBAD"/>
        <color rgb="FFFFEB9C"/>
        <color rgb="FFA9D08E"/>
      </colorScale>
    </cfRule>
  </conditionalFormatting>
  <conditionalFormatting sqref="J29:L33">
    <cfRule type="colorScale" priority="3">
      <colorScale>
        <cfvo type="num" val="40"/>
        <cfvo type="num" val="75"/>
        <cfvo type="num" val="100"/>
        <color rgb="FFF8CBAD"/>
        <color rgb="FFFFEB9C"/>
        <color rgb="FFA9D08E"/>
      </colorScale>
    </cfRule>
  </conditionalFormatting>
  <dataValidations count="1">
    <dataValidation allowBlank="false" error="Pick a value from the list." errorStyle="stop" errorTitle="Invalid selection" operator="between" showDropDown="false" showErrorMessage="true" showInputMessage="false" sqref="C5" type="list">
      <formula1>Set_List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C9BB0"/>
    <pageSetUpPr fitToPage="true"/>
  </sheetPr>
  <dimension ref="B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3"/>
    <col collapsed="false" customWidth="true" hidden="false" outlineLevel="0" max="6" min="4" style="0" width="13"/>
    <col collapsed="false" customWidth="true" hidden="false" outlineLevel="0" max="7" min="7" style="0" width="3"/>
    <col collapsed="false" customWidth="true" hidden="false" outlineLevel="0" max="8" min="8" style="0" width="52"/>
  </cols>
  <sheetData>
    <row r="1" customFormat="false" ht="24" hidden="false" customHeight="true" outlineLevel="0" collapsed="false">
      <c r="B1" s="17" t="s">
        <v>163</v>
      </c>
    </row>
    <row r="2" customFormat="false" ht="15" hidden="false" customHeight="false" outlineLevel="0" collapsed="false">
      <c r="B2" s="18" t="s">
        <v>164</v>
      </c>
    </row>
    <row r="3" customFormat="false" ht="15" hidden="false" customHeight="false" outlineLevel="0" collapsed="false">
      <c r="B3" s="19" t="str">
        <f aca="false">HYPERLINK("#Cover!A1","◄ Back to Cover")</f>
        <v>◄ Back to Cover</v>
      </c>
    </row>
    <row r="5" customFormat="false" ht="25.5" hidden="false" customHeight="true" outlineLevel="0" collapsed="false">
      <c r="B5" s="34" t="s">
        <v>165</v>
      </c>
      <c r="C5" s="35"/>
      <c r="D5" s="36" t="n">
        <f aca="false">FS_Data!D$5</f>
        <v>2023</v>
      </c>
      <c r="E5" s="36" t="n">
        <f aca="false">FS_Data!E$5</f>
        <v>2024</v>
      </c>
      <c r="F5" s="36" t="n">
        <f aca="false">FS_Data!F$5</f>
        <v>2025</v>
      </c>
    </row>
    <row r="6" customFormat="false" ht="15" hidden="false" customHeight="false" outlineLevel="0" collapsed="false">
      <c r="B6" s="37" t="s">
        <v>166</v>
      </c>
      <c r="D6" s="39" t="n">
        <f aca="false">IFERROR(FS_Data!D22/FS_Data!D20,0)</f>
        <v>0.741368507831822</v>
      </c>
      <c r="E6" s="39" t="n">
        <f aca="false">IFERROR(FS_Data!E22/FS_Data!E20,0)</f>
        <v>0.742468838780681</v>
      </c>
      <c r="F6" s="39" t="n">
        <f aca="false">IFERROR(FS_Data!F22/FS_Data!F20,0)</f>
        <v>0.74374676899829</v>
      </c>
    </row>
    <row r="7" customFormat="false" ht="15" hidden="false" customHeight="false" outlineLevel="0" collapsed="false">
      <c r="B7" s="37" t="s">
        <v>167</v>
      </c>
      <c r="D7" s="39" t="n">
        <f aca="false">IFERROR(FS_Data!D20/FS_Data!D16,0)</f>
        <v>0.758675039403568</v>
      </c>
      <c r="E7" s="39" t="n">
        <f aca="false">IFERROR(FS_Data!E20/FS_Data!E16,0)</f>
        <v>0.786564129406317</v>
      </c>
      <c r="F7" s="39" t="n">
        <f aca="false">IFERROR(FS_Data!F20/FS_Data!F16,0)</f>
        <v>0.82743530263396</v>
      </c>
    </row>
    <row r="8" customFormat="false" ht="15" hidden="false" customHeight="false" outlineLevel="0" collapsed="false">
      <c r="B8" s="37" t="s">
        <v>168</v>
      </c>
      <c r="D8" s="39" t="n">
        <f aca="false">IFERROR(FS_Data!D16/FS_Data!D7,0)</f>
        <v>0.0486787526275152</v>
      </c>
      <c r="E8" s="39" t="n">
        <f aca="false">IFERROR(FS_Data!E16/FS_Data!E7,0)</f>
        <v>0.0553621224245964</v>
      </c>
      <c r="F8" s="39" t="n">
        <f aca="false">IFERROR(FS_Data!F16/FS_Data!F7,0)</f>
        <v>0.062505527321938</v>
      </c>
    </row>
    <row r="9" customFormat="false" ht="15" hidden="false" customHeight="false" outlineLevel="0" collapsed="false">
      <c r="B9" s="37" t="s">
        <v>169</v>
      </c>
      <c r="D9" s="40" t="n">
        <f aca="false">IFERROR(FS_Data!D7/AVERAGE(FS_Data!C32,FS_Data!D32),0)</f>
        <v>2.00670352833359</v>
      </c>
      <c r="E9" s="40" t="n">
        <f aca="false">IFERROR(FS_Data!E7/AVERAGE(FS_Data!D32,FS_Data!E32),0)</f>
        <v>2.04599182048391</v>
      </c>
      <c r="F9" s="40" t="n">
        <f aca="false">IFERROR(FS_Data!F7/AVERAGE(FS_Data!E32,FS_Data!F32),0)</f>
        <v>2.06823564191973</v>
      </c>
    </row>
    <row r="10" customFormat="false" ht="15" hidden="false" customHeight="false" outlineLevel="0" collapsed="false">
      <c r="B10" s="37" t="s">
        <v>170</v>
      </c>
      <c r="D10" s="40" t="n">
        <f aca="false">IFERROR(AVERAGE(FS_Data!C32,FS_Data!D32)/AVERAGE(FS_Data!C44,FS_Data!D44),0)</f>
        <v>2.17501946786938</v>
      </c>
      <c r="E10" s="40" t="n">
        <f aca="false">IFERROR(AVERAGE(FS_Data!D32,FS_Data!E32)/AVERAGE(FS_Data!D44,FS_Data!E44),0)</f>
        <v>2.11403565858961</v>
      </c>
      <c r="F10" s="40" t="n">
        <f aca="false">IFERROR(AVERAGE(FS_Data!E32,FS_Data!F32)/AVERAGE(FS_Data!E44,FS_Data!F44),0)</f>
        <v>2.03180286072339</v>
      </c>
    </row>
    <row r="11" customFormat="false" ht="15" hidden="false" customHeight="false" outlineLevel="0" collapsed="false">
      <c r="B11" s="60" t="s">
        <v>171</v>
      </c>
      <c r="D11" s="66" t="n">
        <f aca="false">PRODUCT(D6:D10)</f>
        <v>0.119502154089847</v>
      </c>
      <c r="E11" s="66" t="n">
        <f aca="false">PRODUCT(E6:E10)</f>
        <v>0.139843183193172</v>
      </c>
      <c r="F11" s="66" t="n">
        <f aca="false">PRODUCT(F6:F10)</f>
        <v>0.161643835616438</v>
      </c>
    </row>
    <row r="12" customFormat="false" ht="15" hidden="false" customHeight="false" outlineLevel="0" collapsed="false">
      <c r="B12" s="37" t="s">
        <v>172</v>
      </c>
      <c r="D12" s="54" t="n">
        <f aca="false">Ratios!D12</f>
        <v>0.119502154089847</v>
      </c>
      <c r="E12" s="54" t="n">
        <f aca="false">Ratios!E12</f>
        <v>0.139843183193172</v>
      </c>
      <c r="F12" s="54" t="n">
        <f aca="false">Ratios!F12</f>
        <v>0.161643835616438</v>
      </c>
    </row>
    <row r="13" customFormat="false" ht="15" hidden="false" customHeight="false" outlineLevel="0" collapsed="false">
      <c r="B13" s="37" t="s">
        <v>173</v>
      </c>
      <c r="D13" s="67" t="n">
        <f aca="false">ROUND(D11-D12,6)</f>
        <v>0</v>
      </c>
      <c r="E13" s="67" t="n">
        <f aca="false">ROUND(E11-E12,6)</f>
        <v>0</v>
      </c>
      <c r="F13" s="67" t="n">
        <f aca="false">ROUND(F11-F12,6)</f>
        <v>0</v>
      </c>
    </row>
    <row r="15" customFormat="false" ht="15" hidden="false" customHeight="false" outlineLevel="0" collapsed="false">
      <c r="B15" s="12" t="s">
        <v>174</v>
      </c>
      <c r="C15" s="13"/>
      <c r="D15" s="13"/>
      <c r="E15" s="13"/>
      <c r="F15" s="13"/>
      <c r="G15" s="13"/>
      <c r="H15" s="13"/>
    </row>
    <row r="16" customFormat="false" ht="15" hidden="false" customHeight="false" outlineLevel="0" collapsed="false">
      <c r="B16" s="8" t="s">
        <v>175</v>
      </c>
      <c r="D16" s="68" t="n">
        <v>2024</v>
      </c>
    </row>
    <row r="17" customFormat="false" ht="15" hidden="false" customHeight="false" outlineLevel="0" collapsed="false">
      <c r="B17" s="8" t="s">
        <v>176</v>
      </c>
      <c r="D17" s="68" t="n">
        <v>2025</v>
      </c>
    </row>
    <row r="19" customFormat="false" ht="33.75" hidden="false" customHeight="true" outlineLevel="0" collapsed="false">
      <c r="B19" s="34" t="s">
        <v>165</v>
      </c>
      <c r="C19" s="35"/>
      <c r="D19" s="35" t="s">
        <v>177</v>
      </c>
      <c r="E19" s="35" t="s">
        <v>178</v>
      </c>
      <c r="F19" s="35" t="s">
        <v>179</v>
      </c>
    </row>
    <row r="20" customFormat="false" ht="15" hidden="false" customHeight="false" outlineLevel="0" collapsed="false">
      <c r="B20" s="37" t="s">
        <v>180</v>
      </c>
      <c r="D20" s="39" t="n">
        <f aca="false">INDEX($D6:$F6,MATCH(Dp_From,FY_List,0))</f>
        <v>0.742468838780681</v>
      </c>
      <c r="E20" s="39" t="n">
        <f aca="false">INDEX($D6:$F6,MATCH(Dp_To,FY_List,0))</f>
        <v>0.74374676899829</v>
      </c>
      <c r="F20" s="69" t="n">
        <f aca="false">IFERROR(LN(E20/D20)/LN($E$25/$D$25)*($E$25-$D$25),0)</f>
        <v>0.00025878278333759</v>
      </c>
    </row>
    <row r="21" customFormat="false" ht="15" hidden="false" customHeight="false" outlineLevel="0" collapsed="false">
      <c r="B21" s="37" t="s">
        <v>181</v>
      </c>
      <c r="D21" s="39" t="n">
        <f aca="false">INDEX($D7:$F7,MATCH(Dp_From,FY_List,0))</f>
        <v>0.786564129406317</v>
      </c>
      <c r="E21" s="39" t="n">
        <f aca="false">INDEX($D7:$F7,MATCH(Dp_To,FY_List,0))</f>
        <v>0.82743530263396</v>
      </c>
      <c r="F21" s="69" t="n">
        <f aca="false">IFERROR(LN(E21/D21)/LN($E$25/$D$25)*($E$25-$D$25),0)</f>
        <v>0.00762283525987557</v>
      </c>
    </row>
    <row r="22" customFormat="false" ht="15" hidden="false" customHeight="false" outlineLevel="0" collapsed="false">
      <c r="B22" s="37" t="s">
        <v>182</v>
      </c>
      <c r="D22" s="39" t="n">
        <f aca="false">INDEX($D8:$F8,MATCH(Dp_From,FY_List,0))</f>
        <v>0.0553621224245964</v>
      </c>
      <c r="E22" s="39" t="n">
        <f aca="false">INDEX($D8:$F8,MATCH(Dp_To,FY_List,0))</f>
        <v>0.062505527321938</v>
      </c>
      <c r="F22" s="69" t="n">
        <f aca="false">IFERROR(LN(E22/D22)/LN($E$25/$D$25)*($E$25-$D$25),0)</f>
        <v>0.0182622029185704</v>
      </c>
    </row>
    <row r="23" customFormat="false" ht="15" hidden="false" customHeight="false" outlineLevel="0" collapsed="false">
      <c r="B23" s="37" t="s">
        <v>183</v>
      </c>
      <c r="D23" s="40" t="n">
        <f aca="false">INDEX($D9:$F9,MATCH(Dp_From,FY_List,0))</f>
        <v>2.04599182048391</v>
      </c>
      <c r="E23" s="40" t="n">
        <f aca="false">INDEX($D9:$F9,MATCH(Dp_To,FY_List,0))</f>
        <v>2.06823564191973</v>
      </c>
      <c r="F23" s="69" t="n">
        <f aca="false">IFERROR(LN(E23/D23)/LN($E$25/$D$25)*($E$25-$D$25),0)</f>
        <v>0.00162717882460198</v>
      </c>
    </row>
    <row r="24" customFormat="false" ht="15" hidden="false" customHeight="false" outlineLevel="0" collapsed="false">
      <c r="B24" s="37" t="s">
        <v>184</v>
      </c>
      <c r="D24" s="40" t="n">
        <f aca="false">INDEX($D10:$F10,MATCH(Dp_From,FY_List,0))</f>
        <v>2.11403565858961</v>
      </c>
      <c r="E24" s="40" t="n">
        <f aca="false">INDEX($D10:$F10,MATCH(Dp_To,FY_List,0))</f>
        <v>2.03180286072339</v>
      </c>
      <c r="F24" s="69" t="n">
        <f aca="false">IFERROR(LN(E24/D24)/LN($E$25/$D$25)*($E$25-$D$25),0)</f>
        <v>-0.00597034736311919</v>
      </c>
    </row>
    <row r="25" customFormat="false" ht="15" hidden="false" customHeight="false" outlineLevel="0" collapsed="false">
      <c r="B25" s="60" t="s">
        <v>185</v>
      </c>
      <c r="D25" s="66" t="n">
        <f aca="false">INDEX($D$11:$F$11,MATCH(Dp_From,FY_List,0))</f>
        <v>0.139843183193172</v>
      </c>
      <c r="E25" s="66" t="n">
        <f aca="false">INDEX($D$11:$F$11,MATCH(Dp_To,FY_List,0))</f>
        <v>0.161643835616438</v>
      </c>
      <c r="F25" s="70" t="n">
        <f aca="false">SUM(F20:F24)</f>
        <v>0.0218006524232663</v>
      </c>
    </row>
    <row r="26" customFormat="false" ht="15" hidden="false" customHeight="false" outlineLevel="0" collapsed="false">
      <c r="B26" s="37" t="s">
        <v>186</v>
      </c>
      <c r="F26" s="69" t="n">
        <f aca="false">E25-D25</f>
        <v>0.0218006524232663</v>
      </c>
    </row>
    <row r="27" customFormat="false" ht="15" hidden="false" customHeight="false" outlineLevel="0" collapsed="false">
      <c r="B27" s="37" t="s">
        <v>187</v>
      </c>
      <c r="F27" s="67" t="n">
        <f aca="false">ROUND(F25-F26,8)</f>
        <v>0</v>
      </c>
    </row>
    <row r="29" customFormat="false" ht="15" hidden="false" customHeight="false" outlineLevel="0" collapsed="false">
      <c r="B29" s="71" t="str">
        <f aca="false">"Return on equity moved from "&amp;TEXT(D25,"0.0%")&amp;" to "&amp;TEXT(E25,"0.0%")&amp;"; the largest driver was "&amp;INDEX(B20:B24,MATCH(MAX(F20:F24),F20:F24,0))&amp;" ("&amp;TEXT(MAX(F20:F24),"+0.0%;-0.0%")&amp;" pts) and the largest drag was "&amp;INDEX(B20:B24,MATCH(MIN(F20:F24),F20:F24,0))&amp;" ("&amp;TEXT(MIN(F20:F24),"+0.0%;-0.0%")&amp;" pts)."</f>
        <v>Return on equity moved from 14.0% to 16.2%; the largest driver was EBIT margin (+1.8% pts) and the largest drag was Equity multiplier (-0.6% pts).</v>
      </c>
    </row>
  </sheetData>
  <conditionalFormatting sqref="F20:F24">
    <cfRule type="cellIs" priority="2" operator="lessThan" aboveAverage="0" equalAverage="0" bottom="0" percent="0" rank="0" text="" dxfId="6">
      <formula>0</formula>
    </cfRule>
  </conditionalFormatting>
  <dataValidations count="1">
    <dataValidation allowBlank="false" error="Pick a value from the list." errorStyle="stop" errorTitle="Invalid selection" operator="between" showDropDown="false" showErrorMessage="true" showInputMessage="false" sqref="D16:D17" type="list">
      <formula1>FY_List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C9BB0"/>
    <pageSetUpPr fitToPage="true"/>
  </sheetPr>
  <dimension ref="B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6" min="4" style="0" width="13"/>
    <col collapsed="false" customWidth="true" hidden="false" outlineLevel="0" max="7" min="7" style="0" width="3"/>
    <col collapsed="false" customWidth="true" hidden="false" outlineLevel="0" max="8" min="8" style="0" width="56"/>
  </cols>
  <sheetData>
    <row r="1" customFormat="false" ht="24" hidden="false" customHeight="true" outlineLevel="0" collapsed="false">
      <c r="B1" s="17" t="s">
        <v>188</v>
      </c>
    </row>
    <row r="2" customFormat="false" ht="15" hidden="false" customHeight="false" outlineLevel="0" collapsed="false">
      <c r="B2" s="18" t="s">
        <v>27</v>
      </c>
    </row>
    <row r="3" customFormat="false" ht="15" hidden="false" customHeight="false" outlineLevel="0" collapsed="false">
      <c r="B3" s="19" t="str">
        <f aca="false">HYPERLINK("#Cover!A1","◄ Back to Cover")</f>
        <v>◄ Back to Cover</v>
      </c>
    </row>
    <row r="5" customFormat="false" ht="30" hidden="false" customHeight="true" outlineLevel="0" collapsed="false">
      <c r="B5" s="34" t="s">
        <v>189</v>
      </c>
      <c r="C5" s="35" t="s">
        <v>190</v>
      </c>
      <c r="D5" s="36" t="n">
        <f aca="false">FS_Data!D$5</f>
        <v>2023</v>
      </c>
      <c r="E5" s="36" t="n">
        <f aca="false">FS_Data!E$5</f>
        <v>2024</v>
      </c>
      <c r="F5" s="36" t="n">
        <f aca="false">FS_Data!F$5</f>
        <v>2025</v>
      </c>
    </row>
    <row r="6" customFormat="false" ht="15" hidden="false" customHeight="false" outlineLevel="0" collapsed="false">
      <c r="B6" s="37" t="s">
        <v>191</v>
      </c>
      <c r="C6" s="72" t="n">
        <v>6.56</v>
      </c>
      <c r="D6" s="73" t="n">
        <f aca="false">IFERROR((FS_Data!D29-FS_Data!D38)/FS_Data!D32,0)</f>
        <v>0.199072680195098</v>
      </c>
      <c r="E6" s="73" t="n">
        <f aca="false">IFERROR((FS_Data!E29-FS_Data!E38)/FS_Data!E32,0)</f>
        <v>0.244768280168177</v>
      </c>
      <c r="F6" s="73" t="n">
        <f aca="false">IFERROR((FS_Data!F29-FS_Data!F38)/FS_Data!F32,0)</f>
        <v>0.245363819715131</v>
      </c>
    </row>
    <row r="7" customFormat="false" ht="15" hidden="false" customHeight="false" outlineLevel="0" collapsed="false">
      <c r="B7" s="37" t="s">
        <v>192</v>
      </c>
      <c r="C7" s="72" t="n">
        <v>3.26</v>
      </c>
      <c r="D7" s="73" t="n">
        <f aca="false">IFERROR(FS_Data!D43/FS_Data!D32,0)</f>
        <v>0.1410513638827</v>
      </c>
      <c r="E7" s="73" t="n">
        <f aca="false">IFERROR(FS_Data!E43/FS_Data!E32,0)</f>
        <v>0.173888381316926</v>
      </c>
      <c r="F7" s="73" t="n">
        <f aca="false">IFERROR(FS_Data!F43/FS_Data!F32,0)</f>
        <v>0.222590994116602</v>
      </c>
    </row>
    <row r="8" customFormat="false" ht="15" hidden="false" customHeight="false" outlineLevel="0" collapsed="false">
      <c r="B8" s="37" t="s">
        <v>193</v>
      </c>
      <c r="C8" s="72" t="n">
        <v>6.72</v>
      </c>
      <c r="D8" s="73" t="n">
        <f aca="false">IFERROR(FS_Data!D16/FS_Data!D32,0)</f>
        <v>0.0962750647317396</v>
      </c>
      <c r="E8" s="73" t="n">
        <f aca="false">IFERROR(FS_Data!E16/FS_Data!E32,0)</f>
        <v>0.107541990153585</v>
      </c>
      <c r="F8" s="73" t="n">
        <f aca="false">IFERROR(FS_Data!F16/FS_Data!F32,0)</f>
        <v>0.127037505355669</v>
      </c>
    </row>
    <row r="9" customFormat="false" ht="15" hidden="false" customHeight="false" outlineLevel="0" collapsed="false">
      <c r="B9" s="37" t="s">
        <v>194</v>
      </c>
      <c r="C9" s="72" t="n">
        <v>1.05</v>
      </c>
      <c r="D9" s="73" t="n">
        <f aca="false">IFERROR(FS_Data!D44/FS_Data!D40,0)</f>
        <v>0.899123569396288</v>
      </c>
      <c r="E9" s="73" t="n">
        <f aca="false">IFERROR(FS_Data!E44/FS_Data!E40,0)</f>
        <v>0.896303412487273</v>
      </c>
      <c r="F9" s="73" t="n">
        <f aca="false">IFERROR(FS_Data!F44/FS_Data!F40,0)</f>
        <v>1.04504558413082</v>
      </c>
    </row>
    <row r="10" customFormat="false" ht="15" hidden="false" customHeight="false" outlineLevel="0" collapsed="false">
      <c r="B10" s="37" t="s">
        <v>195</v>
      </c>
      <c r="C10" s="72" t="n">
        <v>3.25</v>
      </c>
    </row>
    <row r="11" customFormat="false" ht="19.4" hidden="false" customHeight="false" outlineLevel="0" collapsed="false">
      <c r="B11" s="60" t="s">
        <v>196</v>
      </c>
      <c r="D11" s="74" t="n">
        <f aca="false">$C$10+SUMPRODUCT($C$6:$C$9,D6:D9)</f>
        <v>6.60679241120084</v>
      </c>
      <c r="E11" s="74" t="n">
        <f aca="false">$C$10+SUMPRODUCT($C$6:$C$9,E6:E9)</f>
        <v>7.08635679794015</v>
      </c>
      <c r="F11" s="74" t="n">
        <f aca="false">$C$10+SUMPRODUCT($C$6:$C$9,F6:F9)</f>
        <v>7.53622319747884</v>
      </c>
      <c r="H11" s="75" t="s">
        <v>197</v>
      </c>
    </row>
    <row r="12" customFormat="false" ht="15" hidden="false" customHeight="false" outlineLevel="0" collapsed="false">
      <c r="B12" s="8" t="s">
        <v>198</v>
      </c>
      <c r="D12" s="64" t="str">
        <f aca="false">IF(D11&gt;$C$13,"Safe",IF(D11&gt;=$D$13,"Grey","Distress"))</f>
        <v>Safe</v>
      </c>
      <c r="E12" s="64" t="str">
        <f aca="false">IF(E11&gt;$C$13,"Safe",IF(E11&gt;=$D$13,"Grey","Distress"))</f>
        <v>Safe</v>
      </c>
      <c r="F12" s="64" t="str">
        <f aca="false">IF(F11&gt;$C$13,"Safe",IF(F11&gt;=$D$13,"Grey","Distress"))</f>
        <v>Safe</v>
      </c>
    </row>
    <row r="13" customFormat="false" ht="15" hidden="false" customHeight="false" outlineLevel="0" collapsed="false">
      <c r="B13" s="37" t="s">
        <v>199</v>
      </c>
      <c r="C13" s="72" t="n">
        <v>5.85</v>
      </c>
      <c r="D13" s="72" t="n">
        <v>4.15</v>
      </c>
    </row>
    <row r="16" customFormat="false" ht="30" hidden="false" customHeight="true" outlineLevel="0" collapsed="false">
      <c r="B16" s="34" t="s">
        <v>200</v>
      </c>
      <c r="C16" s="35" t="s">
        <v>201</v>
      </c>
      <c r="D16" s="36" t="n">
        <f aca="false">FS_Data!D$5</f>
        <v>2023</v>
      </c>
      <c r="E16" s="36" t="n">
        <f aca="false">FS_Data!E$5</f>
        <v>2024</v>
      </c>
      <c r="F16" s="36" t="n">
        <f aca="false">FS_Data!F$5</f>
        <v>2025</v>
      </c>
      <c r="G16" s="35"/>
      <c r="H16" s="35" t="s">
        <v>202</v>
      </c>
    </row>
    <row r="17" customFormat="false" ht="15" hidden="false" customHeight="false" outlineLevel="0" collapsed="false">
      <c r="B17" s="37" t="s">
        <v>203</v>
      </c>
      <c r="C17" s="76" t="n">
        <v>1.2</v>
      </c>
      <c r="D17" s="57" t="n">
        <f aca="false">Ratios!D15</f>
        <v>1.57550099572465</v>
      </c>
      <c r="E17" s="57" t="n">
        <f aca="false">Ratios!E15</f>
        <v>1.76093716347189</v>
      </c>
      <c r="F17" s="57" t="n">
        <f aca="false">Ratios!F15</f>
        <v>1.75515074326367</v>
      </c>
      <c r="H17" s="77" t="s">
        <v>204</v>
      </c>
    </row>
    <row r="18" customFormat="false" ht="15" hidden="false" customHeight="false" outlineLevel="0" collapsed="false">
      <c r="B18" s="37" t="s">
        <v>205</v>
      </c>
      <c r="C18" s="76" t="n">
        <v>1.5</v>
      </c>
      <c r="D18" s="57" t="n">
        <f aca="false">Ratios!D21</f>
        <v>0.69189717187031</v>
      </c>
      <c r="E18" s="57" t="n">
        <f aca="false">Ratios!E21</f>
        <v>0.696232101796462</v>
      </c>
      <c r="F18" s="57" t="n">
        <f aca="false">Ratios!F21</f>
        <v>0.543962830569893</v>
      </c>
      <c r="H18" s="77" t="s">
        <v>206</v>
      </c>
    </row>
    <row r="19" customFormat="false" ht="15" hidden="false" customHeight="false" outlineLevel="0" collapsed="false">
      <c r="B19" s="37" t="s">
        <v>207</v>
      </c>
      <c r="C19" s="76" t="n">
        <v>3</v>
      </c>
      <c r="D19" s="57" t="n">
        <f aca="false">Ratios!D25</f>
        <v>3.83562038192112</v>
      </c>
      <c r="E19" s="57" t="n">
        <f aca="false">Ratios!E25</f>
        <v>4.32880174291939</v>
      </c>
      <c r="F19" s="57" t="n">
        <f aca="false">Ratios!F25</f>
        <v>5.1969049247606</v>
      </c>
      <c r="H19" s="77" t="s">
        <v>204</v>
      </c>
    </row>
    <row r="20" customFormat="false" ht="15" hidden="false" customHeight="false" outlineLevel="0" collapsed="false">
      <c r="B20" s="37" t="s">
        <v>208</v>
      </c>
      <c r="C20" s="76" t="n">
        <v>1.25</v>
      </c>
      <c r="D20" s="57" t="n">
        <f aca="false">Ratios!D28</f>
        <v>2.55831586459123</v>
      </c>
      <c r="E20" s="57" t="n">
        <f aca="false">Ratios!E28</f>
        <v>2.81605720122574</v>
      </c>
      <c r="F20" s="57" t="n">
        <f aca="false">Ratios!F28</f>
        <v>3.07311956847468</v>
      </c>
      <c r="H20" s="77" t="s">
        <v>204</v>
      </c>
    </row>
    <row r="22" customFormat="false" ht="30" hidden="false" customHeight="true" outlineLevel="0" collapsed="false">
      <c r="B22" s="34" t="s">
        <v>209</v>
      </c>
      <c r="C22" s="35"/>
      <c r="D22" s="36" t="n">
        <f aca="false">FS_Data!D$5</f>
        <v>2023</v>
      </c>
      <c r="E22" s="36" t="n">
        <f aca="false">FS_Data!E$5</f>
        <v>2024</v>
      </c>
      <c r="F22" s="36" t="n">
        <f aca="false">FS_Data!F$5</f>
        <v>2025</v>
      </c>
      <c r="G22" s="35"/>
      <c r="H22" s="35" t="s">
        <v>210</v>
      </c>
    </row>
    <row r="23" customFormat="false" ht="15" hidden="false" customHeight="false" outlineLevel="0" collapsed="false">
      <c r="B23" s="37" t="s">
        <v>93</v>
      </c>
      <c r="D23" s="39" t="n">
        <f aca="false">IFERROR(IF($H17="Min",(D17-$C17)/$C17,($C17-D17)/$C17),0)</f>
        <v>0.312917496437209</v>
      </c>
      <c r="E23" s="39" t="n">
        <f aca="false">IFERROR(IF($H17="Min",(E17-$C17)/$C17,($C17-E17)/$C17),0)</f>
        <v>0.467447636226578</v>
      </c>
      <c r="F23" s="39" t="n">
        <f aca="false">IFERROR(IF($H17="Min",(F17-$C17)/$C17,($C17-F17)/$C17),0)</f>
        <v>0.462625619386392</v>
      </c>
      <c r="H23" s="8" t="str">
        <f aca="false">IF(F23&gt;=0,"✔ Compliant - headroom "&amp;TEXT(F23,"0%"),"✖ Breach by "&amp;TEXT(-F23,"0%"))</f>
        <v>✔ Compliant - headroom 46%</v>
      </c>
    </row>
    <row r="24" customFormat="false" ht="15" hidden="false" customHeight="false" outlineLevel="0" collapsed="false">
      <c r="B24" s="37" t="s">
        <v>105</v>
      </c>
      <c r="D24" s="39" t="n">
        <f aca="false">IFERROR(IF($H18="Min",(D18-$C18)/$C18,($C18-D18)/$C18),0)</f>
        <v>0.538735218753127</v>
      </c>
      <c r="E24" s="39" t="n">
        <f aca="false">IFERROR(IF($H18="Min",(E18-$C18)/$C18,($C18-E18)/$C18),0)</f>
        <v>0.535845265469025</v>
      </c>
      <c r="F24" s="39" t="n">
        <f aca="false">IFERROR(IF($H18="Min",(F18-$C18)/$C18,($C18-F18)/$C18),0)</f>
        <v>0.637358112953405</v>
      </c>
      <c r="H24" s="8" t="str">
        <f aca="false">IF(F24&gt;=0,"✔ Compliant - headroom "&amp;TEXT(F24,"0%"),"✖ Breach by "&amp;TEXT(-F24,"0%"))</f>
        <v>✔ Compliant - headroom 64%</v>
      </c>
    </row>
    <row r="25" customFormat="false" ht="15" hidden="false" customHeight="false" outlineLevel="0" collapsed="false">
      <c r="B25" s="37" t="s">
        <v>114</v>
      </c>
      <c r="D25" s="39" t="n">
        <f aca="false">IFERROR(IF($H19="Min",(D19-$C19)/$C19,($C19-D19)/$C19),0)</f>
        <v>0.27854012730704</v>
      </c>
      <c r="E25" s="39" t="n">
        <f aca="false">IFERROR(IF($H19="Min",(E19-$C19)/$C19,($C19-E19)/$C19),0)</f>
        <v>0.442933914306463</v>
      </c>
      <c r="F25" s="39" t="n">
        <f aca="false">IFERROR(IF($H19="Min",(F19-$C19)/$C19,($C19-F19)/$C19),0)</f>
        <v>0.732301641586867</v>
      </c>
      <c r="H25" s="8" t="str">
        <f aca="false">IF(F25&gt;=0,"✔ Compliant - headroom "&amp;TEXT(F25,"0%"),"✖ Breach by "&amp;TEXT(-F25,"0%"))</f>
        <v>✔ Compliant - headroom 73%</v>
      </c>
    </row>
    <row r="26" customFormat="false" ht="15" hidden="false" customHeight="false" outlineLevel="0" collapsed="false">
      <c r="B26" s="37" t="s">
        <v>120</v>
      </c>
      <c r="D26" s="39" t="n">
        <f aca="false">IFERROR(IF($H20="Min",(D20-$C20)/$C20,($C20-D20)/$C20),0)</f>
        <v>1.04665269167299</v>
      </c>
      <c r="E26" s="39" t="n">
        <f aca="false">IFERROR(IF($H20="Min",(E20-$C20)/$C20,($C20-E20)/$C20),0)</f>
        <v>1.25284576098059</v>
      </c>
      <c r="F26" s="39" t="n">
        <f aca="false">IFERROR(IF($H20="Min",(F20-$C20)/$C20,($C20-F20)/$C20),0)</f>
        <v>1.45849565477974</v>
      </c>
      <c r="H26" s="8" t="str">
        <f aca="false">IF(F26&gt;=0,"✔ Compliant - headroom "&amp;TEXT(F26,"0%"),"✖ Breach by "&amp;TEXT(-F26,"0%"))</f>
        <v>✔ Compliant - headroom 146%</v>
      </c>
    </row>
    <row r="28" customFormat="false" ht="15" hidden="false" customHeight="false" outlineLevel="0" collapsed="false">
      <c r="B28" s="38" t="s">
        <v>211</v>
      </c>
    </row>
  </sheetData>
  <conditionalFormatting sqref="D12:F12">
    <cfRule type="cellIs" priority="2" operator="equal" aboveAverage="0" equalAverage="0" bottom="0" percent="0" rank="0" text="" dxfId="0">
      <formula>"Safe"</formula>
    </cfRule>
    <cfRule type="cellIs" priority="3" operator="equal" aboveAverage="0" equalAverage="0" bottom="0" percent="0" rank="0" text="" dxfId="7">
      <formula>"Grey"</formula>
    </cfRule>
    <cfRule type="cellIs" priority="4" operator="equal" aboveAverage="0" equalAverage="0" bottom="0" percent="0" rank="0" text="" dxfId="1">
      <formula>"Distress"</formula>
    </cfRule>
  </conditionalFormatting>
  <conditionalFormatting sqref="D23:F26">
    <cfRule type="cellIs" priority="5" operator="lessThan" aboveAverage="0" equalAverage="0" bottom="0" percent="0" rank="0" text="" dxfId="1">
      <formula>0</formula>
    </cfRule>
    <cfRule type="cellIs" priority="6" operator="between" aboveAverage="0" equalAverage="0" bottom="0" percent="0" rank="0" text="" dxfId="8">
      <formula>0</formula>
      <formula>0.15</formula>
    </cfRule>
    <cfRule type="cellIs" priority="7" operator="greaterThan" aboveAverage="0" equalAverage="0" bottom="0" percent="0" rank="0" text="" dxfId="9">
      <formula>0.15</formula>
    </cfRule>
  </conditionalFormatting>
  <conditionalFormatting sqref="H23:H26">
    <cfRule type="expression" priority="8" aboveAverage="0" equalAverage="0" bottom="0" percent="0" rank="0" text="" dxfId="10">
      <formula>LEFT(H23,1)="✖"</formula>
    </cfRule>
  </conditionalFormatting>
  <dataValidations count="1">
    <dataValidation allowBlank="false" error="Pick a value from the list." errorStyle="stop" errorTitle="Invalid selection" operator="between" showDropDown="false" showErrorMessage="true" showInputMessage="false" sqref="H17:H20" type="list">
      <formula1>"Min,Max"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C9BB0"/>
    <pageSetUpPr fitToPage="true"/>
  </sheetPr>
  <dimension ref="B1:G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8"/>
    <col collapsed="false" customWidth="true" hidden="false" outlineLevel="0" max="5" min="3" style="0" width="15"/>
    <col collapsed="false" customWidth="true" hidden="false" outlineLevel="0" max="6" min="6" style="0" width="3"/>
    <col collapsed="false" customWidth="true" hidden="false" outlineLevel="0" max="7" min="7" style="0" width="52"/>
  </cols>
  <sheetData>
    <row r="1" customFormat="false" ht="24" hidden="false" customHeight="true" outlineLevel="0" collapsed="false">
      <c r="B1" s="17" t="s">
        <v>212</v>
      </c>
    </row>
    <row r="2" customFormat="false" ht="15" hidden="false" customHeight="false" outlineLevel="0" collapsed="false">
      <c r="B2" s="18" t="s">
        <v>213</v>
      </c>
    </row>
    <row r="3" customFormat="false" ht="15" hidden="false" customHeight="false" outlineLevel="0" collapsed="false">
      <c r="B3" s="19" t="str">
        <f aca="false">HYPERLINK("#Cover!A1","◄ Back to Cover")</f>
        <v>◄ Back to Cover</v>
      </c>
    </row>
    <row r="5" customFormat="false" ht="15" hidden="false" customHeight="false" outlineLevel="0" collapsed="false">
      <c r="B5" s="8" t="s">
        <v>214</v>
      </c>
      <c r="C5" s="68" t="n">
        <v>2025</v>
      </c>
    </row>
    <row r="7" customFormat="false" ht="15" hidden="false" customHeight="false" outlineLevel="0" collapsed="false">
      <c r="B7" s="12" t="s">
        <v>215</v>
      </c>
      <c r="C7" s="13"/>
      <c r="D7" s="13"/>
      <c r="E7" s="13"/>
    </row>
    <row r="8" customFormat="false" ht="15" hidden="false" customHeight="false" outlineLevel="0" collapsed="false">
      <c r="B8" s="37" t="s">
        <v>216</v>
      </c>
      <c r="C8" s="78" t="n">
        <v>0</v>
      </c>
      <c r="G8" s="38" t="s">
        <v>217</v>
      </c>
    </row>
    <row r="9" customFormat="false" ht="15" hidden="false" customHeight="false" outlineLevel="0" collapsed="false">
      <c r="B9" s="37" t="s">
        <v>218</v>
      </c>
      <c r="C9" s="78" t="n">
        <v>0</v>
      </c>
      <c r="G9" s="38" t="s">
        <v>219</v>
      </c>
    </row>
    <row r="10" customFormat="false" ht="15" hidden="false" customHeight="false" outlineLevel="0" collapsed="false">
      <c r="B10" s="37" t="s">
        <v>220</v>
      </c>
      <c r="C10" s="78" t="n">
        <v>0</v>
      </c>
    </row>
    <row r="11" customFormat="false" ht="15" hidden="false" customHeight="false" outlineLevel="0" collapsed="false">
      <c r="B11" s="37" t="s">
        <v>221</v>
      </c>
      <c r="C11" s="79" t="n">
        <v>0</v>
      </c>
    </row>
    <row r="12" customFormat="false" ht="15" hidden="false" customHeight="false" outlineLevel="0" collapsed="false">
      <c r="B12" s="37" t="s">
        <v>222</v>
      </c>
      <c r="C12" s="79" t="n">
        <v>0</v>
      </c>
    </row>
    <row r="13" customFormat="false" ht="15" hidden="false" customHeight="false" outlineLevel="0" collapsed="false">
      <c r="B13" s="37" t="s">
        <v>223</v>
      </c>
      <c r="C13" s="80" t="n">
        <v>0</v>
      </c>
    </row>
    <row r="15" customFormat="false" ht="24" hidden="false" customHeight="true" outlineLevel="0" collapsed="false">
      <c r="B15" s="34" t="s">
        <v>224</v>
      </c>
      <c r="C15" s="35" t="s">
        <v>225</v>
      </c>
      <c r="D15" s="35" t="s">
        <v>226</v>
      </c>
      <c r="E15" s="35" t="s">
        <v>227</v>
      </c>
    </row>
    <row r="16" customFormat="false" ht="15" hidden="false" customHeight="false" outlineLevel="0" collapsed="false">
      <c r="B16" s="37" t="s">
        <v>228</v>
      </c>
      <c r="C16" s="41" t="n">
        <f aca="false">INDEX(FS_Data!$C$7:$F$7,MATCH(Sens_Year,FS_Data!$C$5:$F$5,0))</f>
        <v>972442</v>
      </c>
      <c r="D16" s="41" t="n">
        <f aca="false">C16*(1+C8)</f>
        <v>972442</v>
      </c>
      <c r="E16" s="41" t="n">
        <f aca="false">D16-C16</f>
        <v>0</v>
      </c>
    </row>
    <row r="17" customFormat="false" ht="15" hidden="false" customHeight="false" outlineLevel="0" collapsed="false">
      <c r="B17" s="37" t="s">
        <v>229</v>
      </c>
      <c r="C17" s="41" t="n">
        <f aca="false">INDEX(FS_Data!$C$9:$F$9,MATCH(Sens_Year,FS_Data!$C$5:$F$5,0))</f>
        <v>249894</v>
      </c>
      <c r="D17" s="41" t="n">
        <f aca="false">D16*(C17/C16+C9)</f>
        <v>249894</v>
      </c>
      <c r="E17" s="41" t="n">
        <f aca="false">D17-C17</f>
        <v>0</v>
      </c>
    </row>
    <row r="18" customFormat="false" ht="15" hidden="false" customHeight="false" outlineLevel="0" collapsed="false">
      <c r="B18" s="37" t="s">
        <v>230</v>
      </c>
      <c r="C18" s="39" t="n">
        <f aca="false">C17/C16</f>
        <v>0.256975737370455</v>
      </c>
      <c r="D18" s="39" t="n">
        <f aca="false">D17/D16</f>
        <v>0.256975737370455</v>
      </c>
      <c r="E18" s="39" t="n">
        <f aca="false">D18-C18</f>
        <v>0</v>
      </c>
    </row>
    <row r="19" customFormat="false" ht="15" hidden="false" customHeight="false" outlineLevel="0" collapsed="false">
      <c r="B19" s="37" t="s">
        <v>231</v>
      </c>
      <c r="C19" s="41" t="n">
        <f aca="false">-(INDEX(FS_Data!$C$10:$F$10,MATCH(Sens_Year,FS_Data!$C$5:$F$5,0))+INDEX(FS_Data!$C$11:$F$11,MATCH(Sens_Year,FS_Data!$C$5:$F$5,0)))</f>
        <v>169904</v>
      </c>
      <c r="D19" s="41" t="n">
        <f aca="false">C19*(1+C10)</f>
        <v>169904</v>
      </c>
      <c r="E19" s="41" t="n">
        <f aca="false">D19-C19</f>
        <v>0</v>
      </c>
    </row>
    <row r="20" customFormat="false" ht="15" hidden="false" customHeight="false" outlineLevel="0" collapsed="false">
      <c r="B20" s="37" t="s">
        <v>232</v>
      </c>
      <c r="C20" s="41" t="n">
        <f aca="false">-INDEX(FS_Data!$C$12:$F$12,MATCH(Sens_Year,FS_Data!$C$5:$F$5,0))</f>
        <v>21257</v>
      </c>
      <c r="D20" s="41" t="n">
        <f aca="false">C20</f>
        <v>21257</v>
      </c>
      <c r="E20" s="41" t="n">
        <f aca="false">D20-C20</f>
        <v>0</v>
      </c>
    </row>
    <row r="21" customFormat="false" ht="15" hidden="false" customHeight="false" outlineLevel="0" collapsed="false">
      <c r="B21" s="81" t="s">
        <v>233</v>
      </c>
      <c r="C21" s="41" t="n">
        <f aca="false">INDEX(FS_Data!$C$16:$F$16,MATCH(Sens_Year,FS_Data!$C$5:$F$5,0))</f>
        <v>60783</v>
      </c>
      <c r="D21" s="41" t="n">
        <f aca="false">D17-D19-D20+INDEX(FS_Data!$C$15:$F$15,MATCH(Sens_Year,FS_Data!$C$5:$F$5,0))+INDEX(FS_Data!$C$14:$F$14,MATCH(Sens_Year,FS_Data!$C$5:$F$5,0))</f>
        <v>60783</v>
      </c>
      <c r="E21" s="41" t="n">
        <f aca="false">D21-C21</f>
        <v>0</v>
      </c>
    </row>
    <row r="22" customFormat="false" ht="15" hidden="false" customHeight="false" outlineLevel="0" collapsed="false">
      <c r="B22" s="37" t="s">
        <v>234</v>
      </c>
      <c r="C22" s="41" t="n">
        <f aca="false">-INDEX(FS_Data!$C$19:$F$19,MATCH(Sens_Year,FS_Data!$C$5:$F$5,0))</f>
        <v>11696</v>
      </c>
      <c r="D22" s="41" t="n">
        <f aca="false">C22+INDEX(FS_Data!$C$46:$F$46,MATCH(Sens_Year,FS_Data!$C$5:$F$5,0))*C13</f>
        <v>11696</v>
      </c>
      <c r="E22" s="41" t="n">
        <f aca="false">D22-C22</f>
        <v>0</v>
      </c>
    </row>
    <row r="23" customFormat="false" ht="15" hidden="false" customHeight="false" outlineLevel="0" collapsed="false">
      <c r="B23" s="37" t="s">
        <v>235</v>
      </c>
      <c r="C23" s="41" t="n">
        <f aca="false">C21-C22+INDEX(FS_Data!$C$18:$F$18,MATCH(Sens_Year,FS_Data!$C$5:$F$5,0))</f>
        <v>50294</v>
      </c>
      <c r="D23" s="41" t="n">
        <f aca="false">D21-D22+INDEX(FS_Data!$C$18:$F$18,MATCH(Sens_Year,FS_Data!$C$5:$F$5,0))</f>
        <v>50294</v>
      </c>
      <c r="E23" s="41" t="n">
        <f aca="false">D23-C23</f>
        <v>0</v>
      </c>
    </row>
    <row r="24" customFormat="false" ht="15" hidden="false" customHeight="false" outlineLevel="0" collapsed="false">
      <c r="B24" s="37" t="s">
        <v>236</v>
      </c>
      <c r="C24" s="41" t="n">
        <f aca="false">-INDEX(FS_Data!$C$21:$F$21,MATCH(Sens_Year,FS_Data!$C$5:$F$5,0))</f>
        <v>12888</v>
      </c>
      <c r="D24" s="41" t="n">
        <f aca="false">IFERROR(D23*C24/C23,0)</f>
        <v>12888</v>
      </c>
      <c r="E24" s="41" t="n">
        <f aca="false">D24-C24</f>
        <v>0</v>
      </c>
    </row>
    <row r="25" customFormat="false" ht="15" hidden="false" customHeight="false" outlineLevel="0" collapsed="false">
      <c r="B25" s="81" t="s">
        <v>237</v>
      </c>
      <c r="C25" s="41" t="n">
        <f aca="false">C23-C24</f>
        <v>37406</v>
      </c>
      <c r="D25" s="41" t="n">
        <f aca="false">D23-D24</f>
        <v>37406</v>
      </c>
      <c r="E25" s="41" t="n">
        <f aca="false">D25-C25</f>
        <v>0</v>
      </c>
    </row>
    <row r="26" customFormat="false" ht="15" hidden="false" customHeight="false" outlineLevel="0" collapsed="false">
      <c r="B26" s="37" t="s">
        <v>238</v>
      </c>
      <c r="C26" s="41" t="n">
        <f aca="false">INDEX(FS_Data!$C$26:$F$26,MATCH(Sens_Year,FS_Data!$C$5:$F$5,0))</f>
        <v>93248</v>
      </c>
      <c r="D26" s="41" t="n">
        <f aca="false">(IFERROR(C26/C16*365,0)+C11)*D16/365</f>
        <v>93248</v>
      </c>
      <c r="E26" s="41" t="n">
        <f aca="false">D26-C26</f>
        <v>0</v>
      </c>
    </row>
    <row r="27" customFormat="false" ht="15" hidden="false" customHeight="false" outlineLevel="0" collapsed="false">
      <c r="B27" s="37" t="s">
        <v>239</v>
      </c>
      <c r="C27" s="41" t="n">
        <f aca="false">INDEX(FS_Data!$C$27:$F$27,MATCH(Sens_Year,FS_Data!$C$5:$F$5,0))</f>
        <v>85122</v>
      </c>
      <c r="D27" s="41" t="n">
        <f aca="false">(IFERROR(C27/(C16-C17)*365,0)+C12)*(D16-D17)/365</f>
        <v>85122</v>
      </c>
      <c r="E27" s="41" t="n">
        <f aca="false">D27-C27</f>
        <v>0</v>
      </c>
    </row>
    <row r="28" customFormat="false" ht="15" hidden="false" customHeight="false" outlineLevel="0" collapsed="false">
      <c r="B28" s="37" t="s">
        <v>240</v>
      </c>
      <c r="C28" s="41" t="n">
        <f aca="false">INDEX(FS_Data!$C$25:$F$25,MATCH(Sens_Year,FS_Data!$C$5:$F$5,0))</f>
        <v>81748</v>
      </c>
      <c r="D28" s="41" t="n">
        <f aca="false">C28+(D25-C25)-(D26-C26)-(D27-C27)</f>
        <v>81748</v>
      </c>
      <c r="E28" s="41" t="n">
        <f aca="false">D28-C28</f>
        <v>0</v>
      </c>
    </row>
    <row r="29" customFormat="false" ht="15" hidden="false" customHeight="false" outlineLevel="0" collapsed="false">
      <c r="B29" s="37" t="s">
        <v>241</v>
      </c>
      <c r="C29" s="41" t="n">
        <f aca="false">INDEX(FS_Data!$C$29:$F$29,MATCH(Sens_Year,FS_Data!$C$5:$F$5,0))</f>
        <v>272861</v>
      </c>
      <c r="D29" s="41" t="n">
        <f aca="false">C29+(D28-C28)+(D26-C26)+(D27-C27)</f>
        <v>272861</v>
      </c>
      <c r="E29" s="41" t="n">
        <f aca="false">D29-C29</f>
        <v>0</v>
      </c>
    </row>
    <row r="30" customFormat="false" ht="15" hidden="false" customHeight="false" outlineLevel="0" collapsed="false">
      <c r="B30" s="37" t="s">
        <v>242</v>
      </c>
      <c r="C30" s="41" t="n">
        <f aca="false">INDEX(FS_Data!$C$38:$F$38,MATCH(Sens_Year,FS_Data!$C$5:$F$5,0))</f>
        <v>155463</v>
      </c>
      <c r="D30" s="41" t="n">
        <f aca="false">C30</f>
        <v>155463</v>
      </c>
      <c r="E30" s="41" t="n">
        <f aca="false">D30-C30</f>
        <v>0</v>
      </c>
    </row>
    <row r="31" customFormat="false" ht="15" hidden="false" customHeight="false" outlineLevel="0" collapsed="false">
      <c r="B31" s="37" t="s">
        <v>243</v>
      </c>
      <c r="C31" s="41" t="n">
        <f aca="false">INDEX(FS_Data!$C$44:$F$44,MATCH(Sens_Year,FS_Data!$C$5:$F$5,0))</f>
        <v>244502</v>
      </c>
      <c r="D31" s="41" t="n">
        <f aca="false">C31+(D25-C25)</f>
        <v>244502</v>
      </c>
      <c r="E31" s="41" t="n">
        <f aca="false">D31-C31</f>
        <v>0</v>
      </c>
    </row>
    <row r="32" customFormat="false" ht="15" hidden="false" customHeight="false" outlineLevel="0" collapsed="false">
      <c r="B32" s="37" t="s">
        <v>244</v>
      </c>
      <c r="C32" s="41" t="n">
        <f aca="false">INDEX(FS_Data!$C$46:$F$46,MATCH(Sens_Year,FS_Data!$C$5:$F$5,0))</f>
        <v>133000</v>
      </c>
      <c r="D32" s="41" t="n">
        <f aca="false">C32</f>
        <v>133000</v>
      </c>
      <c r="E32" s="41" t="n">
        <f aca="false">D32-C32</f>
        <v>0</v>
      </c>
    </row>
    <row r="34" customFormat="false" ht="15" hidden="false" customHeight="false" outlineLevel="0" collapsed="false">
      <c r="B34" s="12" t="s">
        <v>245</v>
      </c>
      <c r="C34" s="13"/>
      <c r="D34" s="13"/>
      <c r="E34" s="13"/>
    </row>
    <row r="35" customFormat="false" ht="15" hidden="false" customHeight="false" outlineLevel="0" collapsed="false">
      <c r="B35" s="37" t="s">
        <v>93</v>
      </c>
      <c r="C35" s="40" t="n">
        <f aca="false">IFERROR(C29/C30,0)</f>
        <v>1.75515074326367</v>
      </c>
      <c r="D35" s="40" t="n">
        <f aca="false">IFERROR(D29/D30,0)</f>
        <v>1.75515074326367</v>
      </c>
      <c r="E35" s="40" t="n">
        <f aca="false">D35-C35</f>
        <v>0</v>
      </c>
    </row>
    <row r="36" customFormat="false" ht="15" hidden="false" customHeight="false" outlineLevel="0" collapsed="false">
      <c r="B36" s="37" t="s">
        <v>84</v>
      </c>
      <c r="C36" s="39" t="n">
        <f aca="false">IFERROR(C25/C16,0)</f>
        <v>0.0384660473323859</v>
      </c>
      <c r="D36" s="39" t="n">
        <f aca="false">IFERROR(D25/D16,0)</f>
        <v>0.0384660473323859</v>
      </c>
      <c r="E36" s="39" t="n">
        <f aca="false">D36-C36</f>
        <v>0</v>
      </c>
    </row>
    <row r="37" customFormat="false" ht="15" hidden="false" customHeight="false" outlineLevel="0" collapsed="false">
      <c r="B37" s="37" t="s">
        <v>246</v>
      </c>
      <c r="C37" s="39" t="n">
        <f aca="false">IFERROR(C25/C31,0)</f>
        <v>0.152988523611259</v>
      </c>
      <c r="D37" s="39" t="n">
        <f aca="false">IFERROR(D25/D31,0)</f>
        <v>0.152988523611259</v>
      </c>
      <c r="E37" s="39" t="n">
        <f aca="false">D37-C37</f>
        <v>0</v>
      </c>
    </row>
    <row r="38" customFormat="false" ht="15" hidden="false" customHeight="false" outlineLevel="0" collapsed="false">
      <c r="B38" s="37" t="s">
        <v>105</v>
      </c>
      <c r="C38" s="40" t="n">
        <f aca="false">IFERROR(C32/C31,0)</f>
        <v>0.543962830569893</v>
      </c>
      <c r="D38" s="40" t="n">
        <f aca="false">IFERROR(D32/D31,0)</f>
        <v>0.543962830569893</v>
      </c>
      <c r="E38" s="40" t="n">
        <f aca="false">D38-C38</f>
        <v>0</v>
      </c>
    </row>
    <row r="39" customFormat="false" ht="15" hidden="false" customHeight="false" outlineLevel="0" collapsed="false">
      <c r="B39" s="37" t="s">
        <v>247</v>
      </c>
      <c r="C39" s="40" t="n">
        <f aca="false">IFERROR(C21/C22,0)</f>
        <v>5.1969049247606</v>
      </c>
      <c r="D39" s="40" t="n">
        <f aca="false">IFERROR(D21/D22,0)</f>
        <v>5.1969049247606</v>
      </c>
      <c r="E39" s="40" t="n">
        <f aca="false">D39-C39</f>
        <v>0</v>
      </c>
    </row>
    <row r="41" customFormat="false" ht="15" hidden="false" customHeight="false" outlineLevel="0" collapsed="false">
      <c r="B41" s="81" t="s">
        <v>248</v>
      </c>
      <c r="D41" s="64" t="str">
        <f aca="false">IF(D35&gt;=Credit_Risk!$C$17,"✔ Pass","✖ Breach")</f>
        <v>✔ Pass</v>
      </c>
    </row>
    <row r="42" customFormat="false" ht="15" hidden="false" customHeight="false" outlineLevel="0" collapsed="false">
      <c r="B42" s="81" t="s">
        <v>249</v>
      </c>
      <c r="D42" s="64" t="str">
        <f aca="false">IF(D38&lt;=Credit_Risk!$C$18,"✔ Pass","✖ Breach")</f>
        <v>✔ Pass</v>
      </c>
    </row>
    <row r="43" customFormat="false" ht="15" hidden="false" customHeight="false" outlineLevel="0" collapsed="false">
      <c r="B43" s="81" t="s">
        <v>250</v>
      </c>
      <c r="D43" s="64" t="str">
        <f aca="false">IF(D39&gt;=Credit_Risk!$C$19,"✔ Pass","✖ Breach")</f>
        <v>✔ Pass</v>
      </c>
    </row>
    <row r="45" customFormat="false" ht="15" hidden="false" customHeight="false" outlineLevel="0" collapsed="false">
      <c r="B45" s="38" t="s">
        <v>251</v>
      </c>
    </row>
  </sheetData>
  <conditionalFormatting sqref="D41:D43">
    <cfRule type="expression" priority="2" aboveAverage="0" equalAverage="0" bottom="0" percent="0" rank="0" text="" dxfId="0">
      <formula>LEFT(D41,1)="✔"</formula>
    </cfRule>
    <cfRule type="expression" priority="3" aboveAverage="0" equalAverage="0" bottom="0" percent="0" rank="0" text="" dxfId="1">
      <formula>LEFT(D41,1)="✖"</formula>
    </cfRule>
  </conditionalFormatting>
  <dataValidations count="1">
    <dataValidation allowBlank="false" error="Pick a value from the list." errorStyle="stop" errorTitle="Invalid selection" operator="between" showDropDown="false" showErrorMessage="true" showInputMessage="false" sqref="C5" type="list">
      <formula1>FY_List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FF"/>
    <pageSetUpPr fitToPage="true"/>
  </sheetPr>
  <dimension ref="B1:G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6"/>
    <col collapsed="false" customWidth="true" hidden="false" outlineLevel="0" max="6" min="3" style="0" width="14"/>
    <col collapsed="false" customWidth="true" hidden="false" outlineLevel="0" max="7" min="7" style="0" width="40"/>
  </cols>
  <sheetData>
    <row r="1" customFormat="false" ht="24" hidden="false" customHeight="true" outlineLevel="0" collapsed="false">
      <c r="B1" s="17" t="s">
        <v>252</v>
      </c>
    </row>
    <row r="2" customFormat="false" ht="15" hidden="false" customHeight="false" outlineLevel="0" collapsed="false">
      <c r="B2" s="18" t="s">
        <v>253</v>
      </c>
    </row>
    <row r="3" customFormat="false" ht="15" hidden="false" customHeight="false" outlineLevel="0" collapsed="false">
      <c r="B3" s="19" t="str">
        <f aca="false">HYPERLINK("#Cover!A1","◄ Back to Cover")</f>
        <v>◄ Back to Cover</v>
      </c>
    </row>
    <row r="5" customFormat="false" ht="15" hidden="false" customHeight="false" outlineLevel="0" collapsed="false">
      <c r="B5" s="48" t="s">
        <v>254</v>
      </c>
      <c r="C5" s="36" t="n">
        <v>2022</v>
      </c>
      <c r="D5" s="36" t="n">
        <f aca="false">C5+1</f>
        <v>2023</v>
      </c>
      <c r="E5" s="36" t="n">
        <f aca="false">D5+1</f>
        <v>2024</v>
      </c>
      <c r="F5" s="36" t="n">
        <f aca="false">E5+1</f>
        <v>2025</v>
      </c>
    </row>
    <row r="6" customFormat="false" ht="15" hidden="false" customHeight="false" outlineLevel="0" collapsed="false">
      <c r="B6" s="12" t="s">
        <v>255</v>
      </c>
      <c r="C6" s="13"/>
      <c r="D6" s="13"/>
      <c r="E6" s="13"/>
      <c r="F6" s="13"/>
      <c r="G6" s="13"/>
    </row>
    <row r="7" customFormat="false" ht="15" hidden="false" customHeight="false" outlineLevel="0" collapsed="false">
      <c r="B7" s="37" t="s">
        <v>228</v>
      </c>
      <c r="D7" s="82" t="n">
        <v>821118</v>
      </c>
      <c r="E7" s="82" t="n">
        <v>897238</v>
      </c>
      <c r="F7" s="82" t="n">
        <v>972442</v>
      </c>
    </row>
    <row r="8" customFormat="false" ht="15" hidden="false" customHeight="false" outlineLevel="0" collapsed="false">
      <c r="B8" s="37" t="s">
        <v>256</v>
      </c>
      <c r="D8" s="82" t="n">
        <v>-613977</v>
      </c>
      <c r="E8" s="82" t="n">
        <v>-668558</v>
      </c>
      <c r="F8" s="82" t="n">
        <v>-722548</v>
      </c>
    </row>
    <row r="9" customFormat="false" ht="15" hidden="false" customHeight="false" outlineLevel="0" collapsed="false">
      <c r="B9" s="83" t="s">
        <v>229</v>
      </c>
      <c r="D9" s="84" t="n">
        <f aca="false">D7+D8</f>
        <v>207141</v>
      </c>
      <c r="E9" s="84" t="n">
        <f aca="false">E7+E8</f>
        <v>228680</v>
      </c>
      <c r="F9" s="84" t="n">
        <f aca="false">F7+F8</f>
        <v>249894</v>
      </c>
    </row>
    <row r="10" customFormat="false" ht="15" hidden="false" customHeight="false" outlineLevel="0" collapsed="false">
      <c r="B10" s="37" t="s">
        <v>257</v>
      </c>
      <c r="D10" s="82" t="n">
        <v>-93216</v>
      </c>
      <c r="E10" s="82" t="n">
        <v>-99930</v>
      </c>
      <c r="F10" s="82" t="n">
        <v>-106077</v>
      </c>
    </row>
    <row r="11" customFormat="false" ht="15" hidden="false" customHeight="false" outlineLevel="0" collapsed="false">
      <c r="B11" s="37" t="s">
        <v>258</v>
      </c>
      <c r="D11" s="82" t="n">
        <v>-58315</v>
      </c>
      <c r="E11" s="82" t="n">
        <v>-61197</v>
      </c>
      <c r="F11" s="82" t="n">
        <v>-63827</v>
      </c>
    </row>
    <row r="12" customFormat="false" ht="15" hidden="false" customHeight="false" outlineLevel="0" collapsed="false">
      <c r="B12" s="37" t="s">
        <v>232</v>
      </c>
      <c r="D12" s="82" t="n">
        <v>-17389</v>
      </c>
      <c r="E12" s="82" t="n">
        <v>-19250</v>
      </c>
      <c r="F12" s="82" t="n">
        <v>-21257</v>
      </c>
    </row>
    <row r="13" customFormat="false" ht="15" hidden="false" customHeight="false" outlineLevel="0" collapsed="false">
      <c r="B13" s="83" t="s">
        <v>259</v>
      </c>
      <c r="D13" s="84" t="n">
        <f aca="false">SUM(D9:D12)</f>
        <v>38221</v>
      </c>
      <c r="E13" s="84" t="n">
        <f aca="false">SUM(E9:E12)</f>
        <v>48303</v>
      </c>
      <c r="F13" s="84" t="n">
        <f aca="false">SUM(F9:F12)</f>
        <v>58733</v>
      </c>
    </row>
    <row r="14" customFormat="false" ht="15" hidden="false" customHeight="false" outlineLevel="0" collapsed="false">
      <c r="B14" s="37" t="s">
        <v>260</v>
      </c>
      <c r="D14" s="82" t="n">
        <v>400</v>
      </c>
      <c r="E14" s="82" t="n">
        <v>-150</v>
      </c>
      <c r="F14" s="82" t="n">
        <v>350</v>
      </c>
    </row>
    <row r="15" customFormat="false" ht="15" hidden="false" customHeight="false" outlineLevel="0" collapsed="false">
      <c r="B15" s="37" t="s">
        <v>261</v>
      </c>
      <c r="D15" s="82" t="n">
        <v>1350</v>
      </c>
      <c r="E15" s="82" t="n">
        <v>1520</v>
      </c>
      <c r="F15" s="82" t="n">
        <v>1700</v>
      </c>
    </row>
    <row r="16" customFormat="false" ht="15" hidden="false" customHeight="false" outlineLevel="0" collapsed="false">
      <c r="B16" s="83" t="s">
        <v>233</v>
      </c>
      <c r="D16" s="84" t="n">
        <f aca="false">SUM(D13:D15)</f>
        <v>39971</v>
      </c>
      <c r="E16" s="84" t="n">
        <f aca="false">SUM(E13:E15)</f>
        <v>49673</v>
      </c>
      <c r="F16" s="84" t="n">
        <f aca="false">SUM(F13:F15)</f>
        <v>60783</v>
      </c>
    </row>
    <row r="17" customFormat="false" ht="15" hidden="false" customHeight="false" outlineLevel="0" collapsed="false">
      <c r="B17" s="83" t="s">
        <v>262</v>
      </c>
      <c r="D17" s="84" t="n">
        <f aca="false">D16-D12</f>
        <v>57360</v>
      </c>
      <c r="E17" s="84" t="n">
        <f aca="false">E16-E12</f>
        <v>68923</v>
      </c>
      <c r="F17" s="84" t="n">
        <f aca="false">F16-F12</f>
        <v>82040</v>
      </c>
    </row>
    <row r="18" customFormat="false" ht="15" hidden="false" customHeight="false" outlineLevel="0" collapsed="false">
      <c r="B18" s="37" t="s">
        <v>263</v>
      </c>
      <c r="D18" s="82" t="n">
        <v>775</v>
      </c>
      <c r="E18" s="82" t="n">
        <v>873</v>
      </c>
      <c r="F18" s="82" t="n">
        <v>1207</v>
      </c>
    </row>
    <row r="19" customFormat="false" ht="15" hidden="false" customHeight="false" outlineLevel="0" collapsed="false">
      <c r="B19" s="37" t="s">
        <v>234</v>
      </c>
      <c r="D19" s="82" t="n">
        <v>-10421</v>
      </c>
      <c r="E19" s="82" t="n">
        <v>-11475</v>
      </c>
      <c r="F19" s="82" t="n">
        <v>-11696</v>
      </c>
    </row>
    <row r="20" customFormat="false" ht="15" hidden="false" customHeight="false" outlineLevel="0" collapsed="false">
      <c r="B20" s="83" t="s">
        <v>264</v>
      </c>
      <c r="D20" s="84" t="n">
        <f aca="false">D16+D18+D19</f>
        <v>30325</v>
      </c>
      <c r="E20" s="84" t="n">
        <f aca="false">E16+E18+E19</f>
        <v>39071</v>
      </c>
      <c r="F20" s="84" t="n">
        <f aca="false">F16+F18+F19</f>
        <v>50294</v>
      </c>
    </row>
    <row r="21" customFormat="false" ht="15" hidden="false" customHeight="false" outlineLevel="0" collapsed="false">
      <c r="B21" s="37" t="s">
        <v>265</v>
      </c>
      <c r="D21" s="82" t="n">
        <v>-7843</v>
      </c>
      <c r="E21" s="82" t="n">
        <v>-10062</v>
      </c>
      <c r="F21" s="82" t="n">
        <v>-12888</v>
      </c>
    </row>
    <row r="22" customFormat="false" ht="15" hidden="false" customHeight="false" outlineLevel="0" collapsed="false">
      <c r="B22" s="60" t="s">
        <v>237</v>
      </c>
      <c r="D22" s="85" t="n">
        <f aca="false">D20+D21</f>
        <v>22482</v>
      </c>
      <c r="E22" s="85" t="n">
        <f aca="false">E20+E21</f>
        <v>29009</v>
      </c>
      <c r="F22" s="85" t="n">
        <f aca="false">F20+F21</f>
        <v>37406</v>
      </c>
    </row>
    <row r="24" customFormat="false" ht="15" hidden="false" customHeight="false" outlineLevel="0" collapsed="false">
      <c r="B24" s="12" t="s">
        <v>266</v>
      </c>
      <c r="C24" s="13"/>
      <c r="D24" s="13"/>
      <c r="E24" s="13"/>
      <c r="F24" s="13"/>
      <c r="G24" s="13"/>
    </row>
    <row r="25" customFormat="false" ht="15" hidden="false" customHeight="false" outlineLevel="0" collapsed="false">
      <c r="B25" s="37" t="s">
        <v>267</v>
      </c>
      <c r="C25" s="82" t="n">
        <v>62000</v>
      </c>
      <c r="D25" s="82" t="n">
        <v>58216</v>
      </c>
      <c r="E25" s="82" t="n">
        <v>80460</v>
      </c>
      <c r="F25" s="82" t="n">
        <v>81748</v>
      </c>
    </row>
    <row r="26" customFormat="false" ht="15" hidden="false" customHeight="false" outlineLevel="0" collapsed="false">
      <c r="B26" s="37" t="s">
        <v>268</v>
      </c>
      <c r="C26" s="82" t="n">
        <v>71000</v>
      </c>
      <c r="D26" s="82" t="n">
        <v>80987</v>
      </c>
      <c r="E26" s="82" t="n">
        <v>88495</v>
      </c>
      <c r="F26" s="82" t="n">
        <v>93248</v>
      </c>
    </row>
    <row r="27" customFormat="false" ht="15" hidden="false" customHeight="false" outlineLevel="0" collapsed="false">
      <c r="B27" s="37" t="s">
        <v>239</v>
      </c>
      <c r="C27" s="82" t="n">
        <v>74500</v>
      </c>
      <c r="D27" s="82" t="n">
        <v>75696</v>
      </c>
      <c r="E27" s="82" t="n">
        <v>80593</v>
      </c>
      <c r="F27" s="82" t="n">
        <v>85122</v>
      </c>
    </row>
    <row r="28" customFormat="false" ht="15" hidden="false" customHeight="false" outlineLevel="0" collapsed="false">
      <c r="B28" s="37" t="s">
        <v>269</v>
      </c>
      <c r="C28" s="82" t="n">
        <v>11200</v>
      </c>
      <c r="D28" s="82" t="n">
        <v>11365</v>
      </c>
      <c r="E28" s="82" t="n">
        <v>12085</v>
      </c>
      <c r="F28" s="82" t="n">
        <v>12743</v>
      </c>
    </row>
    <row r="29" customFormat="false" ht="15" hidden="false" customHeight="false" outlineLevel="0" collapsed="false">
      <c r="B29" s="83" t="s">
        <v>270</v>
      </c>
      <c r="C29" s="84" t="n">
        <f aca="false">SUM(C25:C28)</f>
        <v>218700</v>
      </c>
      <c r="D29" s="84" t="n">
        <f aca="false">SUM(D25:D28)</f>
        <v>226264</v>
      </c>
      <c r="E29" s="84" t="n">
        <f aca="false">SUM(E25:E28)</f>
        <v>261633</v>
      </c>
      <c r="F29" s="84" t="n">
        <f aca="false">SUM(F25:F28)</f>
        <v>272861</v>
      </c>
    </row>
    <row r="30" customFormat="false" ht="15" hidden="false" customHeight="false" outlineLevel="0" collapsed="false">
      <c r="B30" s="37" t="s">
        <v>271</v>
      </c>
      <c r="C30" s="82" t="n">
        <v>174700</v>
      </c>
      <c r="D30" s="82" t="n">
        <v>178711</v>
      </c>
      <c r="E30" s="82" t="n">
        <v>189761</v>
      </c>
      <c r="F30" s="82" t="n">
        <v>194504</v>
      </c>
    </row>
    <row r="31" customFormat="false" ht="15" hidden="false" customHeight="false" outlineLevel="0" collapsed="false">
      <c r="B31" s="37" t="s">
        <v>272</v>
      </c>
      <c r="C31" s="82" t="n">
        <v>9800</v>
      </c>
      <c r="D31" s="82" t="n">
        <v>10200</v>
      </c>
      <c r="E31" s="82" t="n">
        <v>10500</v>
      </c>
      <c r="F31" s="82" t="n">
        <v>11100</v>
      </c>
    </row>
    <row r="32" customFormat="false" ht="15" hidden="false" customHeight="false" outlineLevel="0" collapsed="false">
      <c r="B32" s="60" t="s">
        <v>273</v>
      </c>
      <c r="C32" s="85" t="n">
        <f aca="false">C29+C30+C31</f>
        <v>403200</v>
      </c>
      <c r="D32" s="85" t="n">
        <f aca="false">D29+D30+D31</f>
        <v>415175</v>
      </c>
      <c r="E32" s="85" t="n">
        <f aca="false">E29+E30+E31</f>
        <v>461894</v>
      </c>
      <c r="F32" s="85" t="n">
        <f aca="false">F29+F30+F31</f>
        <v>478465</v>
      </c>
    </row>
    <row r="33" customFormat="false" ht="15" hidden="false" customHeight="false" outlineLevel="0" collapsed="false">
      <c r="B33" s="37" t="s">
        <v>274</v>
      </c>
      <c r="C33" s="82" t="n">
        <v>62300</v>
      </c>
      <c r="D33" s="82" t="n">
        <v>67285</v>
      </c>
      <c r="E33" s="82" t="n">
        <v>75098</v>
      </c>
      <c r="F33" s="82" t="n">
        <v>83143</v>
      </c>
    </row>
    <row r="34" customFormat="false" ht="15" hidden="false" customHeight="false" outlineLevel="0" collapsed="false">
      <c r="B34" s="37" t="s">
        <v>275</v>
      </c>
      <c r="C34" s="82" t="n">
        <v>13400</v>
      </c>
      <c r="D34" s="82" t="n">
        <v>13638</v>
      </c>
      <c r="E34" s="82" t="n">
        <v>14501</v>
      </c>
      <c r="F34" s="82" t="n">
        <v>15291</v>
      </c>
    </row>
    <row r="35" customFormat="false" ht="15" hidden="false" customHeight="false" outlineLevel="0" collapsed="false">
      <c r="B35" s="37" t="s">
        <v>276</v>
      </c>
      <c r="C35" s="82" t="n">
        <v>2800</v>
      </c>
      <c r="D35" s="82" t="n">
        <v>1691</v>
      </c>
      <c r="E35" s="82" t="n">
        <v>1977</v>
      </c>
      <c r="F35" s="82" t="n">
        <v>2529</v>
      </c>
    </row>
    <row r="36" customFormat="false" ht="15" hidden="false" customHeight="false" outlineLevel="0" collapsed="false">
      <c r="B36" s="37" t="s">
        <v>277</v>
      </c>
      <c r="C36" s="82" t="n">
        <v>45000</v>
      </c>
      <c r="D36" s="82" t="n">
        <v>48000</v>
      </c>
      <c r="E36" s="82" t="n">
        <v>42000</v>
      </c>
      <c r="F36" s="82" t="n">
        <v>38000</v>
      </c>
    </row>
    <row r="37" customFormat="false" ht="15" hidden="false" customHeight="false" outlineLevel="0" collapsed="false">
      <c r="B37" s="37" t="s">
        <v>278</v>
      </c>
      <c r="C37" s="82" t="n">
        <v>12000</v>
      </c>
      <c r="D37" s="82" t="n">
        <v>13000</v>
      </c>
      <c r="E37" s="82" t="n">
        <v>15000</v>
      </c>
      <c r="F37" s="82" t="n">
        <v>16500</v>
      </c>
    </row>
    <row r="38" customFormat="false" ht="15" hidden="false" customHeight="false" outlineLevel="0" collapsed="false">
      <c r="B38" s="83" t="s">
        <v>279</v>
      </c>
      <c r="C38" s="84" t="n">
        <f aca="false">SUM(C33:C37)</f>
        <v>135500</v>
      </c>
      <c r="D38" s="84" t="n">
        <f aca="false">SUM(D33:D37)</f>
        <v>143614</v>
      </c>
      <c r="E38" s="84" t="n">
        <f aca="false">SUM(E33:E37)</f>
        <v>148576</v>
      </c>
      <c r="F38" s="84" t="n">
        <f aca="false">SUM(F33:F37)</f>
        <v>155463</v>
      </c>
    </row>
    <row r="39" customFormat="false" ht="15" hidden="false" customHeight="false" outlineLevel="0" collapsed="false">
      <c r="B39" s="37" t="s">
        <v>280</v>
      </c>
      <c r="C39" s="82" t="n">
        <v>88000</v>
      </c>
      <c r="D39" s="82" t="n">
        <v>75000</v>
      </c>
      <c r="E39" s="82" t="n">
        <v>95000</v>
      </c>
      <c r="F39" s="82" t="n">
        <v>78500</v>
      </c>
    </row>
    <row r="40" customFormat="false" ht="15" hidden="false" customHeight="false" outlineLevel="0" collapsed="false">
      <c r="B40" s="83" t="s">
        <v>281</v>
      </c>
      <c r="C40" s="84" t="n">
        <f aca="false">C38+C39</f>
        <v>223500</v>
      </c>
      <c r="D40" s="84" t="n">
        <f aca="false">D38+D39</f>
        <v>218614</v>
      </c>
      <c r="E40" s="84" t="n">
        <f aca="false">E38+E39</f>
        <v>243576</v>
      </c>
      <c r="F40" s="84" t="n">
        <f aca="false">F38+F39</f>
        <v>233963</v>
      </c>
    </row>
    <row r="41" customFormat="false" ht="15" hidden="false" customHeight="false" outlineLevel="0" collapsed="false">
      <c r="B41" s="37" t="s">
        <v>282</v>
      </c>
      <c r="C41" s="82" t="n">
        <v>120000</v>
      </c>
      <c r="D41" s="82" t="n">
        <v>120000</v>
      </c>
      <c r="E41" s="82" t="n">
        <v>120000</v>
      </c>
      <c r="F41" s="82" t="n">
        <v>120000</v>
      </c>
    </row>
    <row r="42" customFormat="false" ht="15" hidden="false" customHeight="false" outlineLevel="0" collapsed="false">
      <c r="B42" s="37" t="s">
        <v>283</v>
      </c>
      <c r="C42" s="82" t="n">
        <v>18000</v>
      </c>
      <c r="D42" s="82" t="n">
        <v>18000</v>
      </c>
      <c r="E42" s="82" t="n">
        <v>18000</v>
      </c>
      <c r="F42" s="82" t="n">
        <v>18000</v>
      </c>
    </row>
    <row r="43" customFormat="false" ht="15" hidden="false" customHeight="false" outlineLevel="0" collapsed="false">
      <c r="B43" s="37" t="s">
        <v>284</v>
      </c>
      <c r="C43" s="82" t="n">
        <v>41700</v>
      </c>
      <c r="D43" s="82" t="n">
        <v>58561</v>
      </c>
      <c r="E43" s="82" t="n">
        <v>80318</v>
      </c>
      <c r="F43" s="82" t="n">
        <v>106502</v>
      </c>
    </row>
    <row r="44" customFormat="false" ht="15" hidden="false" customHeight="false" outlineLevel="0" collapsed="false">
      <c r="B44" s="83" t="s">
        <v>243</v>
      </c>
      <c r="C44" s="84" t="n">
        <f aca="false">SUM(C41:C43)</f>
        <v>179700</v>
      </c>
      <c r="D44" s="84" t="n">
        <f aca="false">SUM(D41:D43)</f>
        <v>196561</v>
      </c>
      <c r="E44" s="84" t="n">
        <f aca="false">SUM(E41:E43)</f>
        <v>218318</v>
      </c>
      <c r="F44" s="84" t="n">
        <f aca="false">SUM(F41:F43)</f>
        <v>244502</v>
      </c>
    </row>
    <row r="45" customFormat="false" ht="15" hidden="false" customHeight="false" outlineLevel="0" collapsed="false">
      <c r="B45" s="60" t="s">
        <v>285</v>
      </c>
      <c r="C45" s="85" t="n">
        <f aca="false">C40+C44</f>
        <v>403200</v>
      </c>
      <c r="D45" s="85" t="n">
        <f aca="false">D40+D44</f>
        <v>415175</v>
      </c>
      <c r="E45" s="85" t="n">
        <f aca="false">E40+E44</f>
        <v>461894</v>
      </c>
      <c r="F45" s="85" t="n">
        <f aca="false">F40+F44</f>
        <v>478465</v>
      </c>
    </row>
    <row r="46" customFormat="false" ht="15" hidden="false" customHeight="false" outlineLevel="0" collapsed="false">
      <c r="B46" s="86" t="s">
        <v>286</v>
      </c>
      <c r="C46" s="41" t="n">
        <f aca="false">C36+C37+C39</f>
        <v>145000</v>
      </c>
      <c r="D46" s="41" t="n">
        <f aca="false">D36+D37+D39</f>
        <v>136000</v>
      </c>
      <c r="E46" s="41" t="n">
        <f aca="false">E36+E37+E39</f>
        <v>152000</v>
      </c>
      <c r="F46" s="41" t="n">
        <f aca="false">F36+F37+F39</f>
        <v>133000</v>
      </c>
    </row>
    <row r="48" customFormat="false" ht="15" hidden="false" customHeight="false" outlineLevel="0" collapsed="false">
      <c r="B48" s="12" t="s">
        <v>287</v>
      </c>
      <c r="C48" s="13"/>
      <c r="D48" s="13"/>
      <c r="E48" s="13"/>
      <c r="F48" s="13"/>
      <c r="G48" s="13"/>
    </row>
    <row r="49" customFormat="false" ht="15" hidden="false" customHeight="false" outlineLevel="0" collapsed="false">
      <c r="B49" s="37" t="s">
        <v>288</v>
      </c>
      <c r="D49" s="82" t="n">
        <v>32237</v>
      </c>
      <c r="E49" s="82" t="n">
        <v>44246</v>
      </c>
      <c r="F49" s="82" t="n">
        <v>57760</v>
      </c>
    </row>
    <row r="50" customFormat="false" ht="15" hidden="false" customHeight="false" outlineLevel="0" collapsed="false">
      <c r="B50" s="37" t="s">
        <v>289</v>
      </c>
      <c r="D50" s="82" t="n">
        <v>-22100</v>
      </c>
      <c r="E50" s="82" t="n">
        <v>-30900</v>
      </c>
      <c r="F50" s="82" t="n">
        <v>-26900</v>
      </c>
    </row>
    <row r="51" customFormat="false" ht="15" hidden="false" customHeight="false" outlineLevel="0" collapsed="false">
      <c r="B51" s="37" t="s">
        <v>290</v>
      </c>
      <c r="D51" s="82" t="n">
        <v>-21400</v>
      </c>
      <c r="E51" s="82" t="n">
        <v>-30750</v>
      </c>
      <c r="F51" s="82" t="n">
        <v>-26250</v>
      </c>
    </row>
    <row r="52" customFormat="false" ht="15" hidden="false" customHeight="false" outlineLevel="0" collapsed="false">
      <c r="B52" s="37" t="s">
        <v>291</v>
      </c>
      <c r="D52" s="82" t="n">
        <v>-12000</v>
      </c>
      <c r="E52" s="82" t="n">
        <v>-13000</v>
      </c>
      <c r="F52" s="82" t="n">
        <v>-15000</v>
      </c>
    </row>
    <row r="53" customFormat="false" ht="15" hidden="false" customHeight="false" outlineLevel="0" collapsed="false">
      <c r="B53" s="37" t="s">
        <v>292</v>
      </c>
      <c r="D53" s="82" t="n">
        <v>-14621</v>
      </c>
      <c r="E53" s="82" t="n">
        <v>8748</v>
      </c>
      <c r="F53" s="82" t="n">
        <v>-30222</v>
      </c>
    </row>
    <row r="54" customFormat="false" ht="15" hidden="false" customHeight="false" outlineLevel="0" collapsed="false">
      <c r="B54" s="83" t="s">
        <v>293</v>
      </c>
      <c r="D54" s="84" t="n">
        <f aca="false">D49+D50</f>
        <v>10137</v>
      </c>
      <c r="E54" s="84" t="n">
        <f aca="false">E49+E50</f>
        <v>13346</v>
      </c>
      <c r="F54" s="84" t="n">
        <f aca="false">F49+F50</f>
        <v>30860</v>
      </c>
    </row>
    <row r="56" customFormat="false" ht="15" hidden="false" customHeight="false" outlineLevel="0" collapsed="false">
      <c r="B56" s="12" t="s">
        <v>294</v>
      </c>
      <c r="C56" s="13"/>
      <c r="D56" s="13"/>
      <c r="E56" s="13"/>
      <c r="F56" s="13"/>
      <c r="G56" s="13"/>
    </row>
    <row r="57" customFormat="false" ht="15" hidden="false" customHeight="false" outlineLevel="0" collapsed="false">
      <c r="B57" s="37" t="s">
        <v>295</v>
      </c>
      <c r="D57" s="82" t="n">
        <v>22482</v>
      </c>
      <c r="E57" s="82" t="n">
        <v>29009</v>
      </c>
      <c r="F57" s="82" t="n">
        <v>37406</v>
      </c>
      <c r="G57" s="38" t="s">
        <v>296</v>
      </c>
    </row>
    <row r="58" customFormat="false" ht="15" hidden="false" customHeight="false" outlineLevel="0" collapsed="false">
      <c r="B58" s="37" t="s">
        <v>297</v>
      </c>
      <c r="C58" s="82" t="n">
        <v>403200</v>
      </c>
      <c r="D58" s="82" t="n">
        <v>415175</v>
      </c>
      <c r="E58" s="82" t="n">
        <v>461894</v>
      </c>
      <c r="F58" s="82" t="n">
        <v>478465</v>
      </c>
      <c r="G58" s="38" t="s">
        <v>298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FF"/>
    <pageSetUpPr fitToPage="true"/>
  </sheetPr>
  <dimension ref="B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5"/>
    <col collapsed="false" customWidth="true" hidden="false" outlineLevel="0" max="5" min="4" style="0" width="10"/>
    <col collapsed="false" customWidth="true" hidden="false" outlineLevel="0" max="8" min="6" style="0" width="16"/>
  </cols>
  <sheetData>
    <row r="1" customFormat="false" ht="24" hidden="false" customHeight="true" outlineLevel="0" collapsed="false">
      <c r="B1" s="17" t="s">
        <v>299</v>
      </c>
    </row>
    <row r="2" customFormat="false" ht="15" hidden="false" customHeight="false" outlineLevel="0" collapsed="false">
      <c r="B2" s="18" t="s">
        <v>300</v>
      </c>
    </row>
    <row r="3" customFormat="false" ht="15" hidden="false" customHeight="false" outlineLevel="0" collapsed="false">
      <c r="B3" s="19" t="str">
        <f aca="false">HYPERLINK("#Cover!A1","◄ Back to Cover")</f>
        <v>◄ Back to Cover</v>
      </c>
    </row>
    <row r="5" customFormat="false" ht="30" hidden="false" customHeight="true" outlineLevel="0" collapsed="false">
      <c r="B5" s="34" t="s">
        <v>72</v>
      </c>
      <c r="C5" s="35" t="s">
        <v>73</v>
      </c>
      <c r="D5" s="35" t="s">
        <v>158</v>
      </c>
      <c r="E5" s="35" t="s">
        <v>156</v>
      </c>
      <c r="F5" s="35" t="s">
        <v>301</v>
      </c>
      <c r="G5" s="35" t="s">
        <v>152</v>
      </c>
      <c r="H5" s="35" t="s">
        <v>302</v>
      </c>
    </row>
    <row r="6" customFormat="false" ht="15" hidden="false" customHeight="false" outlineLevel="0" collapsed="false">
      <c r="B6" s="37" t="s">
        <v>77</v>
      </c>
      <c r="C6" s="87" t="s">
        <v>78</v>
      </c>
      <c r="D6" s="77" t="s">
        <v>303</v>
      </c>
      <c r="E6" s="88" t="n">
        <v>6</v>
      </c>
      <c r="F6" s="89" t="n">
        <v>0.24</v>
      </c>
      <c r="G6" s="89" t="n">
        <v>0.3</v>
      </c>
      <c r="H6" s="89" t="n">
        <v>0.2</v>
      </c>
    </row>
    <row r="7" customFormat="false" ht="15" hidden="false" customHeight="false" outlineLevel="0" collapsed="false">
      <c r="B7" s="37" t="s">
        <v>82</v>
      </c>
      <c r="C7" s="87" t="s">
        <v>78</v>
      </c>
      <c r="D7" s="77" t="s">
        <v>303</v>
      </c>
      <c r="E7" s="88" t="n">
        <v>6</v>
      </c>
      <c r="F7" s="89" t="n">
        <v>0.045</v>
      </c>
      <c r="G7" s="89" t="n">
        <v>0.075</v>
      </c>
      <c r="H7" s="89" t="n">
        <v>0.03</v>
      </c>
    </row>
    <row r="8" customFormat="false" ht="15" hidden="false" customHeight="false" outlineLevel="0" collapsed="false">
      <c r="B8" s="37" t="s">
        <v>84</v>
      </c>
      <c r="C8" s="87" t="s">
        <v>78</v>
      </c>
      <c r="D8" s="77" t="s">
        <v>303</v>
      </c>
      <c r="E8" s="88" t="n">
        <v>6</v>
      </c>
      <c r="F8" s="89" t="n">
        <v>0.03</v>
      </c>
      <c r="G8" s="89" t="n">
        <v>0.05</v>
      </c>
      <c r="H8" s="89" t="n">
        <v>0.02</v>
      </c>
    </row>
    <row r="9" customFormat="false" ht="15" hidden="false" customHeight="false" outlineLevel="0" collapsed="false">
      <c r="B9" s="37" t="s">
        <v>86</v>
      </c>
      <c r="C9" s="87" t="s">
        <v>78</v>
      </c>
      <c r="D9" s="77" t="s">
        <v>303</v>
      </c>
      <c r="E9" s="88" t="n">
        <v>6</v>
      </c>
      <c r="F9" s="89" t="n">
        <v>0.06</v>
      </c>
      <c r="G9" s="89" t="n">
        <v>0.1</v>
      </c>
      <c r="H9" s="89" t="n">
        <v>0.04</v>
      </c>
    </row>
    <row r="10" customFormat="false" ht="15" hidden="false" customHeight="false" outlineLevel="0" collapsed="false">
      <c r="B10" s="37" t="s">
        <v>88</v>
      </c>
      <c r="C10" s="87" t="s">
        <v>78</v>
      </c>
      <c r="D10" s="77" t="s">
        <v>303</v>
      </c>
      <c r="E10" s="88" t="n">
        <v>6</v>
      </c>
      <c r="F10" s="89" t="n">
        <v>0.14</v>
      </c>
      <c r="G10" s="89" t="n">
        <v>0.2</v>
      </c>
      <c r="H10" s="89" t="n">
        <v>0.1</v>
      </c>
    </row>
    <row r="11" customFormat="false" ht="15" hidden="false" customHeight="false" outlineLevel="0" collapsed="false">
      <c r="B11" s="37" t="s">
        <v>93</v>
      </c>
      <c r="C11" s="87" t="s">
        <v>94</v>
      </c>
      <c r="D11" s="77" t="s">
        <v>303</v>
      </c>
      <c r="E11" s="88" t="n">
        <v>8</v>
      </c>
      <c r="F11" s="76" t="n">
        <v>1.5</v>
      </c>
      <c r="G11" s="76" t="n">
        <v>2</v>
      </c>
      <c r="H11" s="76" t="n">
        <v>1.2</v>
      </c>
    </row>
    <row r="12" customFormat="false" ht="15" hidden="false" customHeight="false" outlineLevel="0" collapsed="false">
      <c r="B12" s="37" t="s">
        <v>96</v>
      </c>
      <c r="C12" s="87" t="s">
        <v>94</v>
      </c>
      <c r="D12" s="77" t="s">
        <v>303</v>
      </c>
      <c r="E12" s="88" t="n">
        <v>7</v>
      </c>
      <c r="F12" s="76" t="n">
        <v>0.9</v>
      </c>
      <c r="G12" s="76" t="n">
        <v>1.2</v>
      </c>
      <c r="H12" s="76" t="n">
        <v>0.8</v>
      </c>
    </row>
    <row r="13" customFormat="false" ht="15" hidden="false" customHeight="false" outlineLevel="0" collapsed="false">
      <c r="B13" s="37" t="s">
        <v>102</v>
      </c>
      <c r="C13" s="87" t="s">
        <v>94</v>
      </c>
      <c r="D13" s="77" t="s">
        <v>303</v>
      </c>
      <c r="E13" s="88" t="n">
        <v>5</v>
      </c>
      <c r="F13" s="76" t="n">
        <v>0.35</v>
      </c>
      <c r="G13" s="76" t="n">
        <v>0.5</v>
      </c>
      <c r="H13" s="76" t="n">
        <v>0.25</v>
      </c>
    </row>
    <row r="14" customFormat="false" ht="15" hidden="false" customHeight="false" outlineLevel="0" collapsed="false">
      <c r="B14" s="37" t="s">
        <v>98</v>
      </c>
      <c r="C14" s="87" t="s">
        <v>94</v>
      </c>
      <c r="D14" s="77" t="s">
        <v>303</v>
      </c>
      <c r="E14" s="88" t="n">
        <v>5</v>
      </c>
      <c r="F14" s="76" t="n">
        <v>0.3</v>
      </c>
      <c r="G14" s="76" t="n">
        <v>0.5</v>
      </c>
      <c r="H14" s="76" t="n">
        <v>0.2</v>
      </c>
    </row>
    <row r="15" customFormat="false" ht="15" hidden="false" customHeight="false" outlineLevel="0" collapsed="false">
      <c r="B15" s="37" t="s">
        <v>105</v>
      </c>
      <c r="C15" s="87" t="s">
        <v>106</v>
      </c>
      <c r="D15" s="77" t="s">
        <v>304</v>
      </c>
      <c r="E15" s="88" t="n">
        <v>7</v>
      </c>
      <c r="F15" s="76" t="n">
        <v>1</v>
      </c>
      <c r="G15" s="76" t="n">
        <v>0.5</v>
      </c>
      <c r="H15" s="76" t="n">
        <v>1.5</v>
      </c>
    </row>
    <row r="16" customFormat="false" ht="15" hidden="false" customHeight="false" outlineLevel="0" collapsed="false">
      <c r="B16" s="37" t="s">
        <v>110</v>
      </c>
      <c r="C16" s="87" t="s">
        <v>106</v>
      </c>
      <c r="D16" s="77" t="s">
        <v>304</v>
      </c>
      <c r="E16" s="88" t="n">
        <v>4</v>
      </c>
      <c r="F16" s="89" t="n">
        <v>0.6</v>
      </c>
      <c r="G16" s="89" t="n">
        <v>0.45</v>
      </c>
      <c r="H16" s="89" t="n">
        <v>0.7</v>
      </c>
    </row>
    <row r="17" customFormat="false" ht="15" hidden="false" customHeight="false" outlineLevel="0" collapsed="false">
      <c r="B17" s="37" t="s">
        <v>114</v>
      </c>
      <c r="C17" s="87" t="s">
        <v>106</v>
      </c>
      <c r="D17" s="77" t="s">
        <v>303</v>
      </c>
      <c r="E17" s="88" t="n">
        <v>7</v>
      </c>
      <c r="F17" s="76" t="n">
        <v>4</v>
      </c>
      <c r="G17" s="76" t="n">
        <v>7</v>
      </c>
      <c r="H17" s="76" t="n">
        <v>3</v>
      </c>
    </row>
    <row r="18" customFormat="false" ht="15" hidden="false" customHeight="false" outlineLevel="0" collapsed="false">
      <c r="B18" s="37" t="s">
        <v>120</v>
      </c>
      <c r="C18" s="87" t="s">
        <v>106</v>
      </c>
      <c r="D18" s="77" t="s">
        <v>303</v>
      </c>
      <c r="E18" s="88" t="n">
        <v>7</v>
      </c>
      <c r="F18" s="76" t="n">
        <v>1.5</v>
      </c>
      <c r="G18" s="76" t="n">
        <v>3.5</v>
      </c>
      <c r="H18" s="76" t="n">
        <v>1.25</v>
      </c>
    </row>
    <row r="19" customFormat="false" ht="15" hidden="false" customHeight="false" outlineLevel="0" collapsed="false">
      <c r="B19" s="37" t="s">
        <v>126</v>
      </c>
      <c r="C19" s="87" t="s">
        <v>124</v>
      </c>
      <c r="D19" s="77" t="s">
        <v>304</v>
      </c>
      <c r="E19" s="88" t="n">
        <v>5</v>
      </c>
      <c r="F19" s="90" t="n">
        <v>40</v>
      </c>
      <c r="G19" s="90" t="n">
        <v>30</v>
      </c>
      <c r="H19" s="90" t="n">
        <v>50</v>
      </c>
    </row>
    <row r="20" customFormat="false" ht="15" hidden="false" customHeight="false" outlineLevel="0" collapsed="false">
      <c r="B20" s="37" t="s">
        <v>130</v>
      </c>
      <c r="C20" s="87" t="s">
        <v>124</v>
      </c>
      <c r="D20" s="77" t="s">
        <v>304</v>
      </c>
      <c r="E20" s="88" t="n">
        <v>5</v>
      </c>
      <c r="F20" s="90" t="n">
        <v>45</v>
      </c>
      <c r="G20" s="90" t="n">
        <v>35</v>
      </c>
      <c r="H20" s="90" t="n">
        <v>55</v>
      </c>
    </row>
    <row r="21" customFormat="false" ht="15" hidden="false" customHeight="false" outlineLevel="0" collapsed="false">
      <c r="B21" s="37" t="s">
        <v>136</v>
      </c>
      <c r="C21" s="87" t="s">
        <v>124</v>
      </c>
      <c r="D21" s="77" t="s">
        <v>304</v>
      </c>
      <c r="E21" s="88" t="n">
        <v>5</v>
      </c>
      <c r="F21" s="90" t="n">
        <v>45</v>
      </c>
      <c r="G21" s="90" t="n">
        <v>25</v>
      </c>
      <c r="H21" s="90" t="n">
        <v>60</v>
      </c>
    </row>
    <row r="22" customFormat="false" ht="15" hidden="false" customHeight="false" outlineLevel="0" collapsed="false">
      <c r="B22" s="37" t="s">
        <v>138</v>
      </c>
      <c r="C22" s="87" t="s">
        <v>124</v>
      </c>
      <c r="D22" s="77" t="s">
        <v>303</v>
      </c>
      <c r="E22" s="88" t="n">
        <v>5</v>
      </c>
      <c r="F22" s="76" t="n">
        <v>2</v>
      </c>
      <c r="G22" s="76" t="n">
        <v>2.4</v>
      </c>
      <c r="H22" s="76" t="n">
        <v>1.6</v>
      </c>
    </row>
    <row r="23" customFormat="false" ht="15" hidden="false" customHeight="false" outlineLevel="0" collapsed="false">
      <c r="B23" s="83" t="s">
        <v>305</v>
      </c>
      <c r="E23" s="91" t="n">
        <f aca="false">SUM(E6:E22)</f>
        <v>100</v>
      </c>
    </row>
  </sheetData>
  <dataValidations count="2">
    <dataValidation allowBlank="false" error="Pick a value from the list." errorStyle="stop" errorTitle="Invalid selection" operator="between" showDropDown="false" showErrorMessage="true" showInputMessage="false" sqref="D6:D22" type="list">
      <formula1>"Higher,Lower"</formula1>
      <formula2>0</formula2>
    </dataValidation>
    <dataValidation allowBlank="false" errorStyle="stop" operator="greaterThanOrEqual" showDropDown="false" showErrorMessage="true" showInputMessage="false" sqref="E6:E22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C9BB0"/>
    <pageSetUpPr fitToPage="true"/>
  </sheetPr>
  <dimension ref="B1:E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6" min="3" style="0" width="13"/>
  </cols>
  <sheetData>
    <row r="1" customFormat="false" ht="24" hidden="false" customHeight="true" outlineLevel="0" collapsed="false">
      <c r="B1" s="17" t="s">
        <v>306</v>
      </c>
    </row>
    <row r="2" customFormat="false" ht="15" hidden="false" customHeight="false" outlineLevel="0" collapsed="false">
      <c r="B2" s="18" t="s">
        <v>307</v>
      </c>
    </row>
    <row r="3" customFormat="false" ht="15" hidden="false" customHeight="false" outlineLevel="0" collapsed="false">
      <c r="B3" s="19" t="str">
        <f aca="false">HYPERLINK("#Cover!A1","◄ Back to Cover")</f>
        <v>◄ Back to Cover</v>
      </c>
    </row>
    <row r="5" customFormat="false" ht="15" hidden="false" customHeight="false" outlineLevel="0" collapsed="false">
      <c r="B5" s="48" t="s">
        <v>308</v>
      </c>
      <c r="C5" s="49" t="str">
        <f aca="false">"FY"&amp;FS_Data!D$5</f>
        <v>FY2023</v>
      </c>
      <c r="D5" s="49" t="str">
        <f aca="false">"FY"&amp;FS_Data!E$5</f>
        <v>FY2024</v>
      </c>
      <c r="E5" s="49" t="str">
        <f aca="false">"FY"&amp;FS_Data!F$5</f>
        <v>FY2025</v>
      </c>
    </row>
    <row r="6" customFormat="false" ht="15" hidden="false" customHeight="false" outlineLevel="0" collapsed="false">
      <c r="B6" s="37" t="s">
        <v>230</v>
      </c>
      <c r="C6" s="54" t="n">
        <f aca="false">Ratios!D7</f>
        <v>0.252267031047913</v>
      </c>
      <c r="D6" s="54" t="n">
        <f aca="false">Ratios!E7</f>
        <v>0.25487105985257</v>
      </c>
      <c r="E6" s="54" t="n">
        <f aca="false">Ratios!F7</f>
        <v>0.256975737370455</v>
      </c>
    </row>
    <row r="7" customFormat="false" ht="15" hidden="false" customHeight="false" outlineLevel="0" collapsed="false">
      <c r="B7" s="37" t="s">
        <v>80</v>
      </c>
      <c r="C7" s="54" t="n">
        <f aca="false">Ratios!D8</f>
        <v>0.0698559768510738</v>
      </c>
      <c r="D7" s="54" t="n">
        <f aca="false">Ratios!E8</f>
        <v>0.0768168534992945</v>
      </c>
      <c r="E7" s="54" t="n">
        <f aca="false">Ratios!F8</f>
        <v>0.0843649287052595</v>
      </c>
    </row>
    <row r="8" customFormat="false" ht="15" hidden="false" customHeight="false" outlineLevel="0" collapsed="false">
      <c r="B8" s="37" t="s">
        <v>309</v>
      </c>
      <c r="C8" s="54" t="n">
        <f aca="false">Ratios!D10</f>
        <v>0.0273797432281353</v>
      </c>
      <c r="D8" s="54" t="n">
        <f aca="false">Ratios!E10</f>
        <v>0.0323314438309568</v>
      </c>
      <c r="E8" s="54" t="n">
        <f aca="false">Ratios!F10</f>
        <v>0.0384660473323859</v>
      </c>
    </row>
    <row r="10" customFormat="false" ht="15" hidden="false" customHeight="false" outlineLevel="0" collapsed="false">
      <c r="B10" s="48" t="s">
        <v>310</v>
      </c>
      <c r="C10" s="49" t="str">
        <f aca="false">"FY"&amp;FS_Data!D$5</f>
        <v>FY2023</v>
      </c>
      <c r="D10" s="49" t="str">
        <f aca="false">"FY"&amp;FS_Data!E$5</f>
        <v>FY2024</v>
      </c>
      <c r="E10" s="49" t="str">
        <f aca="false">"FY"&amp;FS_Data!F$5</f>
        <v>FY2025</v>
      </c>
    </row>
    <row r="11" customFormat="false" ht="15" hidden="false" customHeight="false" outlineLevel="0" collapsed="false">
      <c r="B11" s="37" t="s">
        <v>311</v>
      </c>
      <c r="C11" s="54" t="n">
        <f aca="false">Ratios!D11</f>
        <v>0.0549430273407668</v>
      </c>
      <c r="D11" s="54" t="n">
        <f aca="false">Ratios!E11</f>
        <v>0.0661498696225725</v>
      </c>
      <c r="E11" s="54" t="n">
        <f aca="false">Ratios!F11</f>
        <v>0.079556850096612</v>
      </c>
    </row>
    <row r="12" customFormat="false" ht="15" hidden="false" customHeight="false" outlineLevel="0" collapsed="false">
      <c r="B12" s="37" t="s">
        <v>185</v>
      </c>
      <c r="C12" s="54" t="n">
        <f aca="false">Ratios!D12</f>
        <v>0.119502154089847</v>
      </c>
      <c r="D12" s="54" t="n">
        <f aca="false">Ratios!E12</f>
        <v>0.139843183193172</v>
      </c>
      <c r="E12" s="54" t="n">
        <f aca="false">Ratios!F12</f>
        <v>0.161643835616438</v>
      </c>
    </row>
    <row r="14" customFormat="false" ht="15" hidden="false" customHeight="false" outlineLevel="0" collapsed="false">
      <c r="B14" s="48" t="s">
        <v>94</v>
      </c>
      <c r="C14" s="49" t="str">
        <f aca="false">"FY"&amp;FS_Data!D$5</f>
        <v>FY2023</v>
      </c>
      <c r="D14" s="49" t="str">
        <f aca="false">"FY"&amp;FS_Data!E$5</f>
        <v>FY2024</v>
      </c>
      <c r="E14" s="49" t="str">
        <f aca="false">"FY"&amp;FS_Data!F$5</f>
        <v>FY2025</v>
      </c>
    </row>
    <row r="15" customFormat="false" ht="15" hidden="false" customHeight="false" outlineLevel="0" collapsed="false">
      <c r="B15" s="37" t="s">
        <v>93</v>
      </c>
      <c r="C15" s="57" t="n">
        <f aca="false">Ratios!D15</f>
        <v>1.57550099572465</v>
      </c>
      <c r="D15" s="57" t="n">
        <f aca="false">Ratios!E15</f>
        <v>1.76093716347189</v>
      </c>
      <c r="E15" s="57" t="n">
        <f aca="false">Ratios!F15</f>
        <v>1.75515074326367</v>
      </c>
    </row>
    <row r="16" customFormat="false" ht="15" hidden="false" customHeight="false" outlineLevel="0" collapsed="false">
      <c r="B16" s="37" t="s">
        <v>96</v>
      </c>
      <c r="C16" s="57" t="n">
        <f aca="false">Ratios!D16</f>
        <v>0.969285724233014</v>
      </c>
      <c r="D16" s="57" t="n">
        <f aca="false">Ratios!E16</f>
        <v>1.13716212578075</v>
      </c>
      <c r="E16" s="57" t="n">
        <f aca="false">Ratios!F16</f>
        <v>1.12564404392042</v>
      </c>
    </row>
    <row r="17" customFormat="false" ht="15" hidden="false" customHeight="false" outlineLevel="0" collapsed="false">
      <c r="B17" s="37" t="s">
        <v>98</v>
      </c>
      <c r="C17" s="57" t="n">
        <f aca="false">Ratios!D17</f>
        <v>0.405364379517317</v>
      </c>
      <c r="D17" s="57" t="n">
        <f aca="false">Ratios!E17</f>
        <v>0.541541029506784</v>
      </c>
      <c r="E17" s="57" t="n">
        <f aca="false">Ratios!F17</f>
        <v>0.525835729401851</v>
      </c>
    </row>
    <row r="19" customFormat="false" ht="15" hidden="false" customHeight="false" outlineLevel="0" collapsed="false">
      <c r="B19" s="48" t="s">
        <v>312</v>
      </c>
      <c r="C19" s="49" t="str">
        <f aca="false">"FY"&amp;FS_Data!D$5</f>
        <v>FY2023</v>
      </c>
      <c r="D19" s="49" t="str">
        <f aca="false">"FY"&amp;FS_Data!E$5</f>
        <v>FY2024</v>
      </c>
      <c r="E19" s="49" t="str">
        <f aca="false">"FY"&amp;FS_Data!F$5</f>
        <v>FY2025</v>
      </c>
    </row>
    <row r="20" customFormat="false" ht="15" hidden="false" customHeight="false" outlineLevel="0" collapsed="false">
      <c r="B20" s="37" t="s">
        <v>105</v>
      </c>
      <c r="C20" s="57" t="n">
        <f aca="false">Ratios!D21</f>
        <v>0.69189717187031</v>
      </c>
      <c r="D20" s="57" t="n">
        <f aca="false">Ratios!E21</f>
        <v>0.696232101796462</v>
      </c>
      <c r="E20" s="57" t="n">
        <f aca="false">Ratios!F21</f>
        <v>0.543962830569893</v>
      </c>
    </row>
    <row r="21" customFormat="false" ht="15" hidden="false" customHeight="false" outlineLevel="0" collapsed="false">
      <c r="B21" s="37" t="s">
        <v>118</v>
      </c>
      <c r="C21" s="57" t="n">
        <f aca="false">Ratios!D27</f>
        <v>1.35606694560669</v>
      </c>
      <c r="D21" s="57" t="n">
        <f aca="false">Ratios!E27</f>
        <v>1.03796990844856</v>
      </c>
      <c r="E21" s="57" t="n">
        <f aca="false">Ratios!F27</f>
        <v>0.624719648951731</v>
      </c>
    </row>
    <row r="22" customFormat="false" ht="15" hidden="false" customHeight="false" outlineLevel="0" collapsed="false">
      <c r="B22" s="37" t="s">
        <v>114</v>
      </c>
      <c r="C22" s="57" t="n">
        <f aca="false">Ratios!D25</f>
        <v>3.83562038192112</v>
      </c>
      <c r="D22" s="57" t="n">
        <f aca="false">Ratios!E25</f>
        <v>4.32880174291939</v>
      </c>
      <c r="E22" s="57" t="n">
        <f aca="false">Ratios!F25</f>
        <v>5.1969049247606</v>
      </c>
    </row>
    <row r="24" customFormat="false" ht="15" hidden="false" customHeight="false" outlineLevel="0" collapsed="false">
      <c r="B24" s="48" t="s">
        <v>313</v>
      </c>
      <c r="C24" s="49" t="str">
        <f aca="false">"FY"&amp;FS_Data!D$5</f>
        <v>FY2023</v>
      </c>
      <c r="D24" s="49" t="str">
        <f aca="false">"FY"&amp;FS_Data!E$5</f>
        <v>FY2024</v>
      </c>
      <c r="E24" s="49" t="str">
        <f aca="false">"FY"&amp;FS_Data!F$5</f>
        <v>FY2025</v>
      </c>
    </row>
    <row r="25" customFormat="false" ht="15" hidden="false" customHeight="false" outlineLevel="0" collapsed="false">
      <c r="B25" s="37" t="s">
        <v>314</v>
      </c>
      <c r="C25" s="59" t="n">
        <f aca="false">Ratios!D31</f>
        <v>33.7803184195207</v>
      </c>
      <c r="D25" s="59" t="n">
        <f aca="false">Ratios!E31</f>
        <v>34.4729770696292</v>
      </c>
      <c r="E25" s="59" t="n">
        <f aca="false">Ratios!F31</f>
        <v>34.1080470609044</v>
      </c>
    </row>
    <row r="26" customFormat="false" ht="15" hidden="false" customHeight="false" outlineLevel="0" collapsed="false">
      <c r="B26" s="37" t="s">
        <v>315</v>
      </c>
      <c r="C26" s="59" t="n">
        <f aca="false">Ratios!D33</f>
        <v>44.6446202382174</v>
      </c>
      <c r="D26" s="59" t="n">
        <f aca="false">Ratios!E33</f>
        <v>42.6630785960231</v>
      </c>
      <c r="E26" s="59" t="n">
        <f aca="false">Ratios!F33</f>
        <v>41.8560254820441</v>
      </c>
    </row>
    <row r="27" customFormat="false" ht="15" hidden="false" customHeight="false" outlineLevel="0" collapsed="false">
      <c r="B27" s="37" t="s">
        <v>316</v>
      </c>
      <c r="C27" s="59" t="n">
        <f aca="false">Ratios!D35</f>
        <v>38.5181570319409</v>
      </c>
      <c r="D27" s="59" t="n">
        <f aca="false">Ratios!E35</f>
        <v>38.8670803430667</v>
      </c>
      <c r="E27" s="59" t="n">
        <f aca="false">Ratios!F35</f>
        <v>39.9682547041857</v>
      </c>
    </row>
    <row r="28" customFormat="false" ht="15" hidden="false" customHeight="false" outlineLevel="0" collapsed="false">
      <c r="B28" s="37" t="s">
        <v>317</v>
      </c>
      <c r="C28" s="59" t="n">
        <f aca="false">Ratios!D36</f>
        <v>39.9067816257972</v>
      </c>
      <c r="D28" s="59" t="n">
        <f aca="false">Ratios!E36</f>
        <v>38.2689753225856</v>
      </c>
      <c r="E28" s="59" t="n">
        <f aca="false">Ratios!F36</f>
        <v>35.9958178387628</v>
      </c>
    </row>
    <row r="30" customFormat="false" ht="15" hidden="false" customHeight="false" outlineLevel="0" collapsed="false">
      <c r="B30" s="48" t="s">
        <v>318</v>
      </c>
      <c r="C30" s="49" t="str">
        <f aca="false">"FY"&amp;Dash_Year</f>
        <v>FY2025</v>
      </c>
    </row>
    <row r="31" customFormat="false" ht="15" hidden="false" customHeight="false" outlineLevel="0" collapsed="false">
      <c r="B31" s="37" t="s">
        <v>78</v>
      </c>
      <c r="C31" s="42" t="n">
        <f aca="false">INDEX(Scorecard!$J$29:$L$29,MATCH(Dash_Year,Scorecard!$J$9:$L$9,0))</f>
        <v>80.6998703234901</v>
      </c>
    </row>
    <row r="32" customFormat="false" ht="15" hidden="false" customHeight="false" outlineLevel="0" collapsed="false">
      <c r="B32" s="37" t="s">
        <v>94</v>
      </c>
      <c r="C32" s="42" t="n">
        <f aca="false">INDEX(Scorecard!$J$30:$L$30,MATCH(Dash_Year,Scorecard!$J$9:$L$9,0))</f>
        <v>89.2088535535787</v>
      </c>
    </row>
    <row r="33" customFormat="false" ht="15" hidden="false" customHeight="false" outlineLevel="0" collapsed="false">
      <c r="B33" s="37" t="s">
        <v>106</v>
      </c>
      <c r="C33" s="42" t="n">
        <f aca="false">INDEX(Scorecard!$J$31:$L$31,MATCH(Dash_Year,Scorecard!$J$9:$L$9,0))</f>
        <v>85.8339570841607</v>
      </c>
    </row>
    <row r="34" customFormat="false" ht="15" hidden="false" customHeight="false" outlineLevel="0" collapsed="false">
      <c r="B34" s="37" t="s">
        <v>124</v>
      </c>
      <c r="C34" s="42" t="n">
        <f aca="false">INDEX(Scorecard!$J$32:$L$32,MATCH(Dash_Year,Scorecard!$J$9:$L$9,0))</f>
        <v>81.8011902476126</v>
      </c>
    </row>
    <row r="36" customFormat="false" ht="15" hidden="false" customHeight="false" outlineLevel="0" collapsed="false">
      <c r="B36" s="48" t="s">
        <v>319</v>
      </c>
      <c r="C36" s="49" t="str">
        <f aca="false">"FY"&amp;Dash_Year</f>
        <v>FY2025</v>
      </c>
    </row>
    <row r="37" customFormat="false" ht="15" hidden="false" customHeight="false" outlineLevel="0" collapsed="false">
      <c r="B37" s="37" t="s">
        <v>93</v>
      </c>
      <c r="C37" s="39" t="n">
        <f aca="false">INDEX(Credit_Risk!$D$23:$F$23,MATCH(Dash_Year,Credit_Risk!$D$16:$F$16,0))</f>
        <v>0.462625619386392</v>
      </c>
    </row>
    <row r="38" customFormat="false" ht="15" hidden="false" customHeight="false" outlineLevel="0" collapsed="false">
      <c r="B38" s="37" t="s">
        <v>105</v>
      </c>
      <c r="C38" s="39" t="n">
        <f aca="false">INDEX(Credit_Risk!$D$24:$F$24,MATCH(Dash_Year,Credit_Risk!$D$16:$F$16,0))</f>
        <v>0.637358112953405</v>
      </c>
    </row>
    <row r="39" customFormat="false" ht="15" hidden="false" customHeight="false" outlineLevel="0" collapsed="false">
      <c r="B39" s="37" t="s">
        <v>114</v>
      </c>
      <c r="C39" s="39" t="n">
        <f aca="false">INDEX(Credit_Risk!$D$25:$F$25,MATCH(Dash_Year,Credit_Risk!$D$16:$F$16,0))</f>
        <v>0.732301641586867</v>
      </c>
    </row>
    <row r="40" customFormat="false" ht="15" hidden="false" customHeight="false" outlineLevel="0" collapsed="false">
      <c r="B40" s="37" t="s">
        <v>120</v>
      </c>
      <c r="C40" s="39" t="n">
        <f aca="false">INDEX(Credit_Risk!$D$26:$F$26,MATCH(Dash_Year,Credit_Risk!$D$16:$F$16,0))</f>
        <v>1.45849565477974</v>
      </c>
    </row>
    <row r="42" customFormat="false" ht="15" hidden="false" customHeight="false" outlineLevel="0" collapsed="false">
      <c r="B42" s="48" t="s">
        <v>320</v>
      </c>
      <c r="C42" s="49" t="str">
        <f aca="false">"FY"&amp;Dp_From&amp;" to FY"&amp;Dp_To</f>
        <v>FY2024 to FY2025</v>
      </c>
    </row>
    <row r="43" customFormat="false" ht="15" hidden="false" customHeight="false" outlineLevel="0" collapsed="false">
      <c r="B43" s="50" t="str">
        <f aca="false">DuPont!B20</f>
        <v>Tax burden</v>
      </c>
      <c r="C43" s="92" t="n">
        <f aca="false">DuPont!F20</f>
        <v>0.00025878278333759</v>
      </c>
    </row>
    <row r="44" customFormat="false" ht="15" hidden="false" customHeight="false" outlineLevel="0" collapsed="false">
      <c r="B44" s="50" t="str">
        <f aca="false">DuPont!B21</f>
        <v>Interest burden</v>
      </c>
      <c r="C44" s="92" t="n">
        <f aca="false">DuPont!F21</f>
        <v>0.00762283525987557</v>
      </c>
    </row>
    <row r="45" customFormat="false" ht="15" hidden="false" customHeight="false" outlineLevel="0" collapsed="false">
      <c r="B45" s="50" t="str">
        <f aca="false">DuPont!B22</f>
        <v>EBIT margin</v>
      </c>
      <c r="C45" s="92" t="n">
        <f aca="false">DuPont!F22</f>
        <v>0.0182622029185704</v>
      </c>
    </row>
    <row r="46" customFormat="false" ht="15" hidden="false" customHeight="false" outlineLevel="0" collapsed="false">
      <c r="B46" s="50" t="str">
        <f aca="false">DuPont!B23</f>
        <v>Asset turnover</v>
      </c>
      <c r="C46" s="92" t="n">
        <f aca="false">DuPont!F23</f>
        <v>0.00162717882460198</v>
      </c>
    </row>
    <row r="47" customFormat="false" ht="15" hidden="false" customHeight="false" outlineLevel="0" collapsed="false">
      <c r="B47" s="50" t="str">
        <f aca="false">DuPont!B24</f>
        <v>Equity multiplier</v>
      </c>
      <c r="C47" s="92" t="n">
        <f aca="false">DuPont!F24</f>
        <v>-0.00597034736311919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C9BB0"/>
    <pageSetUpPr fitToPage="tru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"/>
    <col collapsed="false" customWidth="true" hidden="false" outlineLevel="0" max="16" min="3" style="0" width="24"/>
  </cols>
  <sheetData>
    <row r="1" customFormat="false" ht="24" hidden="false" customHeight="true" outlineLevel="0" collapsed="false">
      <c r="B1" s="17" t="s">
        <v>321</v>
      </c>
    </row>
    <row r="2" customFormat="false" ht="15" hidden="false" customHeight="false" outlineLevel="0" collapsed="false">
      <c r="B2" s="18" t="s">
        <v>27</v>
      </c>
    </row>
    <row r="3" customFormat="false" ht="15" hidden="false" customHeight="false" outlineLevel="0" collapsed="false">
      <c r="B3" s="19" t="str">
        <f aca="false">HYPERLINK("#Cover!A1","◄ Back to Cover")</f>
        <v>◄ Back to Cover</v>
      </c>
    </row>
    <row r="4" customFormat="false" ht="15" hidden="false" customHeight="false" outlineLevel="0" collapsed="false">
      <c r="A4" s="48" t="s">
        <v>322</v>
      </c>
      <c r="C4" s="48" t="s">
        <v>323</v>
      </c>
      <c r="E4" s="48" t="s">
        <v>324</v>
      </c>
      <c r="F4" s="48" t="s">
        <v>325</v>
      </c>
      <c r="G4" s="48" t="s">
        <v>162</v>
      </c>
    </row>
    <row r="5" customFormat="false" ht="15" hidden="false" customHeight="false" outlineLevel="0" collapsed="false">
      <c r="A5" s="93" t="n">
        <f aca="false">FS_Data!D$5</f>
        <v>2023</v>
      </c>
      <c r="C5" s="87" t="s">
        <v>301</v>
      </c>
      <c r="E5" s="87" t="n">
        <v>0</v>
      </c>
      <c r="F5" s="87" t="s">
        <v>326</v>
      </c>
      <c r="G5" s="87" t="s">
        <v>327</v>
      </c>
    </row>
    <row r="6" customFormat="false" ht="15" hidden="false" customHeight="false" outlineLevel="0" collapsed="false">
      <c r="A6" s="93" t="n">
        <f aca="false">FS_Data!E$5</f>
        <v>2024</v>
      </c>
      <c r="C6" s="87" t="s">
        <v>152</v>
      </c>
      <c r="E6" s="87" t="n">
        <v>60</v>
      </c>
      <c r="F6" s="87" t="s">
        <v>328</v>
      </c>
      <c r="G6" s="87" t="s">
        <v>329</v>
      </c>
    </row>
    <row r="7" customFormat="false" ht="15" hidden="false" customHeight="false" outlineLevel="0" collapsed="false">
      <c r="A7" s="93" t="n">
        <f aca="false">FS_Data!F$5</f>
        <v>2025</v>
      </c>
      <c r="C7" s="87" t="s">
        <v>302</v>
      </c>
      <c r="E7" s="87" t="n">
        <v>70</v>
      </c>
      <c r="F7" s="87" t="s">
        <v>330</v>
      </c>
      <c r="G7" s="87" t="s">
        <v>331</v>
      </c>
    </row>
    <row r="8" customFormat="false" ht="15" hidden="false" customHeight="false" outlineLevel="0" collapsed="false">
      <c r="E8" s="87" t="n">
        <v>80</v>
      </c>
      <c r="F8" s="87" t="s">
        <v>332</v>
      </c>
      <c r="G8" s="87" t="s">
        <v>333</v>
      </c>
    </row>
    <row r="9" customFormat="false" ht="15" hidden="false" customHeight="false" outlineLevel="0" collapsed="false">
      <c r="E9" s="87" t="n">
        <v>90</v>
      </c>
      <c r="F9" s="87" t="s">
        <v>334</v>
      </c>
      <c r="G9" s="87" t="s">
        <v>335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B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62"/>
  </cols>
  <sheetData>
    <row r="1" customFormat="false" ht="24" hidden="false" customHeight="true" outlineLevel="0" collapsed="false">
      <c r="B1" s="17" t="s">
        <v>336</v>
      </c>
    </row>
    <row r="2" customFormat="false" ht="15" hidden="false" customHeight="false" outlineLevel="0" collapsed="false">
      <c r="B2" s="18" t="s">
        <v>27</v>
      </c>
    </row>
    <row r="3" customFormat="false" ht="15" hidden="false" customHeight="false" outlineLevel="0" collapsed="false">
      <c r="B3" s="19" t="str">
        <f aca="false">HYPERLINK("#Cover!A1","◄ Back to Cover")</f>
        <v>◄ Back to Cover</v>
      </c>
    </row>
    <row r="4" customFormat="false" ht="15" hidden="false" customHeight="false" outlineLevel="0" collapsed="false">
      <c r="B4" s="8" t="s">
        <v>337</v>
      </c>
      <c r="C4" s="9" t="str">
        <f aca="false">IF(COUNTIF(D7:D26,"ERROR")=0,"✔ All "&amp;COUNTA(D7:D26)&amp;" integrity checks passed","✖ "&amp;COUNTIF(D7:D26,"ERROR")&amp;" check(s) failing - review the Checks sheet")</f>
        <v>✔ All 20 integrity checks passed</v>
      </c>
      <c r="D4" s="9"/>
      <c r="E4" s="9"/>
    </row>
    <row r="6" customFormat="false" ht="24" hidden="false" customHeight="true" outlineLevel="0" collapsed="false">
      <c r="B6" s="34" t="s">
        <v>338</v>
      </c>
      <c r="C6" s="35" t="s">
        <v>339</v>
      </c>
      <c r="D6" s="35" t="s">
        <v>340</v>
      </c>
      <c r="E6" s="35" t="s">
        <v>341</v>
      </c>
    </row>
    <row r="7" customFormat="false" ht="15" hidden="false" customHeight="false" outlineLevel="0" collapsed="false">
      <c r="B7" s="37" t="s">
        <v>342</v>
      </c>
      <c r="C7" s="94" t="n">
        <f aca="false">FS_Data!C32-FS_Data!C45</f>
        <v>0</v>
      </c>
      <c r="D7" s="64" t="str">
        <f aca="false">IF(ABS(C7)&lt;0.5,"OK","ERROR")</f>
        <v>OK</v>
      </c>
      <c r="E7" s="38" t="s">
        <v>343</v>
      </c>
    </row>
    <row r="8" customFormat="false" ht="15" hidden="false" customHeight="false" outlineLevel="0" collapsed="false">
      <c r="B8" s="37" t="s">
        <v>344</v>
      </c>
      <c r="C8" s="94" t="n">
        <f aca="false">FS_Data!D32-FS_Data!D45</f>
        <v>0</v>
      </c>
      <c r="D8" s="64" t="str">
        <f aca="false">IF(ABS(C8)&lt;0.5,"OK","ERROR")</f>
        <v>OK</v>
      </c>
      <c r="E8" s="38" t="s">
        <v>343</v>
      </c>
    </row>
    <row r="9" customFormat="false" ht="15" hidden="false" customHeight="false" outlineLevel="0" collapsed="false">
      <c r="B9" s="37" t="s">
        <v>345</v>
      </c>
      <c r="C9" s="94" t="n">
        <f aca="false">FS_Data!E32-FS_Data!E45</f>
        <v>0</v>
      </c>
      <c r="D9" s="64" t="str">
        <f aca="false">IF(ABS(C9)&lt;0.5,"OK","ERROR")</f>
        <v>OK</v>
      </c>
      <c r="E9" s="38" t="s">
        <v>343</v>
      </c>
    </row>
    <row r="10" customFormat="false" ht="15" hidden="false" customHeight="false" outlineLevel="0" collapsed="false">
      <c r="B10" s="37" t="s">
        <v>346</v>
      </c>
      <c r="C10" s="94" t="n">
        <f aca="false">FS_Data!F32-FS_Data!F45</f>
        <v>0</v>
      </c>
      <c r="D10" s="64" t="str">
        <f aca="false">IF(ABS(C10)&lt;0.5,"OK","ERROR")</f>
        <v>OK</v>
      </c>
      <c r="E10" s="38" t="s">
        <v>343</v>
      </c>
    </row>
    <row r="11" customFormat="false" ht="15" hidden="false" customHeight="false" outlineLevel="0" collapsed="false">
      <c r="B11" s="37" t="s">
        <v>347</v>
      </c>
      <c r="C11" s="94" t="n">
        <f aca="false">FS_Data!D22-FS_Data!D57</f>
        <v>0</v>
      </c>
      <c r="D11" s="64" t="str">
        <f aca="false">IF(ABS(C11)&lt;0.5,"OK","ERROR")</f>
        <v>OK</v>
      </c>
      <c r="E11" s="38" t="s">
        <v>348</v>
      </c>
    </row>
    <row r="12" customFormat="false" ht="15" hidden="false" customHeight="false" outlineLevel="0" collapsed="false">
      <c r="B12" s="37" t="s">
        <v>349</v>
      </c>
      <c r="C12" s="94" t="n">
        <f aca="false">FS_Data!E22-FS_Data!E57</f>
        <v>0</v>
      </c>
      <c r="D12" s="64" t="str">
        <f aca="false">IF(ABS(C12)&lt;0.5,"OK","ERROR")</f>
        <v>OK</v>
      </c>
      <c r="E12" s="38" t="s">
        <v>348</v>
      </c>
    </row>
    <row r="13" customFormat="false" ht="15" hidden="false" customHeight="false" outlineLevel="0" collapsed="false">
      <c r="B13" s="37" t="s">
        <v>350</v>
      </c>
      <c r="C13" s="94" t="n">
        <f aca="false">FS_Data!F22-FS_Data!F57</f>
        <v>0</v>
      </c>
      <c r="D13" s="64" t="str">
        <f aca="false">IF(ABS(C13)&lt;0.5,"OK","ERROR")</f>
        <v>OK</v>
      </c>
      <c r="E13" s="38" t="s">
        <v>348</v>
      </c>
    </row>
    <row r="14" customFormat="false" ht="15" hidden="false" customHeight="false" outlineLevel="0" collapsed="false">
      <c r="B14" s="37" t="s">
        <v>351</v>
      </c>
      <c r="C14" s="94" t="n">
        <f aca="false">FS_Data!C32-FS_Data!C58</f>
        <v>0</v>
      </c>
      <c r="D14" s="64" t="str">
        <f aca="false">IF(ABS(C14)&lt;0.5,"OK","ERROR")</f>
        <v>OK</v>
      </c>
      <c r="E14" s="38" t="s">
        <v>352</v>
      </c>
    </row>
    <row r="15" customFormat="false" ht="15" hidden="false" customHeight="false" outlineLevel="0" collapsed="false">
      <c r="B15" s="37" t="s">
        <v>353</v>
      </c>
      <c r="C15" s="94" t="n">
        <f aca="false">FS_Data!D32-FS_Data!D58</f>
        <v>0</v>
      </c>
      <c r="D15" s="64" t="str">
        <f aca="false">IF(ABS(C15)&lt;0.5,"OK","ERROR")</f>
        <v>OK</v>
      </c>
      <c r="E15" s="38" t="s">
        <v>352</v>
      </c>
    </row>
    <row r="16" customFormat="false" ht="15" hidden="false" customHeight="false" outlineLevel="0" collapsed="false">
      <c r="B16" s="37" t="s">
        <v>354</v>
      </c>
      <c r="C16" s="94" t="n">
        <f aca="false">FS_Data!E32-FS_Data!E58</f>
        <v>0</v>
      </c>
      <c r="D16" s="64" t="str">
        <f aca="false">IF(ABS(C16)&lt;0.5,"OK","ERROR")</f>
        <v>OK</v>
      </c>
      <c r="E16" s="38" t="s">
        <v>352</v>
      </c>
    </row>
    <row r="17" customFormat="false" ht="15" hidden="false" customHeight="false" outlineLevel="0" collapsed="false">
      <c r="B17" s="37" t="s">
        <v>355</v>
      </c>
      <c r="C17" s="94" t="n">
        <f aca="false">FS_Data!F32-FS_Data!F58</f>
        <v>0</v>
      </c>
      <c r="D17" s="64" t="str">
        <f aca="false">IF(ABS(C17)&lt;0.5,"OK","ERROR")</f>
        <v>OK</v>
      </c>
      <c r="E17" s="38" t="s">
        <v>352</v>
      </c>
    </row>
    <row r="18" customFormat="false" ht="15" hidden="false" customHeight="false" outlineLevel="0" collapsed="false">
      <c r="B18" s="37" t="s">
        <v>356</v>
      </c>
      <c r="C18" s="94" t="n">
        <f aca="false">FS_Data!D25-FS_Data!C25-FS_Data!D49-FS_Data!D51-FS_Data!D53</f>
        <v>0</v>
      </c>
      <c r="D18" s="64" t="str">
        <f aca="false">IF(ABS(C18)&lt;0.5,"OK","ERROR")</f>
        <v>OK</v>
      </c>
      <c r="E18" s="38" t="s">
        <v>357</v>
      </c>
    </row>
    <row r="19" customFormat="false" ht="15" hidden="false" customHeight="false" outlineLevel="0" collapsed="false">
      <c r="B19" s="37" t="s">
        <v>358</v>
      </c>
      <c r="C19" s="94" t="n">
        <f aca="false">FS_Data!E25-FS_Data!D25-FS_Data!E49-FS_Data!E51-FS_Data!E53</f>
        <v>0</v>
      </c>
      <c r="D19" s="64" t="str">
        <f aca="false">IF(ABS(C19)&lt;0.5,"OK","ERROR")</f>
        <v>OK</v>
      </c>
      <c r="E19" s="38" t="s">
        <v>357</v>
      </c>
    </row>
    <row r="20" customFormat="false" ht="15" hidden="false" customHeight="false" outlineLevel="0" collapsed="false">
      <c r="B20" s="37" t="s">
        <v>359</v>
      </c>
      <c r="C20" s="94" t="n">
        <f aca="false">FS_Data!F25-FS_Data!E25-FS_Data!F49-FS_Data!F51-FS_Data!F53</f>
        <v>0</v>
      </c>
      <c r="D20" s="64" t="str">
        <f aca="false">IF(ABS(C20)&lt;0.5,"OK","ERROR")</f>
        <v>OK</v>
      </c>
      <c r="E20" s="38" t="s">
        <v>357</v>
      </c>
    </row>
    <row r="21" customFormat="false" ht="15" hidden="false" customHeight="false" outlineLevel="0" collapsed="false">
      <c r="B21" s="37" t="s">
        <v>360</v>
      </c>
      <c r="C21" s="95" t="n">
        <f aca="false">DuPont!D13</f>
        <v>0</v>
      </c>
      <c r="D21" s="64" t="str">
        <f aca="false">IF(ABS(C21)&lt;0.5,"OK","ERROR")</f>
        <v>OK</v>
      </c>
      <c r="E21" s="38" t="s">
        <v>361</v>
      </c>
    </row>
    <row r="22" customFormat="false" ht="15" hidden="false" customHeight="false" outlineLevel="0" collapsed="false">
      <c r="B22" s="37" t="s">
        <v>362</v>
      </c>
      <c r="C22" s="95" t="n">
        <f aca="false">DuPont!E13</f>
        <v>0</v>
      </c>
      <c r="D22" s="64" t="str">
        <f aca="false">IF(ABS(C22)&lt;0.5,"OK","ERROR")</f>
        <v>OK</v>
      </c>
      <c r="E22" s="38" t="s">
        <v>361</v>
      </c>
    </row>
    <row r="23" customFormat="false" ht="15" hidden="false" customHeight="false" outlineLevel="0" collapsed="false">
      <c r="B23" s="37" t="s">
        <v>363</v>
      </c>
      <c r="C23" s="95" t="n">
        <f aca="false">DuPont!F13</f>
        <v>0</v>
      </c>
      <c r="D23" s="64" t="str">
        <f aca="false">IF(ABS(C23)&lt;0.5,"OK","ERROR")</f>
        <v>OK</v>
      </c>
      <c r="E23" s="38" t="s">
        <v>361</v>
      </c>
    </row>
    <row r="24" customFormat="false" ht="15" hidden="false" customHeight="false" outlineLevel="0" collapsed="false">
      <c r="B24" s="37" t="s">
        <v>364</v>
      </c>
      <c r="C24" s="95" t="n">
        <f aca="false">DuPont!F27</f>
        <v>0</v>
      </c>
      <c r="D24" s="64" t="str">
        <f aca="false">IF(ABS(C24)&lt;0.5,"OK","ERROR")</f>
        <v>OK</v>
      </c>
      <c r="E24" s="38" t="s">
        <v>365</v>
      </c>
    </row>
    <row r="25" customFormat="false" ht="15" hidden="false" customHeight="false" outlineLevel="0" collapsed="false">
      <c r="B25" s="37" t="s">
        <v>366</v>
      </c>
      <c r="C25" s="94" t="n">
        <f aca="false">Benchmarks!E23-100</f>
        <v>0</v>
      </c>
      <c r="D25" s="64" t="str">
        <f aca="false">IF(ABS(C25)&lt;0.5,"OK","ERROR")</f>
        <v>OK</v>
      </c>
      <c r="E25" s="38" t="s">
        <v>367</v>
      </c>
    </row>
    <row r="26" customFormat="false" ht="15" hidden="false" customHeight="false" outlineLevel="0" collapsed="false">
      <c r="B26" s="37" t="s">
        <v>368</v>
      </c>
      <c r="C26" s="94" t="n">
        <f aca="false">ROUND(Sensitivity!C36-INDEX(Ratios!$D$10:$F$10,MATCH(Sens_Year,Ratios!$D$5:$F$5,0)),6)</f>
        <v>0</v>
      </c>
      <c r="D26" s="64" t="str">
        <f aca="false">IF(ABS(C26)&lt;0.5,"OK","ERROR")</f>
        <v>OK</v>
      </c>
      <c r="E26" s="38" t="s">
        <v>369</v>
      </c>
    </row>
  </sheetData>
  <mergeCells count="1">
    <mergeCell ref="C4:E4"/>
  </mergeCells>
  <conditionalFormatting sqref="D7:D26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"ERROR"</formula>
    </cfRule>
  </conditionalFormatting>
  <conditionalFormatting sqref="C4">
    <cfRule type="expression" priority="4" aboveAverage="0" equalAverage="0" bottom="0" percent="0" rank="0" text="" dxfId="0">
      <formula>LEFT(C4,1)="✔"</formula>
    </cfRule>
    <cfRule type="expression" priority="5" aboveAverage="0" equalAverage="0" bottom="0" percent="0" rank="0" text="" dxfId="1">
      <formula>LEFT(C4,1)="✖"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2026-10-06T10:45:47Z</dcterms:created>
  <dc:creator>openpyxl</dc:creator>
  <dc:description/>
  <dc:language>en-US</dc:language>
  <cp:lastModifiedBy/>
  <dcterms:modified xsi:type="dcterms:W3CDTF">2026-10-06T10:45:50Z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