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ocumentation" sheetId="2" state="visible" r:id="rId4"/>
    <sheet name="Dashboard" sheetId="3" state="visible" r:id="rId5"/>
    <sheet name="Process_Steps" sheetId="4" state="visible" r:id="rId6"/>
    <sheet name="Risks" sheetId="5" state="visible" r:id="rId7"/>
    <sheet name="Controls" sheetId="6" state="visible" r:id="rId8"/>
    <sheet name="Findings" sheetId="7" state="visible" r:id="rId9"/>
    <sheet name="Heatmap" sheetId="8" state="visible" r:id="rId10"/>
    <sheet name="Sampling_Guide" sheetId="9" state="visible" r:id="rId11"/>
    <sheet name="Inputs" sheetId="10" state="visible" r:id="rId12"/>
    <sheet name="Chart_Data" sheetId="11" state="visible" r:id="rId13"/>
    <sheet name="Lists" sheetId="12" state="visible" r:id="rId14"/>
    <sheet name="Checks" sheetId="13" state="visible" r:id="rId15"/>
  </sheets>
  <definedNames>
    <definedName function="false" hidden="false" name="Assertion_List" vbProcedure="false">Lists!$Q$5:$Q$11</definedName>
    <definedName function="false" hidden="false" name="As_Of" vbProcedure="false">Inputs!$C$7</definedName>
    <definedName function="false" hidden="false" name="Ctl_Exc" vbProcedure="false">Controls!$O$6:$O$29</definedName>
    <definedName function="false" hidden="false" name="Ctl_Factor" vbProcedure="false">Controls!$T$6:$T$29</definedName>
    <definedName function="false" hidden="false" name="Ctl_ID" vbProcedure="false">Controls!$B$6:$B$29</definedName>
    <definedName function="false" hidden="false" name="Ctl_Key" vbProcedure="false">Controls!$J$6:$J$29</definedName>
    <definedName function="false" hidden="false" name="Ctl_Pop" vbProcedure="false">Controls!$L$6:$L$29</definedName>
    <definedName function="false" hidden="false" name="Ctl_Rating" vbProcedure="false">Controls!$S$6:$S$29</definedName>
    <definedName function="false" hidden="false" name="Ctl_Risk" vbProcedure="false">Controls!$C$6:$C$29</definedName>
    <definedName function="false" hidden="false" name="Ctl_Sample" vbProcedure="false">Controls!$N$6:$N$29</definedName>
    <definedName function="false" hidden="false" name="Ctl_Step" vbProcedure="false">Controls!$D$6:$D$29</definedName>
    <definedName function="false" hidden="false" name="Design_List" vbProcedure="false">Lists!$A$5:$A$7</definedName>
    <definedName function="false" hidden="false" name="Elev_Score" vbProcedure="false">Inputs!$C$19</definedName>
    <definedName function="false" hidden="false" name="Factor_Table" vbProcedure="false">Inputs!$B$30:$C$33</definedName>
    <definedName function="false" hidden="false" name="Fnd_Class" vbProcedure="false">Findings!$L$6:$L$13</definedName>
    <definedName function="false" hidden="false" name="Fnd_Due" vbProcedure="false">Findings!$Q$6:$Q$13</definedName>
    <definedName function="false" hidden="false" name="Fnd_Flag" vbProcedure="false">Findings!$T$6:$T$13</definedName>
    <definedName function="false" hidden="false" name="Fnd_ID" vbProcedure="false">Findings!$B$6:$B$13</definedName>
    <definedName function="false" hidden="false" name="Fnd_Mag" vbProcedure="false">Findings!$I$6:$I$13</definedName>
    <definedName function="false" hidden="false" name="Fnd_Status" vbProcedure="false">Findings!$R$6:$R$13</definedName>
    <definedName function="false" hidden="false" name="Freq_List" vbProcedure="false">Lists!$G$5:$G$11</definedName>
    <definedName function="false" hidden="false" name="High_Score" vbProcedure="false">Inputs!$C$20</definedName>
    <definedName function="false" hidden="false" name="Holidays" vbProcedure="false">Inputs!$B$36:$B$42</definedName>
    <definedName function="false" hidden="false" name="Like_List" vbProcedure="false">Lists!$K$5:$K$7</definedName>
    <definedName function="false" hidden="false" name="Materiality" vbProcedure="false">Inputs!$C$13</definedName>
    <definedName function="false" hidden="false" name="Mat_Pct" vbProcedure="false">Inputs!$C$12</definedName>
    <definedName function="false" hidden="false" name="Med_Score" vbProcedure="false">Inputs!$C$21</definedName>
    <definedName function="false" hidden="false" name="Model_Status" vbProcedure="false">Checks!$C$4</definedName>
    <definedName function="false" hidden="false" name="Nature_List" vbProcedure="false">Lists!$E$5:$E$7</definedName>
    <definedName function="false" hidden="false" name="Report_Date" vbProcedure="false">Inputs!$C$6</definedName>
    <definedName function="false" hidden="false" name="Risk_I" vbProcedure="false">Risks!$I$6:$I$21</definedName>
    <definedName function="false" hidden="false" name="Risk_ID" vbProcedure="false">Risks!$B$6:$B$21</definedName>
    <definedName function="false" hidden="false" name="Risk_Inh" vbProcedure="false">Risks!$J$6:$J$21</definedName>
    <definedName function="false" hidden="false" name="Risk_Key" vbProcedure="false">Risks!$Q$6:$Q$21</definedName>
    <definedName function="false" hidden="false" name="Risk_L" vbProcedure="false">Risks!$H$6:$H$21</definedName>
    <definedName function="false" hidden="false" name="Risk_Name" vbProcedure="false">Risks!$E$6:$E$21</definedName>
    <definedName function="false" hidden="false" name="Risk_Res" vbProcedure="false">Risks!$N$6:$N$21</definedName>
    <definedName function="false" hidden="false" name="Risk_Step" vbProcedure="false">Risks!$C$6:$C$21</definedName>
    <definedName function="false" hidden="false" name="Sampling_Table" vbProcedure="false">Sampling_Guide!$B$6:$D$12</definedName>
    <definedName function="false" hidden="false" name="SD_Factor" vbProcedure="false">Inputs!$C$14</definedName>
    <definedName function="false" hidden="false" name="Soon_WD" vbProcedure="false">Inputs!$C$26</definedName>
    <definedName function="false" hidden="false" name="Status_List" vbProcedure="false">Lists!$O$5:$O$7</definedName>
    <definedName function="false" hidden="false" name="Test_End" vbProcedure="false">Inputs!$C$9</definedName>
    <definedName function="false" hidden="false" name="Test_Start" vbProcedure="false">Inputs!$C$8</definedName>
    <definedName function="false" hidden="false" name="Tol_Elev" vbProcedure="false">Inputs!$C$18</definedName>
    <definedName function="false" hidden="false" name="Tol_Std" vbProcedure="false">Inputs!$C$17</definedName>
    <definedName function="false" hidden="false" name="Trivial_Factor" vbProcedure="false">Inputs!$C$15</definedName>
    <definedName function="false" hidden="false" name="Type_List" vbProcedure="false">Lists!$C$5:$C$6</definedName>
    <definedName function="false" hidden="false" name="WD_CD" vbProcedure="false">Inputs!$C$25</definedName>
    <definedName function="false" hidden="false" name="WD_MW" vbProcedure="false">Inputs!$C$23</definedName>
    <definedName function="false" hidden="false" name="WD_SD" vbProcedure="false">Inputs!$C$24</definedName>
    <definedName function="false" hidden="false" name="YesNo" vbProcedure="false">Lists!$M$5:$M$6</definedName>
    <definedName function="false" hidden="false" name="YN_Key" vbProcedure="false">Lists!$I$5:$I$6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<sst xmlns="http://schemas.openxmlformats.org/spreadsheetml/2006/main" count="757" uniqueCount="454">
  <si>
    <t xml:space="preserve">PORTFOLIO PROJECT 05</t>
  </si>
  <si>
    <t xml:space="preserve">Internal Control Evaluation</t>
  </si>
  <si>
    <t xml:space="preserve">Sampaguita Foods &amp; Distribution Corporation (SFDC)</t>
  </si>
  <si>
    <t xml:space="preserve">Order-to-cash (sales cycle): risk and control matrix, testing, deficiency evaluation and remediation tracking</t>
  </si>
  <si>
    <t xml:space="preserve">Prepared by Bengie Hirnani  |  Version 1.0  |  PHP in thousands</t>
  </si>
  <si>
    <t xml:space="preserve">Model status</t>
  </si>
  <si>
    <t xml:space="preserve">Scope</t>
  </si>
  <si>
    <t xml:space="preserve">Nine process steps, 16 risks, 24 controls, formula-driven sampling and test conclusions, deficiency classification against materiality, a residual-risk heat map and a remediation tracker. Accompanied by the Word report with flowchart.</t>
  </si>
  <si>
    <t xml:space="preserve">Data notice</t>
  </si>
  <si>
    <t xml:space="preserve">The company, test results and findings are fictional and were created to demonstrate an internal control evaluation. Materiality ties to the Project 1 financial statements.</t>
  </si>
  <si>
    <t xml:space="preserve">NAVIGATION - click a button to jump to a sheet</t>
  </si>
  <si>
    <t xml:space="preserve">DASHBOARD</t>
  </si>
  <si>
    <t xml:space="preserve">Control-environment dashboard: ratings, deficiencies, residual risk, remediation</t>
  </si>
  <si>
    <t xml:space="preserve">RISK AND CONTROL MATRIX</t>
  </si>
  <si>
    <t xml:space="preserve">Order-to-cash process steps with control counts and step ratings</t>
  </si>
  <si>
    <t xml:space="preserve">Risk register: inherent and residual scoring</t>
  </si>
  <si>
    <t xml:space="preserve">24 controls with design assessment, sampling, test results and ratings</t>
  </si>
  <si>
    <t xml:space="preserve">Deficiency evaluation, recommendations, owners, due dates and tracking</t>
  </si>
  <si>
    <t xml:space="preserve">Likelihood x impact heat map and top residual risks</t>
  </si>
  <si>
    <t xml:space="preserve">SETUP AND CONTROLS</t>
  </si>
  <si>
    <t xml:space="preserve">Sample-size table by control frequency and risk level</t>
  </si>
  <si>
    <t xml:space="preserve">Dates, materiality, thresholds, remediation days, holidays</t>
  </si>
  <si>
    <t xml:space="preserve">Helper tables for dashboard charts</t>
  </si>
  <si>
    <t xml:space="preserve">Drop-down lists</t>
  </si>
  <si>
    <t xml:space="preserve">Model integrity checks</t>
  </si>
  <si>
    <t xml:space="preserve">Scope, method, rating rules, how to use</t>
  </si>
  <si>
    <t xml:space="preserve">Model Documentation</t>
  </si>
  <si>
    <t xml:space="preserve">Sampaguita Foods &amp; Distribution Corporation (SFDC)  |  PHP in thousands  |  Order-to-cash (sales cycle)</t>
  </si>
  <si>
    <t xml:space="preserve">1. PURPOSE AND SCOPE</t>
  </si>
  <si>
    <t xml:space="preserve">Objective</t>
  </si>
  <si>
    <t xml:space="preserve">Evaluate the design and operating effectiveness of internal controls over SFDC's order-to-cash cycle for the period 1 January to 30 September 2026, using the COSO 2013 Internal Control - Integrated Framework as the reference model.</t>
  </si>
  <si>
    <t xml:space="preserve">Nine process steps from customer onboarding to receivables monitoring, 16 risks and 24 controls (12 key-control tested manually, 5 automated). Results, populations and exceptions are fictional.</t>
  </si>
  <si>
    <t xml:space="preserve">Companion report</t>
  </si>
  <si>
    <t xml:space="preserve">The Word report (Internal Control Evaluation Report) contains the process narrative, the flowchart with control ratings, findings, recommendations and the management action plan.</t>
  </si>
  <si>
    <t xml:space="preserve">2. METHOD</t>
  </si>
  <si>
    <t xml:space="preserve">Risk scoring</t>
  </si>
  <si>
    <t xml:space="preserve">Likelihood x impact on a 5 x 5 scale gives the inherent score. Residual score = inherent score x (1 - average risk reduction of the controls mapped to the risk). Reduction depends on the overall control rating (Inputs).</t>
  </si>
  <si>
    <t xml:space="preserve">Sampling</t>
  </si>
  <si>
    <t xml:space="preserve">Sample size comes from the Sampling_Guide by frequency and risk level (elevated when the inherent score is at least the threshold). Automated controls are tested once; controls with a missing design are not tested.</t>
  </si>
  <si>
    <t xml:space="preserve">Conclusions</t>
  </si>
  <si>
    <t xml:space="preserve">Operating result: Effective (no exceptions); Effective with exceptions (sample over 5 and deviation rate within tolerable rate); otherwise Ineffective. Overall rating combines design and operation.</t>
  </si>
  <si>
    <t xml:space="preserve">Deficiency evaluation</t>
  </si>
  <si>
    <t xml:space="preserve">Findings are rated by likelihood and magnitude against materiality (0.5% of FY2025 net sales). A compensating control lowers the class by one level. Remediation deadlines use WORKDAY with a holiday list.</t>
  </si>
  <si>
    <t xml:space="preserve">3. CONVENTIONS</t>
  </si>
  <si>
    <t xml:space="preserve">Colours</t>
  </si>
  <si>
    <t xml:space="preserve">Blue = input; black = formula; green = cross-sheet link; yellow = key assumption.</t>
  </si>
  <si>
    <t xml:space="preserve">Ratings</t>
  </si>
  <si>
    <t xml:space="preserve">Green/Effective, light green/Effective with exceptions, amber/Needs improvement, red/Ineffective.</t>
  </si>
  <si>
    <t xml:space="preserve">Controls</t>
  </si>
  <si>
    <t xml:space="preserve">Drop-downs, whole-number validation, conditional formatting, 13 integrity checks and a model-status banner.</t>
  </si>
  <si>
    <t xml:space="preserve">4. HOW TO USE</t>
  </si>
  <si>
    <t xml:space="preserve">Re-perform testing</t>
  </si>
  <si>
    <t xml:space="preserve">Update population and exceptions on Controls; sample sizes and ratings update automatically.</t>
  </si>
  <si>
    <t xml:space="preserve">Track remediation</t>
  </si>
  <si>
    <t xml:space="preserve">Update Status and the as-of date; days to due and flags recalculate.</t>
  </si>
  <si>
    <t xml:space="preserve">Limitations</t>
  </si>
  <si>
    <t xml:space="preserve">The workbook supports the evaluation but does not replace auditor judgement; thresholds and tolerable rates are policy inputs.</t>
  </si>
  <si>
    <t xml:space="preserve">Internal Control Dashboard: Order-to-Cash</t>
  </si>
  <si>
    <t xml:space="preserve">CONTROLS TESTED</t>
  </si>
  <si>
    <t xml:space="preserve">OPERATING EFFECTIVELY</t>
  </si>
  <si>
    <t xml:space="preserve">MATERIAL WEAKNESSES</t>
  </si>
  <si>
    <t xml:space="preserve">SIGNIFICANT DEFICIENCIES</t>
  </si>
  <si>
    <t xml:space="preserve">HIGHEST RESIDUAL RISK</t>
  </si>
  <si>
    <t xml:space="preserve">RESIDUAL RISK: HIGH</t>
  </si>
  <si>
    <t xml:space="preserve">ACTIONS CLOSED</t>
  </si>
  <si>
    <t xml:space="preserve">OVERDUE ACTIONS</t>
  </si>
  <si>
    <t xml:space="preserve">PROCESS STEP RATINGS</t>
  </si>
  <si>
    <t xml:space="preserve">KEY INSIGHTS (update automatically)</t>
  </si>
  <si>
    <t xml:space="preserve">Order-to-Cash Process Steps</t>
  </si>
  <si>
    <t xml:space="preserve">ID</t>
  </si>
  <si>
    <t xml:space="preserve">Process step</t>
  </si>
  <si>
    <t xml:space="preserve">Description</t>
  </si>
  <si>
    <t xml:space="preserve">Risks</t>
  </si>
  <si>
    <t xml:space="preserve">Key controls</t>
  </si>
  <si>
    <t xml:space="preserve">Effective</t>
  </si>
  <si>
    <t xml:space="preserve">Needs improvement</t>
  </si>
  <si>
    <t xml:space="preserve">Ineffective</t>
  </si>
  <si>
    <t xml:space="preserve">% effective</t>
  </si>
  <si>
    <t xml:space="preserve">Step rating</t>
  </si>
  <si>
    <t xml:space="preserve">Peak residual risk</t>
  </si>
  <si>
    <t xml:space="preserve">P1</t>
  </si>
  <si>
    <t xml:space="preserve">Customer onboarding and credit approval</t>
  </si>
  <si>
    <t xml:space="preserve">New customers apply with KYC documents; credit limits are assessed and approved before account set-up.</t>
  </si>
  <si>
    <t xml:space="preserve">P2</t>
  </si>
  <si>
    <t xml:space="preserve">Master data and pricing maintenance</t>
  </si>
  <si>
    <t xml:space="preserve">Customer master data, price lists and discount matrices are maintained in the order system.</t>
  </si>
  <si>
    <t xml:space="preserve">P3</t>
  </si>
  <si>
    <t xml:space="preserve">Sales order entry</t>
  </si>
  <si>
    <t xml:space="preserve">Customer purchase orders are keyed into the system and priced automatically.</t>
  </si>
  <si>
    <t xml:space="preserve">P4</t>
  </si>
  <si>
    <t xml:space="preserve">Credit check and order release</t>
  </si>
  <si>
    <t xml:space="preserve">Orders are checked against credit limits and overdue balances before release to the warehouse.</t>
  </si>
  <si>
    <t xml:space="preserve">P5</t>
  </si>
  <si>
    <t xml:space="preserve">Picking, packing and dispatch</t>
  </si>
  <si>
    <t xml:space="preserve">Warehouse picks against released orders; vehicles leave against an approved dispatch plan.</t>
  </si>
  <si>
    <t xml:space="preserve">P6</t>
  </si>
  <si>
    <t xml:space="preserve">Delivery and proof of delivery</t>
  </si>
  <si>
    <t xml:space="preserve">Drivers obtain signed delivery receipts, which support billing.</t>
  </si>
  <si>
    <t xml:space="preserve">P7</t>
  </si>
  <si>
    <t xml:space="preserve">Invoicing and VAT</t>
  </si>
  <si>
    <t xml:space="preserve">VAT invoices are generated from matched order and delivery data; invoice series are controlled.</t>
  </si>
  <si>
    <t xml:space="preserve">P8</t>
  </si>
  <si>
    <t xml:space="preserve">Collection and cash application</t>
  </si>
  <si>
    <t xml:space="preserve">Customer payments are collected, deposited and applied to open invoices.</t>
  </si>
  <si>
    <t xml:space="preserve">P9</t>
  </si>
  <si>
    <t xml:space="preserve">Credit notes, returns and receivables monitoring</t>
  </si>
  <si>
    <t xml:space="preserve">Returns and credit notes are approved; aging, allowance, reconciliation and cut-off are reviewed each period.</t>
  </si>
  <si>
    <t xml:space="preserve">Total</t>
  </si>
  <si>
    <t xml:space="preserve">Step rating: Red = at least one key control is Ineffective; Amber = other control weaknesses; Green = all controls effective.</t>
  </si>
  <si>
    <t xml:space="preserve">Risk Register</t>
  </si>
  <si>
    <t xml:space="preserve">Step</t>
  </si>
  <si>
    <t xml:space="preserve">Risk</t>
  </si>
  <si>
    <t xml:space="preserve">Assertion</t>
  </si>
  <si>
    <t xml:space="preserve">COSO component</t>
  </si>
  <si>
    <t xml:space="preserve">Likelihood (1-5)</t>
  </si>
  <si>
    <t xml:space="preserve">Impact (1-5)</t>
  </si>
  <si>
    <t xml:space="preserve">Inherent score</t>
  </si>
  <si>
    <t xml:space="preserve">Inherent rating</t>
  </si>
  <si>
    <t xml:space="preserve">Avg control reduction</t>
  </si>
  <si>
    <t xml:space="preserve">Residual score</t>
  </si>
  <si>
    <t xml:space="preserve">Residual rating</t>
  </si>
  <si>
    <t xml:space="preserve">Sort key</t>
  </si>
  <si>
    <t xml:space="preserve">R01</t>
  </si>
  <si>
    <t xml:space="preserve">Fictitious or high-risk customers are onboarded without adequate vetting</t>
  </si>
  <si>
    <t xml:space="preserve">Occurrence</t>
  </si>
  <si>
    <t xml:space="preserve">Risk assessment</t>
  </si>
  <si>
    <t xml:space="preserve">R02</t>
  </si>
  <si>
    <t xml:space="preserve">Unauthorised or erroneous changes to customer master data and credit limits</t>
  </si>
  <si>
    <t xml:space="preserve">Accuracy</t>
  </si>
  <si>
    <t xml:space="preserve">Control activities</t>
  </si>
  <si>
    <t xml:space="preserve">R03</t>
  </si>
  <si>
    <t xml:space="preserve">Incorrect prices or unapproved discounts are applied to orders</t>
  </si>
  <si>
    <t xml:space="preserve">R04</t>
  </si>
  <si>
    <t xml:space="preserve">Orders are released beyond approved credit limits or to overdue accounts</t>
  </si>
  <si>
    <t xml:space="preserve">Valuation</t>
  </si>
  <si>
    <t xml:space="preserve">R05</t>
  </si>
  <si>
    <t xml:space="preserve">Sales orders are recorded differently from the customer purchase order</t>
  </si>
  <si>
    <t xml:space="preserve">R06</t>
  </si>
  <si>
    <t xml:space="preserve">Goods leave the warehouse without a valid, approved order</t>
  </si>
  <si>
    <t xml:space="preserve">Existence</t>
  </si>
  <si>
    <t xml:space="preserve">R07</t>
  </si>
  <si>
    <t xml:space="preserve">Wrong quantities are picked or inventory is lost before dispatch</t>
  </si>
  <si>
    <t xml:space="preserve">R08</t>
  </si>
  <si>
    <t xml:space="preserve">Revenue is recognised without evidence that goods were delivered</t>
  </si>
  <si>
    <t xml:space="preserve">R09</t>
  </si>
  <si>
    <t xml:space="preserve">Goods delivered are never invoiced (unbilled revenue)</t>
  </si>
  <si>
    <t xml:space="preserve">Completeness</t>
  </si>
  <si>
    <t xml:space="preserve">Monitoring activities</t>
  </si>
  <si>
    <t xml:space="preserve">R10</t>
  </si>
  <si>
    <t xml:space="preserve">Invoices contain wrong price, quantity or VAT</t>
  </si>
  <si>
    <t xml:space="preserve">R11</t>
  </si>
  <si>
    <t xml:space="preserve">Invoice series is not controlled, creating BIR compliance exposure</t>
  </si>
  <si>
    <t xml:space="preserve">R12</t>
  </si>
  <si>
    <t xml:space="preserve">Collections are misappropriated or misapplied (including lapping)</t>
  </si>
  <si>
    <t xml:space="preserve">Control environment</t>
  </si>
  <si>
    <t xml:space="preserve">R13</t>
  </si>
  <si>
    <t xml:space="preserve">Credit notes and returns are issued without authorisation</t>
  </si>
  <si>
    <t xml:space="preserve">R14</t>
  </si>
  <si>
    <t xml:space="preserve">Uncollectible receivables are not identified or provided for</t>
  </si>
  <si>
    <t xml:space="preserve">R15</t>
  </si>
  <si>
    <t xml:space="preserve">Receivables sub-ledger disagrees with the general ledger or cut-off is wrong</t>
  </si>
  <si>
    <t xml:space="preserve">Cut-off</t>
  </si>
  <si>
    <t xml:space="preserve">R16</t>
  </si>
  <si>
    <t xml:space="preserve">Customer disputes and balance differences are not resolved</t>
  </si>
  <si>
    <t xml:space="preserve">Rights and obligations</t>
  </si>
  <si>
    <t xml:space="preserve">Information and communication</t>
  </si>
  <si>
    <t xml:space="preserve">Controls and Test Results</t>
  </si>
  <si>
    <t xml:space="preserve">Sampaguita Foods &amp; Distribution Corporation (SFDC)  |  PHP in thousands  |  Order-to-cash (sales cycle)  |  Testing period 1 Jan - 30 Sep 2026 (fictional results)</t>
  </si>
  <si>
    <t xml:space="preserve">Control description</t>
  </si>
  <si>
    <t xml:space="preserve">Owner</t>
  </si>
  <si>
    <t xml:space="preserve">Type</t>
  </si>
  <si>
    <t xml:space="preserve">Nature</t>
  </si>
  <si>
    <t xml:space="preserve">Frequency</t>
  </si>
  <si>
    <t xml:space="preserve">Key</t>
  </si>
  <si>
    <t xml:space="preserve">Design assessment</t>
  </si>
  <si>
    <t xml:space="preserve">Population</t>
  </si>
  <si>
    <t xml:space="preserve">Risk level</t>
  </si>
  <si>
    <t xml:space="preserve">Sample</t>
  </si>
  <si>
    <t xml:space="preserve">Excep-tions</t>
  </si>
  <si>
    <t xml:space="preserve">Deviation rate</t>
  </si>
  <si>
    <t xml:space="preserve">Tolerable rate</t>
  </si>
  <si>
    <t xml:space="preserve">Operating result</t>
  </si>
  <si>
    <t xml:space="preserve">Overall rating</t>
  </si>
  <si>
    <t xml:space="preserve">Risk reduction</t>
  </si>
  <si>
    <t xml:space="preserve">Test notes</t>
  </si>
  <si>
    <t xml:space="preserve">C01</t>
  </si>
  <si>
    <t xml:space="preserve">Credit application with KYC documents (TIN, business permit, bank reference) reviewed by the credit officer before account set-up</t>
  </si>
  <si>
    <t xml:space="preserve">Credit Officer</t>
  </si>
  <si>
    <t xml:space="preserve">Preventive</t>
  </si>
  <si>
    <t xml:space="preserve">Manual</t>
  </si>
  <si>
    <t xml:space="preserve">Per occurrence</t>
  </si>
  <si>
    <t xml:space="preserve">Y</t>
  </si>
  <si>
    <t xml:space="preserve">One file missing the bank reference; obtained later.</t>
  </si>
  <si>
    <t xml:space="preserve">C02</t>
  </si>
  <si>
    <t xml:space="preserve">Credit limits above PHP 500,000 are approved by the Finance Manager before activation</t>
  </si>
  <si>
    <t xml:space="preserve">Finance Manager</t>
  </si>
  <si>
    <t xml:space="preserve">Weekly</t>
  </si>
  <si>
    <t xml:space="preserve">Two approvals not evidenced on the credit file.</t>
  </si>
  <si>
    <t xml:space="preserve">C03</t>
  </si>
  <si>
    <t xml:space="preserve">Finance reviews the customer master-data change log monthly against approved requests</t>
  </si>
  <si>
    <t xml:space="preserve">Accounting Supervisor</t>
  </si>
  <si>
    <t xml:space="preserve">Detective</t>
  </si>
  <si>
    <t xml:space="preserve">Monthly</t>
  </si>
  <si>
    <t xml:space="preserve">N</t>
  </si>
  <si>
    <t xml:space="preserve">Review for April was not performed.</t>
  </si>
  <si>
    <t xml:space="preserve">C04</t>
  </si>
  <si>
    <t xml:space="preserve">System restricts edits to credit limits and payment terms to the Credit department profile</t>
  </si>
  <si>
    <t xml:space="preserve">IT Manager</t>
  </si>
  <si>
    <t xml:space="preserve">Automated</t>
  </si>
  <si>
    <t xml:space="preserve">Multiple per day</t>
  </si>
  <si>
    <t xml:space="preserve">Access list agreed to the approved matrix; ITGCs effective.</t>
  </si>
  <si>
    <t xml:space="preserve">C05</t>
  </si>
  <si>
    <t xml:space="preserve">Price-list changes are approved by the Sales Director before upload</t>
  </si>
  <si>
    <t xml:space="preserve">Sales Director</t>
  </si>
  <si>
    <t xml:space="preserve">C06</t>
  </si>
  <si>
    <t xml:space="preserve">Discounts above 5% require system approval workflow</t>
  </si>
  <si>
    <t xml:space="preserve">Workflow configuration re-performed.</t>
  </si>
  <si>
    <t xml:space="preserve">C07</t>
  </si>
  <si>
    <t xml:space="preserve">System blocks orders that exceed the credit limit or include overdue invoices; override by Credit Manager only</t>
  </si>
  <si>
    <t xml:space="preserve">Credit Manager</t>
  </si>
  <si>
    <t xml:space="preserve">Block logic re-performed with test orders.</t>
  </si>
  <si>
    <t xml:space="preserve">C08</t>
  </si>
  <si>
    <t xml:space="preserve">Credit Manager reviews the weekly list of overridden orders with the Finance Manager</t>
  </si>
  <si>
    <t xml:space="preserve">Three weekly reviews not evidenced.</t>
  </si>
  <si>
    <t xml:space="preserve">C09</t>
  </si>
  <si>
    <t xml:space="preserve">Orders above PHP 100,000 are verified to the customer PO by a second clerk</t>
  </si>
  <si>
    <t xml:space="preserve">Sales Supervisor</t>
  </si>
  <si>
    <t xml:space="preserve">Daily</t>
  </si>
  <si>
    <t xml:space="preserve">Two orders keyed with transposed quantities.</t>
  </si>
  <si>
    <t xml:space="preserve">C10</t>
  </si>
  <si>
    <t xml:space="preserve">Gate pass is matched to the approved dispatch plan before a vehicle leaves</t>
  </si>
  <si>
    <t xml:space="preserve">Warehouse Manager</t>
  </si>
  <si>
    <t xml:space="preserve">One dispatch without a signed gate pass.</t>
  </si>
  <si>
    <t xml:space="preserve">C11</t>
  </si>
  <si>
    <t xml:space="preserve">Pick lists are verified by barcode scan against the released order</t>
  </si>
  <si>
    <t xml:space="preserve">IT-dependent manual</t>
  </si>
  <si>
    <t xml:space="preserve">C12</t>
  </si>
  <si>
    <t xml:space="preserve">Monthly cycle count with variance investigation above 0.5% of value</t>
  </si>
  <si>
    <t xml:space="preserve">Inventory Controller</t>
  </si>
  <si>
    <t xml:space="preserve">C13</t>
  </si>
  <si>
    <t xml:space="preserve">Signed delivery receipts are matched to invoices before billing is released</t>
  </si>
  <si>
    <t xml:space="preserve">Billing Supervisor</t>
  </si>
  <si>
    <t xml:space="preserve">Four invoices released without a signed delivery receipt.</t>
  </si>
  <si>
    <t xml:space="preserve">C14</t>
  </si>
  <si>
    <t xml:space="preserve">Daily reconciliation of delivery receipts to invoices and review of the unbilled report</t>
  </si>
  <si>
    <t xml:space="preserve">Missing</t>
  </si>
  <si>
    <t xml:space="preserve">No formal reconciliation is performed or documented.</t>
  </si>
  <si>
    <t xml:space="preserve">C15</t>
  </si>
  <si>
    <t xml:space="preserve">System generates invoices from matched order and delivery data (three-way match)</t>
  </si>
  <si>
    <t xml:space="preserve">Match logic re-performed.</t>
  </si>
  <si>
    <t xml:space="preserve">C16</t>
  </si>
  <si>
    <t xml:space="preserve">Monthly review of output VAT computation against the sales ledger</t>
  </si>
  <si>
    <t xml:space="preserve">Tax Accountant</t>
  </si>
  <si>
    <t xml:space="preserve">C17</t>
  </si>
  <si>
    <t xml:space="preserve">Weekly sequence check of invoice series and review of voided invoices</t>
  </si>
  <si>
    <t xml:space="preserve">C18</t>
  </si>
  <si>
    <t xml:space="preserve">Collections are deposited intact daily; deposit slips reconciled to cash receipts by an independent staff member</t>
  </si>
  <si>
    <t xml:space="preserve">Treasury Officer</t>
  </si>
  <si>
    <t xml:space="preserve">Three deposits delayed by one to three days.</t>
  </si>
  <si>
    <t xml:space="preserve">C19</t>
  </si>
  <si>
    <t xml:space="preserve">Cash application is performed by staff independent of collection and billing</t>
  </si>
  <si>
    <t xml:space="preserve">Design gap: one user profile can post receipts and adjust customer balances.</t>
  </si>
  <si>
    <t xml:space="preserve">C20</t>
  </si>
  <si>
    <t xml:space="preserve">Credit notes require supervisor approval and a return authorisation matched to the warehouse receipt</t>
  </si>
  <si>
    <t xml:space="preserve">Two credit notes approved after issue.</t>
  </si>
  <si>
    <t xml:space="preserve">C21</t>
  </si>
  <si>
    <t xml:space="preserve">Monthly receivables aging reviewed by the Finance Manager with a documented allowance assessment</t>
  </si>
  <si>
    <t xml:space="preserve">One month lacked the documented allowance assessment.</t>
  </si>
  <si>
    <t xml:space="preserve">C22</t>
  </si>
  <si>
    <t xml:space="preserve">Monthly AR sub-ledger to general-ledger reconciliation reviewed and signed</t>
  </si>
  <si>
    <t xml:space="preserve">C23</t>
  </si>
  <si>
    <t xml:space="preserve">Year-end cut-off test of the last five days of shipments</t>
  </si>
  <si>
    <t xml:space="preserve">Annual</t>
  </si>
  <si>
    <t xml:space="preserve">C24</t>
  </si>
  <si>
    <t xml:space="preserve">Quarterly statements of account circularised to the top 20 customers</t>
  </si>
  <si>
    <t xml:space="preserve">Quarterly</t>
  </si>
  <si>
    <t xml:space="preserve">Blue cells are inputs (design assessment, population, exceptions found). Sample sizes, results and ratings are formulas driven by the Sampling_Guide and Inputs sheets.</t>
  </si>
  <si>
    <t xml:space="preserve">Findings, Deficiency Evaluation and Remediation Tracking</t>
  </si>
  <si>
    <t xml:space="preserve">Sampaguita Foods &amp; Distribution Corporation (SFDC)  |  PHP in thousands  |  Order-to-cash (sales cycle)  |  Classification follows the rules on Inputs (materiality and likelihood)</t>
  </si>
  <si>
    <t xml:space="preserve">Finding</t>
  </si>
  <si>
    <t xml:space="preserve">Condition (what we found)</t>
  </si>
  <si>
    <t xml:space="preserve">Root cause</t>
  </si>
  <si>
    <t xml:space="preserve">Likelihood</t>
  </si>
  <si>
    <t xml:space="preserve">Magnitude (PHP '000)</t>
  </si>
  <si>
    <t xml:space="preserve">Compensating control?</t>
  </si>
  <si>
    <t xml:space="preserve">Base classification</t>
  </si>
  <si>
    <t xml:space="preserve">Final classification</t>
  </si>
  <si>
    <t xml:space="preserve">Priority</t>
  </si>
  <si>
    <t xml:space="preserve">Recommendation</t>
  </si>
  <si>
    <t xml:space="preserve">Working days</t>
  </si>
  <si>
    <t xml:space="preserve">Due date</t>
  </si>
  <si>
    <t xml:space="preserve">Status</t>
  </si>
  <si>
    <t xml:space="preserve">Days to due</t>
  </si>
  <si>
    <t xml:space="preserve">Tracking</t>
  </si>
  <si>
    <t xml:space="preserve">Management response</t>
  </si>
  <si>
    <t xml:space="preserve">F01</t>
  </si>
  <si>
    <t xml:space="preserve">C02, C08</t>
  </si>
  <si>
    <t xml:space="preserve">Credit-limit approvals and override monitoring are not consistently evidenced</t>
  </si>
  <si>
    <t xml:space="preserve">Two of 12 weekly approvals tested show limits above PHP 500,000 activated without Finance Manager sign-off, and three of 12 weekly reviews of credit-limit overrides were not performed or not evidenced. At 30 September 2026, 12 customers exceeded their limits by an aggregate PHP 3.8 million.</t>
  </si>
  <si>
    <t xml:space="preserve">Approval relies on e-mail and verbal clearance; the override report is not scheduled and has no named backup reviewer.</t>
  </si>
  <si>
    <t xml:space="preserve">Reasonably possible</t>
  </si>
  <si>
    <t xml:space="preserve">No</t>
  </si>
  <si>
    <t xml:space="preserve">Require approval within the credit system (no activation without an approval record), schedule the override report every Monday with a named backup reviewer, and escalate repeat overrides to the Finance Manager.</t>
  </si>
  <si>
    <t xml:space="preserve">In progress</t>
  </si>
  <si>
    <t xml:space="preserve">Accepted. System-enforced approval will be configured with IT; the override report will be scheduled from 12 October 2026.</t>
  </si>
  <si>
    <t xml:space="preserve">F02</t>
  </si>
  <si>
    <t xml:space="preserve">Invoices are released without a signed delivery receipt</t>
  </si>
  <si>
    <t xml:space="preserve">Four of 30 invoices tested were issued without a signed delivery receipt on file (two receipts were signed after the invoice date). Extrapolating the 13% deviation rate to the population indicates potential revenue overstatement of about PHP 5.2 million.</t>
  </si>
  <si>
    <t xml:space="preserve">Billing releases invoices from the dispatch record when drivers return receipts late; no hold is applied in the system.</t>
  </si>
  <si>
    <t xml:space="preserve">Probable</t>
  </si>
  <si>
    <t xml:space="preserve">Block invoice release in the billing system until a scanned signed delivery receipt is attached; report outstanding receipts daily to the Warehouse Manager; add receipt return time to driver performance measures.</t>
  </si>
  <si>
    <t xml:space="preserve">Accepted. Billing hold will be configured by 30 October 2026 and daily outstanding-receipt reporting starts immediately.</t>
  </si>
  <si>
    <t xml:space="preserve">F03</t>
  </si>
  <si>
    <t xml:space="preserve">No reconciliation of deliveries to invoices (unbilled revenue)</t>
  </si>
  <si>
    <t xml:space="preserve">No daily or periodic reconciliation of delivery receipts to invoices is performed or documented. Re-performance for September found seven delivery receipts, totalling PHP 0.9 million, still unbilled after 30 days.</t>
  </si>
  <si>
    <t xml:space="preserve">The control was dropped when the billing team was reorganised and was never formalised in the procedures.</t>
  </si>
  <si>
    <t xml:space="preserve">Re-establish the daily reconciliation with a standard template, require supervisor sign-off, and produce an aged unbilled report for the month-end close.</t>
  </si>
  <si>
    <t xml:space="preserve">Open</t>
  </si>
  <si>
    <t xml:space="preserve">Accepted. Template and sign-off to be implemented in October 2026.</t>
  </si>
  <si>
    <t xml:space="preserve">F04</t>
  </si>
  <si>
    <t xml:space="preserve">Collections are not always deposited intact and daily</t>
  </si>
  <si>
    <t xml:space="preserve">Three of 30 daily deposits tested were made one to three days late, with cash held in the office safe overnight and over a weekend.</t>
  </si>
  <si>
    <t xml:space="preserve">Armored-courier pick-ups are scheduled only three times a week, and branch cut-off times are not enforced.</t>
  </si>
  <si>
    <t xml:space="preserve">Move to daily deposits or courier pick-ups, enforce a deposit cut-off, and have the independent reviewer investigate any deposit older than one banking day.</t>
  </si>
  <si>
    <t xml:space="preserve">Accepted. Courier contract is being renegotiated for daily pick-up.</t>
  </si>
  <si>
    <t xml:space="preserve">F05</t>
  </si>
  <si>
    <t xml:space="preserve">Cash application lacks segregation of duties</t>
  </si>
  <si>
    <t xml:space="preserve">One accounting user profile can both post customer receipts and adjust customer balances (write-offs and credit entries). No exceptions were found in the sample, but the access design allows concealment of misappropriation.</t>
  </si>
  <si>
    <t xml:space="preserve">User roles were set up during the system roll-out and have not been recertified.</t>
  </si>
  <si>
    <t xml:space="preserve">Remove balance-adjustment rights from the cash-application profile, perform a quarterly user-access recertification, and add a detective report of all manual balance adjustments for the Finance Manager.</t>
  </si>
  <si>
    <t xml:space="preserve">Accepted. Profile changes planned for the next system maintenance window.</t>
  </si>
  <si>
    <t xml:space="preserve">F06</t>
  </si>
  <si>
    <t xml:space="preserve">Credit notes are sometimes approved after issue</t>
  </si>
  <si>
    <t xml:space="preserve">Two of 8 credit notes tested were approved after being issued, and the return authorisation was not attached to one of them.</t>
  </si>
  <si>
    <t xml:space="preserve">Urgent customer requests are processed first and approved retrospectively.</t>
  </si>
  <si>
    <t xml:space="preserve">Lock credit-note posting until the approval status is recorded in the system and require the return authorisation reference as a mandatory field.</t>
  </si>
  <si>
    <t xml:space="preserve">Accepted. Mandatory fields to be configured in the next system update.</t>
  </si>
  <si>
    <t xml:space="preserve">F07</t>
  </si>
  <si>
    <t xml:space="preserve">Customer master-data change log review was missed for one month</t>
  </si>
  <si>
    <t xml:space="preserve">The monthly review of the customer master-data change log was not performed for April 2026. Access restrictions (C04) operated effectively throughout the period.</t>
  </si>
  <si>
    <t xml:space="preserve">The reviewer was on leave and no backup was assigned.</t>
  </si>
  <si>
    <t xml:space="preserve">Remote</t>
  </si>
  <si>
    <t xml:space="preserve">Yes</t>
  </si>
  <si>
    <t xml:space="preserve">Assign a named backup reviewer and add the review to the month-end close checklist.</t>
  </si>
  <si>
    <t xml:space="preserve">Closed</t>
  </si>
  <si>
    <t xml:space="preserve">Implemented. The April log was reviewed retrospectively with no exceptions, and the review is now on the close checklist.</t>
  </si>
  <si>
    <t xml:space="preserve">F08</t>
  </si>
  <si>
    <t xml:space="preserve">Allowance assessment is not documented in every month's aging review</t>
  </si>
  <si>
    <t xml:space="preserve">One of three monthly aging reviews tested lacked a documented allowance assessment for balances over 90 days (2.5% of receivables at FY2025 year-end).</t>
  </si>
  <si>
    <t xml:space="preserve">The assessment is performed informally and only formalised at year-end.</t>
  </si>
  <si>
    <t xml:space="preserve">Add an allowance-assessment section to the monthly aging template with sign-off, and set an escalation rule for balances over 90 days.</t>
  </si>
  <si>
    <t xml:space="preserve">Accepted. Template updated from the October 2026 close.</t>
  </si>
  <si>
    <t xml:space="preserve">Risk Heat Map</t>
  </si>
  <si>
    <t xml:space="preserve">INHERENT RISK: NUMBER OF RISKS BY LIKELIHOOD AND IMPACT</t>
  </si>
  <si>
    <t xml:space="preserve">TOP FIVE RESIDUAL RISKS</t>
  </si>
  <si>
    <t xml:space="preserve">Likelihood \ Impact</t>
  </si>
  <si>
    <t xml:space="preserve">Risk (ID - description)</t>
  </si>
  <si>
    <t xml:space="preserve">Rating</t>
  </si>
  <si>
    <t xml:space="preserve">Cell colour follows the High / Medium thresholds on Inputs.</t>
  </si>
  <si>
    <t xml:space="preserve">RISK RATING SUMMARY</t>
  </si>
  <si>
    <t xml:space="preserve">Inherent</t>
  </si>
  <si>
    <t xml:space="preserve">Residual</t>
  </si>
  <si>
    <t xml:space="preserve">High</t>
  </si>
  <si>
    <t xml:space="preserve">Medium</t>
  </si>
  <si>
    <t xml:space="preserve">Low</t>
  </si>
  <si>
    <t xml:space="preserve">Sample-Size Guide</t>
  </si>
  <si>
    <t xml:space="preserve">Control frequency</t>
  </si>
  <si>
    <t xml:space="preserve">Standard-risk sample</t>
  </si>
  <si>
    <t xml:space="preserve">Elevated-risk sample</t>
  </si>
  <si>
    <t xml:space="preserve">Rules applied on the Controls sheet:</t>
  </si>
  <si>
    <t xml:space="preserve">Sample = the lower of the population and the table value for the control frequency and risk level.</t>
  </si>
  <si>
    <t xml:space="preserve">Automated controls are tested once (one instance re-performed) provided IT general controls are effective.</t>
  </si>
  <si>
    <t xml:space="preserve">A control with a missing design is not tested and is rated Ineffective.</t>
  </si>
  <si>
    <t xml:space="preserve">For samples of five or fewer, any exception makes the control Ineffective; for larger samples the deviation rate is compared with the tolerable rate.</t>
  </si>
  <si>
    <t xml:space="preserve">Inputs and Thresholds</t>
  </si>
  <si>
    <t xml:space="preserve">Sampaguita Foods &amp; Distribution Corporation (SFDC)  |  PHP in thousands  |  Order-to-cash (sales cycle)  |  Blue = input; yellow = key assumption</t>
  </si>
  <si>
    <t xml:space="preserve">ENGAGEMENT DATES</t>
  </si>
  <si>
    <t xml:space="preserve">Report date</t>
  </si>
  <si>
    <t xml:space="preserve">Remediation due dates run from this date</t>
  </si>
  <si>
    <t xml:space="preserve">Tracking as-of date</t>
  </si>
  <si>
    <t xml:space="preserve">Used to compute days to due and overdue flags</t>
  </si>
  <si>
    <t xml:space="preserve">Testing period start</t>
  </si>
  <si>
    <t xml:space="preserve">Testing period end</t>
  </si>
  <si>
    <t xml:space="preserve">MATERIALITY (linked to Project 1)</t>
  </si>
  <si>
    <t xml:space="preserve">Net sales FY2025 (PHP '000)</t>
  </si>
  <si>
    <t xml:space="preserve">From the Project 1 income statement</t>
  </si>
  <si>
    <t xml:space="preserve">Materiality (% of net sales)</t>
  </si>
  <si>
    <t xml:space="preserve">Overall materiality (PHP '000)</t>
  </si>
  <si>
    <t xml:space="preserve">Significant-deficiency floor (% of materiality)</t>
  </si>
  <si>
    <t xml:space="preserve">Clearly trivial (% of materiality)</t>
  </si>
  <si>
    <t xml:space="preserve">TESTING AND RATING THRESHOLDS</t>
  </si>
  <si>
    <t xml:space="preserve">Tolerable deviation rate - standard-risk controls</t>
  </si>
  <si>
    <t xml:space="preserve">Applies when the sample is larger than 5</t>
  </si>
  <si>
    <t xml:space="preserve">Tolerable deviation rate - elevated-risk controls</t>
  </si>
  <si>
    <t xml:space="preserve">Elevated-risk threshold (inherent score at least)</t>
  </si>
  <si>
    <t xml:space="preserve">Likelihood x impact on a 5 x 5 scale</t>
  </si>
  <si>
    <t xml:space="preserve">High risk rating (score at least)</t>
  </si>
  <si>
    <t xml:space="preserve">Medium risk rating (score at least)</t>
  </si>
  <si>
    <t xml:space="preserve">REMEDIATION</t>
  </si>
  <si>
    <t xml:space="preserve">Working days to remediate: material weakness</t>
  </si>
  <si>
    <t xml:space="preserve">Working days to remediate: significant deficiency</t>
  </si>
  <si>
    <t xml:space="preserve">Working days to remediate: control deficiency</t>
  </si>
  <si>
    <t xml:space="preserve">Due-soon window (working days)</t>
  </si>
  <si>
    <t xml:space="preserve">CONTROL RATING TO RISK-REDUCTION FACTOR</t>
  </si>
  <si>
    <t xml:space="preserve">Overall control rating</t>
  </si>
  <si>
    <t xml:space="preserve">Effective with exceptions</t>
  </si>
  <si>
    <t xml:space="preserve">PUBLIC HOLIDAYS USED BY WORKDAY / NETWORKDAYS (verify against official proclamations)</t>
  </si>
  <si>
    <t xml:space="preserve">Chart Data</t>
  </si>
  <si>
    <t xml:space="preserve">Sampaguita Foods &amp; Distribution Corporation (SFDC)  |  PHP in thousands  |  Order-to-cash (sales cycle)  |  Helper tables - all formulas</t>
  </si>
  <si>
    <t xml:space="preserve">Control ratings</t>
  </si>
  <si>
    <t xml:space="preserve">Deficiency classification</t>
  </si>
  <si>
    <t xml:space="preserve">Findings</t>
  </si>
  <si>
    <t xml:space="preserve">Material weakness</t>
  </si>
  <si>
    <t xml:space="preserve">Significant deficiency</t>
  </si>
  <si>
    <t xml:space="preserve">Control deficiency</t>
  </si>
  <si>
    <t xml:space="preserve">Controls by process step and rating</t>
  </si>
  <si>
    <t xml:space="preserve">Inherent vs residual risk</t>
  </si>
  <si>
    <t xml:space="preserve">Remediation status</t>
  </si>
  <si>
    <t xml:space="preserve">Lists</t>
  </si>
  <si>
    <t xml:space="preserve">Design</t>
  </si>
  <si>
    <t xml:space="preserve">Control type</t>
  </si>
  <si>
    <t xml:space="preserve">Key control</t>
  </si>
  <si>
    <t xml:space="preserve">Yes / No</t>
  </si>
  <si>
    <t xml:space="preserve">Model Integrity Checks</t>
  </si>
  <si>
    <t xml:space="preserve">Overall status</t>
  </si>
  <si>
    <t xml:space="preserve">Check (difference should be zero)</t>
  </si>
  <si>
    <t xml:space="preserve">Difference</t>
  </si>
  <si>
    <t xml:space="preserve">What it proves</t>
  </si>
  <si>
    <t xml:space="preserve">Every control maps to a risk in the register</t>
  </si>
  <si>
    <t xml:space="preserve">No orphan controls</t>
  </si>
  <si>
    <t xml:space="preserve">Every risk has at least one control</t>
  </si>
  <si>
    <t xml:space="preserve">No unmitigated risks in the register</t>
  </si>
  <si>
    <t xml:space="preserve">Sample sizes do not exceed populations</t>
  </si>
  <si>
    <t xml:space="preserve">Sampling rules respected</t>
  </si>
  <si>
    <t xml:space="preserve">Exceptions do not exceed sample sizes</t>
  </si>
  <si>
    <t xml:space="preserve">Test data are coherent</t>
  </si>
  <si>
    <t xml:space="preserve">Rating counts equal number of controls</t>
  </si>
  <si>
    <t xml:space="preserve">Every control has exactly one overall rating</t>
  </si>
  <si>
    <t xml:space="preserve">Classification counts equal number of findings</t>
  </si>
  <si>
    <t xml:space="preserve">Every finding is classified</t>
  </si>
  <si>
    <t xml:space="preserve">Process-step control counts equal total controls</t>
  </si>
  <si>
    <t xml:space="preserve">Every control sits in a process step</t>
  </si>
  <si>
    <t xml:space="preserve">Process-step risk counts equal total risks</t>
  </si>
  <si>
    <t xml:space="preserve">Every risk sits in a process step</t>
  </si>
  <si>
    <t xml:space="preserve">Likelihood and impact scores are within 1 to 5</t>
  </si>
  <si>
    <t xml:space="preserve">Scoring scale respected</t>
  </si>
  <si>
    <t xml:space="preserve">Residual risk never exceeds inherent risk</t>
  </si>
  <si>
    <t xml:space="preserve">Controls cannot increase risk</t>
  </si>
  <si>
    <t xml:space="preserve">Remediation due dates fall on working days</t>
  </si>
  <si>
    <t xml:space="preserve">WORKDAY logic respected</t>
  </si>
  <si>
    <t xml:space="preserve">Remediation status counts equal number of findings</t>
  </si>
  <si>
    <t xml:space="preserve">Every finding has a valid status</t>
  </si>
  <si>
    <t xml:space="preserve">Materiality equals net sales x materiality %</t>
  </si>
  <si>
    <t xml:space="preserve">Materiality computed from Project 1 net sales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</si>
</sst>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%"/>
    <numFmt numFmtId="167" formatCode="@"/>
    <numFmt numFmtId="168" formatCode="0.0"/>
    <numFmt numFmtId="169" formatCode="0.000000"/>
    <numFmt numFmtId="170" formatCode="#,##0"/>
    <numFmt numFmtId="171" formatCode="0.0%"/>
    <numFmt numFmtId="172" formatCode="#,##0;\(#,##0\);\-"/>
    <numFmt numFmtId="173" formatCode="dd\-mmm\-yy"/>
    <numFmt numFmtId="174" formatCode="0;;&quot;&quot;"/>
    <numFmt numFmtId="175" formatCode="dd\-mmm\-yyyy"/>
    <numFmt numFmtId="176" formatCode="0.00%"/>
    <numFmt numFmtId="177" formatCode="#,##0.00;\(#,##0.00\);\-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A227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sz val="13"/>
      <color rgb="FFFFFFFF"/>
      <name val="Arial"/>
      <family val="0"/>
      <charset val="1"/>
    </font>
    <font>
      <sz val="10"/>
      <color rgb="FFD5DEEA"/>
      <name val="Arial"/>
      <family val="0"/>
      <charset val="1"/>
    </font>
    <font>
      <sz val="9"/>
      <color rgb="FFD5DEE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b val="true"/>
      <sz val="16"/>
      <color rgb="FF0B1F3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7"/>
      <color rgb="FF595959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F3A"/>
        <bgColor rgb="FF000000"/>
      </patternFill>
    </fill>
    <fill>
      <patternFill patternType="solid">
        <fgColor rgb="FFC9A227"/>
        <bgColor rgb="FFFFC000"/>
      </patternFill>
    </fill>
    <fill>
      <patternFill patternType="solid">
        <fgColor rgb="FFD5DEEA"/>
        <bgColor rgb="FFD9D9D9"/>
      </patternFill>
    </fill>
    <fill>
      <patternFill patternType="solid">
        <fgColor rgb="FFEEF2F7"/>
        <bgColor rgb="FFDDEBF7"/>
      </patternFill>
    </fill>
    <fill>
      <patternFill patternType="solid">
        <fgColor rgb="FFFFF4CC"/>
        <bgColor rgb="FFFCE4C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7C2D0"/>
      </left>
      <right style="thin">
        <color rgb="FFB7C2D0"/>
      </right>
      <top style="thin">
        <color rgb="FFB7C2D0"/>
      </top>
      <bottom/>
      <diagonal/>
    </border>
    <border diagonalUp="false" diagonalDown="false">
      <left style="thin">
        <color rgb="FFB7C2D0"/>
      </left>
      <right style="thin">
        <color rgb="FFB7C2D0"/>
      </right>
      <top/>
      <bottom/>
      <diagonal/>
    </border>
    <border diagonalUp="false" diagonalDown="false">
      <left style="thin">
        <color rgb="FFB7C2D0"/>
      </left>
      <right style="thin">
        <color rgb="FFB7C2D0"/>
      </right>
      <top/>
      <bottom style="thin">
        <color rgb="FFB7C2D0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75" fontId="2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2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3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8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7F4B00"/>
      </font>
      <fill>
        <patternFill>
          <bgColor rgb="FFFCE4C4"/>
        </patternFill>
      </fill>
    </dxf>
    <dxf>
      <font>
        <b val="1"/>
        <color rgb="FF006100"/>
      </font>
    </dxf>
    <dxf>
      <font>
        <b val="1"/>
        <color rgb="FFC00000"/>
      </font>
    </dxf>
    <dxf>
      <font>
        <b val="1"/>
        <color rgb="FF9C6500"/>
      </font>
    </dxf>
    <dxf>
      <font>
        <b val="1"/>
        <color rgb="FF7F60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1F4E79"/>
      </font>
      <fill>
        <patternFill>
          <bgColor rgb="FFDDEBF7"/>
        </patternFill>
      </fill>
    </dxf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7C2D0"/>
      <rgbColor rgb="FF878787"/>
      <rgbColor rgb="FFEEF2F7"/>
      <rgbColor rgb="FF9C6500"/>
      <rgbColor rgb="FFFFF4CC"/>
      <rgbColor rgb="FFDDEBF7"/>
      <rgbColor rgb="FF660066"/>
      <rgbColor rgb="FFFF8080"/>
      <rgbColor rgb="FF0563C1"/>
      <rgbColor rgb="FFD5DEEA"/>
      <rgbColor rgb="FF000080"/>
      <rgbColor rgb="FFFF00FF"/>
      <rgbColor rgb="FFFCE4C4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C6E0B4"/>
      <rgbColor rgb="FFF4B6B6"/>
      <rgbColor rgb="FFD9D9D9"/>
      <rgbColor rgb="FFFFC7CE"/>
      <rgbColor rgb="FF4F81BD"/>
      <rgbColor rgb="FF33CCCC"/>
      <rgbColor rgb="FFA9D08E"/>
      <rgbColor rgb="FFFFC000"/>
      <rgbColor rgb="FFC9A227"/>
      <rgbColor rgb="FFFF6600"/>
      <rgbColor rgb="FF595959"/>
      <rgbColor rgb="FF8C9BB0"/>
      <rgbColor rgb="FF0B1F3A"/>
      <rgbColor rgb="FF70AD47"/>
      <rgbColor rgb="FF006100"/>
      <rgbColor rgb="FF333300"/>
      <rgbColor rgb="FF7F4B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 ratings (24 controls)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Chart_Data!C5</c:f>
              <c:strCache>
                <c:ptCount val="1"/>
                <c:pt idx="0">
                  <c:v>Controls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9d08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Chart_Data!$B$6:$B$9</c:f>
              <c:strCache>
                <c:ptCount val="4"/>
                <c:pt idx="0">
                  <c:v>Effective</c:v>
                </c:pt>
                <c:pt idx="1">
                  <c:v>Effective with exceptions</c:v>
                </c:pt>
                <c:pt idx="2">
                  <c:v>Needs improvement</c:v>
                </c:pt>
                <c:pt idx="3">
                  <c:v>Ineffective</c:v>
                </c:pt>
              </c:strCache>
            </c:strRef>
          </c:cat>
          <c:val>
            <c:numRef>
              <c:f>Chart_Data!$C$6:$C$9</c:f>
              <c:numCache>
                <c:formatCode>0</c:formatCode>
                <c:ptCount val="4"/>
                <c:pt idx="0">
                  <c:v>12</c:v>
                </c:pt>
                <c:pt idx="1">
                  <c:v>3</c:v>
                </c:pt>
                <c:pt idx="2">
                  <c:v>1</c:v>
                </c:pt>
                <c:pt idx="3">
                  <c:v>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Findings by classification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Chart_Data!C11</c:f>
              <c:strCache>
                <c:ptCount val="1"/>
                <c:pt idx="0">
                  <c:v>Findings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Chart_Data!$B$12:$B$14</c:f>
              <c:strCache>
                <c:ptCount val="3"/>
                <c:pt idx="0">
                  <c:v>Material weakness</c:v>
                </c:pt>
                <c:pt idx="1">
                  <c:v>Significant deficiency</c:v>
                </c:pt>
                <c:pt idx="2">
                  <c:v>Control deficiency</c:v>
                </c:pt>
              </c:strCache>
            </c:strRef>
          </c:cat>
          <c:val>
            <c:numRef>
              <c:f>Chart_Data!$C$12:$C$14</c:f>
              <c:numCache>
                <c:formatCode>0</c:formatCode>
                <c:ptCount val="3"/>
                <c:pt idx="0">
                  <c:v>1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83334879"/>
        <c:axId val="78741213"/>
      </c:barChart>
      <c:catAx>
        <c:axId val="8333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41213"/>
        <c:crosses val="autoZero"/>
        <c:auto val="1"/>
        <c:lblAlgn val="ctr"/>
        <c:lblOffset val="100"/>
        <c:noMultiLvlLbl val="0"/>
      </c:catAx>
      <c:valAx>
        <c:axId val="78741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348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Controls by process step and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Chart_Data!C16</c:f>
              <c:strCache>
                <c:ptCount val="1"/>
                <c:pt idx="0">
                  <c:v>Effective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Chart_Data!$B$17:$B$25</c:f>
              <c:strCache>
                <c:ptCount val="9"/>
                <c:pt idx="0">
                  <c:v>P1 Customer onboarding and credit approval</c:v>
                </c:pt>
                <c:pt idx="1">
                  <c:v>P2 Master data and pricing maintenance</c:v>
                </c:pt>
                <c:pt idx="2">
                  <c:v>P3 Sales order entry</c:v>
                </c:pt>
                <c:pt idx="3">
                  <c:v>P4 Credit check and order release</c:v>
                </c:pt>
                <c:pt idx="4">
                  <c:v>P5 Picking, packing and dispatch</c:v>
                </c:pt>
                <c:pt idx="5">
                  <c:v>P6 Delivery and proof of delivery</c:v>
                </c:pt>
                <c:pt idx="6">
                  <c:v>P7 Invoicing and VAT</c:v>
                </c:pt>
                <c:pt idx="7">
                  <c:v>P8 Collection and cash application</c:v>
                </c:pt>
                <c:pt idx="8">
                  <c:v>P9 Credit notes, returns and receivables monitoring</c:v>
                </c:pt>
              </c:strCache>
            </c:strRef>
          </c:cat>
          <c:val>
            <c:numRef>
              <c:f>Chart_Data!$C$17:$C$25</c:f>
              <c:numCache>
                <c:formatCode>0;;""</c:formatCode>
                <c:ptCount val="9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3</c:v>
                </c:pt>
              </c:numCache>
            </c:numRef>
          </c:val>
        </c:ser>
        <c:ser>
          <c:idx val="1"/>
          <c:order val="1"/>
          <c:tx>
            <c:strRef>
              <c:f>Chart_Data!D16</c:f>
              <c:strCache>
                <c:ptCount val="1"/>
                <c:pt idx="0">
                  <c:v>Effective with exceptions</c:v>
                </c:pt>
              </c:strCache>
            </c:strRef>
          </c:tx>
          <c:spPr>
            <a:solidFill>
              <a:srgbClr val="a9d0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Chart_Data!$B$17:$B$25</c:f>
              <c:strCache>
                <c:ptCount val="9"/>
                <c:pt idx="0">
                  <c:v>P1 Customer onboarding and credit approval</c:v>
                </c:pt>
                <c:pt idx="1">
                  <c:v>P2 Master data and pricing maintenance</c:v>
                </c:pt>
                <c:pt idx="2">
                  <c:v>P3 Sales order entry</c:v>
                </c:pt>
                <c:pt idx="3">
                  <c:v>P4 Credit check and order release</c:v>
                </c:pt>
                <c:pt idx="4">
                  <c:v>P5 Picking, packing and dispatch</c:v>
                </c:pt>
                <c:pt idx="5">
                  <c:v>P6 Delivery and proof of delivery</c:v>
                </c:pt>
                <c:pt idx="6">
                  <c:v>P7 Invoicing and VAT</c:v>
                </c:pt>
                <c:pt idx="7">
                  <c:v>P8 Collection and cash application</c:v>
                </c:pt>
                <c:pt idx="8">
                  <c:v>P9 Credit notes, returns and receivables monitoring</c:v>
                </c:pt>
              </c:strCache>
            </c:strRef>
          </c:cat>
          <c:val>
            <c:numRef>
              <c:f>Chart_Data!$D$17:$D$25</c:f>
              <c:numCache>
                <c:formatCode>0;;""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Chart_Data!E16</c:f>
              <c:strCache>
                <c:ptCount val="1"/>
                <c:pt idx="0">
                  <c:v>Needs improvement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Chart_Data!$B$17:$B$25</c:f>
              <c:strCache>
                <c:ptCount val="9"/>
                <c:pt idx="0">
                  <c:v>P1 Customer onboarding and credit approval</c:v>
                </c:pt>
                <c:pt idx="1">
                  <c:v>P2 Master data and pricing maintenance</c:v>
                </c:pt>
                <c:pt idx="2">
                  <c:v>P3 Sales order entry</c:v>
                </c:pt>
                <c:pt idx="3">
                  <c:v>P4 Credit check and order release</c:v>
                </c:pt>
                <c:pt idx="4">
                  <c:v>P5 Picking, packing and dispatch</c:v>
                </c:pt>
                <c:pt idx="5">
                  <c:v>P6 Delivery and proof of delivery</c:v>
                </c:pt>
                <c:pt idx="6">
                  <c:v>P7 Invoicing and VAT</c:v>
                </c:pt>
                <c:pt idx="7">
                  <c:v>P8 Collection and cash application</c:v>
                </c:pt>
                <c:pt idx="8">
                  <c:v>P9 Credit notes, returns and receivables monitoring</c:v>
                </c:pt>
              </c:strCache>
            </c:strRef>
          </c:cat>
          <c:val>
            <c:numRef>
              <c:f>Chart_Data!$E$17:$E$25</c:f>
              <c:numCache>
                <c:formatCode>0;;""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Chart_Data!F16</c:f>
              <c:strCache>
                <c:ptCount val="1"/>
                <c:pt idx="0">
                  <c:v>Ineffective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Chart_Data!$B$17:$B$25</c:f>
              <c:strCache>
                <c:ptCount val="9"/>
                <c:pt idx="0">
                  <c:v>P1 Customer onboarding and credit approval</c:v>
                </c:pt>
                <c:pt idx="1">
                  <c:v>P2 Master data and pricing maintenance</c:v>
                </c:pt>
                <c:pt idx="2">
                  <c:v>P3 Sales order entry</c:v>
                </c:pt>
                <c:pt idx="3">
                  <c:v>P4 Credit check and order release</c:v>
                </c:pt>
                <c:pt idx="4">
                  <c:v>P5 Picking, packing and dispatch</c:v>
                </c:pt>
                <c:pt idx="5">
                  <c:v>P6 Delivery and proof of delivery</c:v>
                </c:pt>
                <c:pt idx="6">
                  <c:v>P7 Invoicing and VAT</c:v>
                </c:pt>
                <c:pt idx="7">
                  <c:v>P8 Collection and cash application</c:v>
                </c:pt>
                <c:pt idx="8">
                  <c:v>P9 Credit notes, returns and receivables monitoring</c:v>
                </c:pt>
              </c:strCache>
            </c:strRef>
          </c:cat>
          <c:val>
            <c:numRef>
              <c:f>Chart_Data!$F$17:$F$25</c:f>
              <c:numCache>
                <c:formatCode>0;;""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</c:ser>
        <c:gapWidth val="150"/>
        <c:overlap val="100"/>
        <c:axId val="65329400"/>
        <c:axId val="39250735"/>
      </c:barChart>
      <c:catAx>
        <c:axId val="6532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50735"/>
        <c:crosses val="autoZero"/>
        <c:auto val="1"/>
        <c:lblAlgn val="ctr"/>
        <c:lblOffset val="100"/>
        <c:noMultiLvlLbl val="0"/>
      </c:catAx>
      <c:valAx>
        <c:axId val="39250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294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Inherent vs residual risk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Chart_Data!C28</c:f>
              <c:strCache>
                <c:ptCount val="1"/>
                <c:pt idx="0">
                  <c:v>Inherent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Chart_Data!$B$29:$B$44</c:f>
              <c:strCache>
                <c:ptCount val="16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R15</c:v>
                </c:pt>
                <c:pt idx="15">
                  <c:v>R16</c:v>
                </c:pt>
              </c:strCache>
            </c:strRef>
          </c:cat>
          <c:val>
            <c:numRef>
              <c:f>Chart_Data!$C$29:$C$44</c:f>
              <c:numCache>
                <c:formatCode>0.0</c:formatCode>
                <c:ptCount val="16"/>
                <c:pt idx="0">
                  <c:v>12</c:v>
                </c:pt>
                <c:pt idx="1">
                  <c:v>8</c:v>
                </c:pt>
                <c:pt idx="2">
                  <c:v>9</c:v>
                </c:pt>
                <c:pt idx="3">
                  <c:v>16</c:v>
                </c:pt>
                <c:pt idx="4">
                  <c:v>9</c:v>
                </c:pt>
                <c:pt idx="5">
                  <c:v>10</c:v>
                </c:pt>
                <c:pt idx="6">
                  <c:v>12</c:v>
                </c:pt>
                <c:pt idx="7">
                  <c:v>20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15</c:v>
                </c:pt>
                <c:pt idx="12">
                  <c:v>12</c:v>
                </c:pt>
                <c:pt idx="13">
                  <c:v>16</c:v>
                </c:pt>
                <c:pt idx="14">
                  <c:v>12</c:v>
                </c:pt>
                <c:pt idx="15">
                  <c:v>9</c:v>
                </c:pt>
              </c:numCache>
            </c:numRef>
          </c:val>
        </c:ser>
        <c:ser>
          <c:idx val="1"/>
          <c:order val="1"/>
          <c:tx>
            <c:strRef>
              <c:f>Chart_Data!D28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Chart_Data!$B$29:$B$44</c:f>
              <c:strCache>
                <c:ptCount val="16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  <c:pt idx="11">
                  <c:v>R12</c:v>
                </c:pt>
                <c:pt idx="12">
                  <c:v>R13</c:v>
                </c:pt>
                <c:pt idx="13">
                  <c:v>R14</c:v>
                </c:pt>
                <c:pt idx="14">
                  <c:v>R15</c:v>
                </c:pt>
                <c:pt idx="15">
                  <c:v>R16</c:v>
                </c:pt>
              </c:strCache>
            </c:strRef>
          </c:cat>
          <c:val>
            <c:numRef>
              <c:f>Chart_Data!$D$29:$D$44</c:f>
              <c:numCache>
                <c:formatCode>0.0</c:formatCode>
                <c:ptCount val="16"/>
                <c:pt idx="0">
                  <c:v>7.8</c:v>
                </c:pt>
                <c:pt idx="1">
                  <c:v>5.6</c:v>
                </c:pt>
                <c:pt idx="2">
                  <c:v>4.5</c:v>
                </c:pt>
                <c:pt idx="3">
                  <c:v>12.2666666666667</c:v>
                </c:pt>
                <c:pt idx="4">
                  <c:v>5.85</c:v>
                </c:pt>
                <c:pt idx="5">
                  <c:v>6.5</c:v>
                </c:pt>
                <c:pt idx="6">
                  <c:v>6</c:v>
                </c:pt>
                <c:pt idx="7">
                  <c:v>18</c:v>
                </c:pt>
                <c:pt idx="8">
                  <c:v>10.8</c:v>
                </c:pt>
                <c:pt idx="9">
                  <c:v>6</c:v>
                </c:pt>
                <c:pt idx="10">
                  <c:v>4</c:v>
                </c:pt>
                <c:pt idx="11">
                  <c:v>12.75</c:v>
                </c:pt>
                <c:pt idx="12">
                  <c:v>10.8</c:v>
                </c:pt>
                <c:pt idx="13">
                  <c:v>14.4</c:v>
                </c:pt>
                <c:pt idx="14">
                  <c:v>6</c:v>
                </c:pt>
                <c:pt idx="15">
                  <c:v>4.5</c:v>
                </c:pt>
              </c:numCache>
            </c:numRef>
          </c:val>
        </c:ser>
        <c:gapWidth val="150"/>
        <c:overlap val="0"/>
        <c:axId val="112571"/>
        <c:axId val="48341903"/>
      </c:barChart>
      <c:catAx>
        <c:axId val="112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41903"/>
        <c:crosses val="autoZero"/>
        <c:auto val="1"/>
        <c:lblAlgn val="ctr"/>
        <c:lblOffset val="100"/>
        <c:noMultiLvlLbl val="0"/>
      </c:catAx>
      <c:valAx>
        <c:axId val="48341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5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Remediation status of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Chart_Data!C47</c:f>
              <c:strCache>
                <c:ptCount val="1"/>
                <c:pt idx="0">
                  <c:v>Findings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Chart_Data!$B$48:$B$50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Closed</c:v>
                </c:pt>
              </c:strCache>
            </c:strRef>
          </c:cat>
          <c:val>
            <c:numRef>
              <c:f>Chart_Data!$C$48:$C$50</c:f>
              <c:numCache>
                <c:formatCode>0</c:formatCode>
                <c:ptCount val="3"/>
                <c:pt idx="0">
                  <c:v>4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20185727"/>
        <c:axId val="36351577"/>
      </c:barChart>
      <c:catAx>
        <c:axId val="2018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51577"/>
        <c:crosses val="autoZero"/>
        <c:auto val="1"/>
        <c:lblAlgn val="ctr"/>
        <c:lblOffset val="100"/>
        <c:noMultiLvlLbl val="0"/>
      </c:catAx>
      <c:valAx>
        <c:axId val="36351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857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7</xdr:col>
      <xdr:colOff>82080</xdr:colOff>
      <xdr:row>28</xdr:row>
      <xdr:rowOff>140760</xdr:rowOff>
    </xdr:to>
    <xdr:graphicFrame>
      <xdr:nvGraphicFramePr>
        <xdr:cNvPr id="0" name="Chart 1"/>
        <xdr:cNvGraphicFramePr/>
      </xdr:nvGraphicFramePr>
      <xdr:xfrm>
        <a:off x="141120" y="329580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13</xdr:col>
      <xdr:colOff>81720</xdr:colOff>
      <xdr:row>28</xdr:row>
      <xdr:rowOff>140760</xdr:rowOff>
    </xdr:to>
    <xdr:graphicFrame>
      <xdr:nvGraphicFramePr>
        <xdr:cNvPr id="1" name="Chart 2"/>
        <xdr:cNvGraphicFramePr/>
      </xdr:nvGraphicFramePr>
      <xdr:xfrm>
        <a:off x="5638680" y="329580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82080</xdr:colOff>
      <xdr:row>47</xdr:row>
      <xdr:rowOff>181080</xdr:rowOff>
    </xdr:to>
    <xdr:graphicFrame>
      <xdr:nvGraphicFramePr>
        <xdr:cNvPr id="2" name="Chart 3"/>
        <xdr:cNvGraphicFramePr/>
      </xdr:nvGraphicFramePr>
      <xdr:xfrm>
        <a:off x="141120" y="6343560"/>
        <a:ext cx="55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13</xdr:col>
      <xdr:colOff>81720</xdr:colOff>
      <xdr:row>47</xdr:row>
      <xdr:rowOff>181080</xdr:rowOff>
    </xdr:to>
    <xdr:graphicFrame>
      <xdr:nvGraphicFramePr>
        <xdr:cNvPr id="3" name="Chart 4"/>
        <xdr:cNvGraphicFramePr/>
      </xdr:nvGraphicFramePr>
      <xdr:xfrm>
        <a:off x="5638680" y="6343560"/>
        <a:ext cx="55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7</xdr:col>
      <xdr:colOff>82080</xdr:colOff>
      <xdr:row>64</xdr:row>
      <xdr:rowOff>140760</xdr:rowOff>
    </xdr:to>
    <xdr:graphicFrame>
      <xdr:nvGraphicFramePr>
        <xdr:cNvPr id="4" name="Chart 5"/>
        <xdr:cNvGraphicFramePr/>
      </xdr:nvGraphicFramePr>
      <xdr:xfrm>
        <a:off x="141120" y="10153800"/>
        <a:ext cx="557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62"/>
  </cols>
  <sheetData>
    <row r="1" customFormat="false" ht="15" hidden="false" customHeight="false" outlineLevel="0" collapsed="false">
      <c r="B1" s="1"/>
      <c r="C1" s="1"/>
      <c r="D1" s="1"/>
      <c r="E1" s="1"/>
      <c r="F1" s="1"/>
    </row>
    <row r="2" customFormat="false" ht="15" hidden="false" customHeight="false" outlineLevel="0" collapsed="false">
      <c r="B2" s="2" t="s">
        <v>0</v>
      </c>
      <c r="C2" s="1"/>
      <c r="D2" s="1"/>
      <c r="E2" s="1"/>
      <c r="F2" s="1"/>
    </row>
    <row r="3" customFormat="false" ht="36" hidden="false" customHeight="true" outlineLevel="0" collapsed="false">
      <c r="B3" s="3" t="s">
        <v>1</v>
      </c>
      <c r="C3" s="1"/>
      <c r="D3" s="1"/>
      <c r="E3" s="1"/>
      <c r="F3" s="1"/>
    </row>
    <row r="4" customFormat="false" ht="16.15" hidden="false" customHeight="false" outlineLevel="0" collapsed="false">
      <c r="B4" s="4" t="s">
        <v>2</v>
      </c>
      <c r="C4" s="1"/>
      <c r="D4" s="1"/>
      <c r="E4" s="1"/>
      <c r="F4" s="1"/>
    </row>
    <row r="5" customFormat="false" ht="15" hidden="false" customHeight="false" outlineLevel="0" collapsed="false">
      <c r="B5" s="5" t="s">
        <v>3</v>
      </c>
      <c r="C5" s="1"/>
      <c r="D5" s="1"/>
      <c r="E5" s="1"/>
      <c r="F5" s="1"/>
    </row>
    <row r="6" customFormat="false" ht="15" hidden="false" customHeight="false" outlineLevel="0" collapsed="false">
      <c r="B6" s="1"/>
      <c r="C6" s="1"/>
      <c r="D6" s="1"/>
      <c r="E6" s="1"/>
      <c r="F6" s="1"/>
    </row>
    <row r="7" customFormat="false" ht="15" hidden="false" customHeight="false" outlineLevel="0" collapsed="false">
      <c r="B7" s="6" t="s">
        <v>4</v>
      </c>
      <c r="C7" s="1"/>
      <c r="D7" s="1"/>
      <c r="E7" s="1"/>
      <c r="F7" s="1"/>
    </row>
    <row r="8" customFormat="false" ht="15" hidden="false" customHeight="false" outlineLevel="0" collapsed="false">
      <c r="B8" s="7"/>
      <c r="C8" s="7"/>
      <c r="D8" s="7"/>
      <c r="E8" s="7"/>
      <c r="F8" s="7"/>
    </row>
    <row r="10" customFormat="false" ht="15" hidden="false" customHeight="false" outlineLevel="0" collapsed="false">
      <c r="B10" s="8" t="s">
        <v>5</v>
      </c>
      <c r="C10" s="9" t="str">
        <f aca="false">Model_Status</f>
        <v>✔ All 13 integrity checks passed</v>
      </c>
      <c r="D10" s="9"/>
      <c r="E10" s="9"/>
      <c r="F10" s="9"/>
    </row>
    <row r="11" customFormat="false" ht="42" hidden="false" customHeight="true" outlineLevel="0" collapsed="false">
      <c r="B11" s="8" t="s">
        <v>6</v>
      </c>
      <c r="C11" s="10" t="s">
        <v>7</v>
      </c>
      <c r="D11" s="10"/>
      <c r="E11" s="10"/>
      <c r="F11" s="10"/>
    </row>
    <row r="12" customFormat="false" ht="30" hidden="false" customHeight="true" outlineLevel="0" collapsed="false">
      <c r="B12" s="8" t="s">
        <v>8</v>
      </c>
      <c r="C12" s="11" t="s">
        <v>9</v>
      </c>
      <c r="D12" s="11"/>
      <c r="E12" s="11"/>
      <c r="F12" s="11"/>
    </row>
    <row r="14" customFormat="false" ht="15" hidden="false" customHeight="false" outlineLevel="0" collapsed="false">
      <c r="B14" s="12" t="s">
        <v>10</v>
      </c>
      <c r="C14" s="13"/>
      <c r="D14" s="13"/>
      <c r="E14" s="13"/>
      <c r="F14" s="13"/>
    </row>
    <row r="15" customFormat="false" ht="15" hidden="false" customHeight="false" outlineLevel="0" collapsed="false">
      <c r="B15" s="14" t="s">
        <v>11</v>
      </c>
    </row>
    <row r="16" customFormat="false" ht="19.5" hidden="false" customHeight="true" outlineLevel="0" collapsed="false">
      <c r="B16" s="15" t="str">
        <f aca="false">HYPERLINK("#Dashboard!A1","Dashboard")</f>
        <v>Dashboard</v>
      </c>
      <c r="C16" s="16" t="s">
        <v>12</v>
      </c>
    </row>
    <row r="18" customFormat="false" ht="15" hidden="false" customHeight="false" outlineLevel="0" collapsed="false">
      <c r="B18" s="14" t="s">
        <v>13</v>
      </c>
    </row>
    <row r="19" customFormat="false" ht="19.5" hidden="false" customHeight="true" outlineLevel="0" collapsed="false">
      <c r="B19" s="15" t="str">
        <f aca="false">HYPERLINK("#Process_Steps!A1","Process Steps")</f>
        <v>Process Steps</v>
      </c>
      <c r="C19" s="16" t="s">
        <v>14</v>
      </c>
    </row>
    <row r="20" customFormat="false" ht="19.5" hidden="false" customHeight="true" outlineLevel="0" collapsed="false">
      <c r="B20" s="15" t="str">
        <f aca="false">HYPERLINK("#Risks!A1","Risks")</f>
        <v>Risks</v>
      </c>
      <c r="C20" s="16" t="s">
        <v>15</v>
      </c>
    </row>
    <row r="21" customFormat="false" ht="19.5" hidden="false" customHeight="true" outlineLevel="0" collapsed="false">
      <c r="B21" s="15" t="str">
        <f aca="false">HYPERLINK("#Controls!A1","Controls")</f>
        <v>Controls</v>
      </c>
      <c r="C21" s="16" t="s">
        <v>16</v>
      </c>
    </row>
    <row r="22" customFormat="false" ht="19.5" hidden="false" customHeight="true" outlineLevel="0" collapsed="false">
      <c r="B22" s="15" t="str">
        <f aca="false">HYPERLINK("#Findings!A1","Findings")</f>
        <v>Findings</v>
      </c>
      <c r="C22" s="16" t="s">
        <v>17</v>
      </c>
    </row>
    <row r="23" customFormat="false" ht="19.5" hidden="false" customHeight="true" outlineLevel="0" collapsed="false">
      <c r="B23" s="15" t="str">
        <f aca="false">HYPERLINK("#Heatmap!A1","Heatmap")</f>
        <v>Heatmap</v>
      </c>
      <c r="C23" s="16" t="s">
        <v>18</v>
      </c>
    </row>
    <row r="25" customFormat="false" ht="15" hidden="false" customHeight="false" outlineLevel="0" collapsed="false">
      <c r="B25" s="14" t="s">
        <v>19</v>
      </c>
    </row>
    <row r="26" customFormat="false" ht="19.5" hidden="false" customHeight="true" outlineLevel="0" collapsed="false">
      <c r="B26" s="15" t="str">
        <f aca="false">HYPERLINK("#Sampling_Guide!A1","Sampling Guide")</f>
        <v>Sampling Guide</v>
      </c>
      <c r="C26" s="16" t="s">
        <v>20</v>
      </c>
    </row>
    <row r="27" customFormat="false" ht="19.5" hidden="false" customHeight="true" outlineLevel="0" collapsed="false">
      <c r="B27" s="15" t="str">
        <f aca="false">HYPERLINK("#Inputs!A1","Inputs")</f>
        <v>Inputs</v>
      </c>
      <c r="C27" s="16" t="s">
        <v>21</v>
      </c>
    </row>
    <row r="28" customFormat="false" ht="19.5" hidden="false" customHeight="true" outlineLevel="0" collapsed="false">
      <c r="B28" s="15" t="str">
        <f aca="false">HYPERLINK("#Chart_Data!A1","Chart Data")</f>
        <v>Chart Data</v>
      </c>
      <c r="C28" s="16" t="s">
        <v>22</v>
      </c>
    </row>
    <row r="29" customFormat="false" ht="19.5" hidden="false" customHeight="true" outlineLevel="0" collapsed="false">
      <c r="B29" s="15" t="str">
        <f aca="false">HYPERLINK("#Lists!A1","Lists")</f>
        <v>Lists</v>
      </c>
      <c r="C29" s="16" t="s">
        <v>23</v>
      </c>
    </row>
    <row r="30" customFormat="false" ht="19.5" hidden="false" customHeight="true" outlineLevel="0" collapsed="false">
      <c r="B30" s="15" t="str">
        <f aca="false">HYPERLINK("#Checks!A1","Checks")</f>
        <v>Checks</v>
      </c>
      <c r="C30" s="16" t="s">
        <v>24</v>
      </c>
    </row>
    <row r="31" customFormat="false" ht="19.5" hidden="false" customHeight="true" outlineLevel="0" collapsed="false">
      <c r="B31" s="15" t="str">
        <f aca="false">HYPERLINK("#Documentation!A1","Documentation")</f>
        <v>Documentation</v>
      </c>
      <c r="C31" s="16" t="s">
        <v>25</v>
      </c>
    </row>
  </sheetData>
  <mergeCells count="3">
    <mergeCell ref="C10:F10"/>
    <mergeCell ref="C11:F11"/>
    <mergeCell ref="C12:F12"/>
  </mergeCells>
  <conditionalFormatting sqref="C10">
    <cfRule type="expression" priority="2" aboveAverage="0" equalAverage="0" bottom="0" percent="0" rank="0" text="" dxfId="0">
      <formula>LEFT(C10,1)="✔"</formula>
    </cfRule>
    <cfRule type="expression" priority="3" aboveAverage="0" equalAverage="0" bottom="0" percent="0" rank="0" text="" dxfId="1">
      <formula>LEFT(C10,1)="✖"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05"/>
  </cols>
  <sheetData>
    <row r="1" customFormat="false" ht="24" hidden="false" customHeight="true" outlineLevel="0" collapsed="false">
      <c r="B1" s="17" t="s">
        <v>26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12" t="s">
        <v>28</v>
      </c>
      <c r="C5" s="13"/>
    </row>
    <row r="6" customFormat="false" ht="25.5" hidden="false" customHeight="true" outlineLevel="0" collapsed="false">
      <c r="B6" s="20" t="s">
        <v>29</v>
      </c>
      <c r="C6" s="21" t="s">
        <v>30</v>
      </c>
    </row>
    <row r="7" customFormat="false" ht="25.5" hidden="false" customHeight="true" outlineLevel="0" collapsed="false">
      <c r="B7" s="20" t="s">
        <v>6</v>
      </c>
      <c r="C7" s="21" t="s">
        <v>31</v>
      </c>
    </row>
    <row r="8" customFormat="false" ht="25.5" hidden="false" customHeight="true" outlineLevel="0" collapsed="false">
      <c r="B8" s="20" t="s">
        <v>32</v>
      </c>
      <c r="C8" s="21" t="s">
        <v>33</v>
      </c>
    </row>
    <row r="10" customFormat="false" ht="15" hidden="false" customHeight="false" outlineLevel="0" collapsed="false">
      <c r="B10" s="12" t="s">
        <v>34</v>
      </c>
      <c r="C10" s="13"/>
    </row>
    <row r="11" customFormat="false" ht="25.5" hidden="false" customHeight="true" outlineLevel="0" collapsed="false">
      <c r="B11" s="20" t="s">
        <v>35</v>
      </c>
      <c r="C11" s="21" t="s">
        <v>36</v>
      </c>
    </row>
    <row r="12" customFormat="false" ht="25.5" hidden="false" customHeight="true" outlineLevel="0" collapsed="false">
      <c r="B12" s="20" t="s">
        <v>37</v>
      </c>
      <c r="C12" s="21" t="s">
        <v>38</v>
      </c>
    </row>
    <row r="13" customFormat="false" ht="25.5" hidden="false" customHeight="true" outlineLevel="0" collapsed="false">
      <c r="B13" s="20" t="s">
        <v>39</v>
      </c>
      <c r="C13" s="21" t="s">
        <v>40</v>
      </c>
    </row>
    <row r="14" customFormat="false" ht="25.5" hidden="false" customHeight="true" outlineLevel="0" collapsed="false">
      <c r="B14" s="20" t="s">
        <v>41</v>
      </c>
      <c r="C14" s="21" t="s">
        <v>42</v>
      </c>
    </row>
    <row r="16" customFormat="false" ht="15" hidden="false" customHeight="false" outlineLevel="0" collapsed="false">
      <c r="B16" s="12" t="s">
        <v>43</v>
      </c>
      <c r="C16" s="13"/>
    </row>
    <row r="17" customFormat="false" ht="15" hidden="false" customHeight="true" outlineLevel="0" collapsed="false">
      <c r="B17" s="20" t="s">
        <v>44</v>
      </c>
      <c r="C17" s="21" t="s">
        <v>45</v>
      </c>
    </row>
    <row r="18" customFormat="false" ht="15" hidden="false" customHeight="true" outlineLevel="0" collapsed="false">
      <c r="B18" s="20" t="s">
        <v>46</v>
      </c>
      <c r="C18" s="21" t="s">
        <v>47</v>
      </c>
    </row>
    <row r="19" customFormat="false" ht="15" hidden="false" customHeight="true" outlineLevel="0" collapsed="false">
      <c r="B19" s="20" t="s">
        <v>48</v>
      </c>
      <c r="C19" s="21" t="s">
        <v>49</v>
      </c>
    </row>
    <row r="21" customFormat="false" ht="15" hidden="false" customHeight="false" outlineLevel="0" collapsed="false">
      <c r="B21" s="12" t="s">
        <v>50</v>
      </c>
      <c r="C21" s="13"/>
    </row>
    <row r="22" customFormat="false" ht="15" hidden="false" customHeight="true" outlineLevel="0" collapsed="false">
      <c r="B22" s="20" t="s">
        <v>51</v>
      </c>
      <c r="C22" s="21" t="s">
        <v>52</v>
      </c>
    </row>
    <row r="23" customFormat="false" ht="15" hidden="false" customHeight="true" outlineLevel="0" collapsed="false">
      <c r="B23" s="20" t="s">
        <v>53</v>
      </c>
      <c r="C23" s="21" t="s">
        <v>54</v>
      </c>
    </row>
    <row r="24" customFormat="false" ht="25.5" hidden="false" customHeight="true" outlineLevel="0" collapsed="false">
      <c r="B24" s="20" t="s">
        <v>55</v>
      </c>
      <c r="C24" s="2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M7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</cols>
  <sheetData>
    <row r="1" customFormat="false" ht="24" hidden="false" customHeight="true" outlineLevel="0" collapsed="false">
      <c r="B1" s="17" t="s">
        <v>57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30" hidden="false" customHeight="true" outlineLevel="0" collapsed="false">
      <c r="B5" s="22" t="str">
        <f aca="false">IF(COUNTIF(Fnd_Class,"Material weakness")&gt;0,"✖ NOT EFFECTIVE - "&amp;COUNTIF(Fnd_Class,"Material weakness")&amp;" material weakness(es), "&amp;COUNTIF(Fnd_Class,"Significant deficiency")&amp;" significant deficiency(ies) and "&amp;COUNTIF(Fnd_Class,"Control deficiency")&amp;" control deficiency(ies) at "&amp;TEXT(Test_End,"d mmmm yyyy"),IF(COUNTIF(Fnd_Class,"Significant deficiency")&gt;0,"● NEEDS IMPROVEMENT - "&amp;COUNTIF(Fnd_Class,"Significant deficiency")&amp;" significant deficiency(ies) at "&amp;TEXT(Test_End,"d mmmm yyyy"),"✔ EFFECTIVE at "&amp;TEXT(Test_End,"d mmmm yyyy")))</f>
        <v>✖ NOT EFFECTIVE - 1 material weakness(es), 3 significant deficiency(ies) and 4 control deficiency(ies) at 30 September 2026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customFormat="false" ht="15" hidden="false" customHeight="false" outlineLevel="0" collapsed="false">
      <c r="B7" s="23" t="s">
        <v>58</v>
      </c>
      <c r="C7" s="23"/>
      <c r="D7" s="23"/>
      <c r="E7" s="23" t="s">
        <v>59</v>
      </c>
      <c r="F7" s="23"/>
      <c r="G7" s="23"/>
      <c r="H7" s="23" t="s">
        <v>60</v>
      </c>
      <c r="I7" s="23"/>
      <c r="J7" s="23"/>
      <c r="K7" s="23" t="s">
        <v>61</v>
      </c>
      <c r="L7" s="23"/>
      <c r="M7" s="23"/>
    </row>
    <row r="8" customFormat="false" ht="27.75" hidden="false" customHeight="true" outlineLevel="0" collapsed="false">
      <c r="B8" s="24" t="n">
        <f aca="false">COUNTA(Ctl_ID)</f>
        <v>24</v>
      </c>
      <c r="C8" s="24"/>
      <c r="D8" s="24"/>
      <c r="E8" s="25" t="n">
        <f aca="false">(COUNTIF(Ctl_Rating,"Effective")+COUNTIF(Ctl_Rating,"Effective with exceptions"))/COUNTA(Ctl_ID)</f>
        <v>0.625</v>
      </c>
      <c r="F8" s="25"/>
      <c r="G8" s="25"/>
      <c r="H8" s="24" t="n">
        <f aca="false">COUNTIF(Fnd_Class,"Material weakness")</f>
        <v>1</v>
      </c>
      <c r="I8" s="24"/>
      <c r="J8" s="24"/>
      <c r="K8" s="24" t="n">
        <f aca="false">COUNTIF(Fnd_Class,"Significant deficiency")</f>
        <v>3</v>
      </c>
      <c r="L8" s="24"/>
      <c r="M8" s="24"/>
    </row>
    <row r="9" customFormat="false" ht="15" hidden="false" customHeight="false" outlineLevel="0" collapsed="false">
      <c r="B9" s="26" t="str">
        <f aca="false">COUNTIF(Ctl_Key,"Y")&amp;" key controls | "&amp;COUNTIF(Controls!$H$6:$H$29,"Automated")&amp;" automated"</f>
        <v>16 key controls | 4 automated</v>
      </c>
      <c r="C9" s="26"/>
      <c r="D9" s="26"/>
      <c r="E9" s="26" t="str">
        <f aca="false">COUNTIF(Ctl_Rating,"Ineffective")&amp;" ineffective, "&amp;COUNTIF(Ctl_Rating,"Needs improvement")&amp;" need improvement"</f>
        <v>8 ineffective, 1 need improvement</v>
      </c>
      <c r="F9" s="26"/>
      <c r="G9" s="26"/>
      <c r="H9" s="26" t="str">
        <f aca="false">IF(H8&gt;0,"✖ Immediate attention","✔ None identified")</f>
        <v>✖ Immediate attention</v>
      </c>
      <c r="I9" s="26"/>
      <c r="J9" s="26"/>
      <c r="K9" s="26" t="str">
        <f aca="false">COUNTIF(Fnd_Class,"Control deficiency")&amp;" further control deficiencies"</f>
        <v>4 further control deficiencies</v>
      </c>
      <c r="L9" s="26"/>
      <c r="M9" s="26"/>
    </row>
    <row r="11" customFormat="false" ht="15" hidden="false" customHeight="false" outlineLevel="0" collapsed="false">
      <c r="B11" s="23" t="s">
        <v>62</v>
      </c>
      <c r="C11" s="23"/>
      <c r="D11" s="23"/>
      <c r="E11" s="23" t="s">
        <v>63</v>
      </c>
      <c r="F11" s="23"/>
      <c r="G11" s="23"/>
      <c r="H11" s="23" t="s">
        <v>64</v>
      </c>
      <c r="I11" s="23"/>
      <c r="J11" s="23"/>
      <c r="K11" s="23" t="s">
        <v>65</v>
      </c>
      <c r="L11" s="23"/>
      <c r="M11" s="23"/>
    </row>
    <row r="12" customFormat="false" ht="27.75" hidden="false" customHeight="true" outlineLevel="0" collapsed="false">
      <c r="B12" s="27" t="str">
        <f aca="false">INDEX(Risk_ID,MATCH(MAX(Risk_Key),Risk_Key,0))</f>
        <v>R08</v>
      </c>
      <c r="C12" s="27"/>
      <c r="D12" s="27"/>
      <c r="E12" s="24" t="n">
        <f aca="false">COUNTIF(Risks!$O$6:$O$21,"High")</f>
        <v>1</v>
      </c>
      <c r="F12" s="24"/>
      <c r="G12" s="24"/>
      <c r="H12" s="25" t="n">
        <f aca="false">COUNTIF(Fnd_Status,"Closed")/COUNTA(Fnd_ID)</f>
        <v>0.125</v>
      </c>
      <c r="I12" s="25"/>
      <c r="J12" s="25"/>
      <c r="K12" s="24" t="n">
        <f aca="false">SUMPRODUCT(--(LEFT(Fnd_Flag,1)="✖"))</f>
        <v>0</v>
      </c>
      <c r="L12" s="24"/>
      <c r="M12" s="24"/>
    </row>
    <row r="13" customFormat="false" ht="15" hidden="false" customHeight="false" outlineLevel="0" collapsed="false">
      <c r="B13" s="26" t="str">
        <f aca="false">"Residual score "&amp;TEXT(MAX(Risk_Res),"0.0")&amp;" of 25"</f>
        <v>Residual score 18.0 of 25</v>
      </c>
      <c r="C13" s="26"/>
      <c r="D13" s="26"/>
      <c r="E13" s="26" t="str">
        <f aca="false">"from "&amp;COUNTIF(Risks!$K$6:$K$21,"High")&amp;" high inherent risks"</f>
        <v>from 4 high inherent risks</v>
      </c>
      <c r="F13" s="26"/>
      <c r="G13" s="26"/>
      <c r="H13" s="26" t="str">
        <f aca="false">COUNTIF(Fnd_Status,"In progress")&amp;" in progress, "&amp;COUNTIF(Fnd_Status,"Open")&amp;" open"</f>
        <v>3 in progress, 4 open</v>
      </c>
      <c r="I13" s="26"/>
      <c r="J13" s="26"/>
      <c r="K13" s="26" t="str">
        <f aca="false">IF(SUMPRODUCT(--(LEFT(Fnd_Flag,1)="✖"))&gt;0,"✖ Escalate to audit committee","✔ None overdue as at "&amp;TEXT(As_Of,"d mmm yyyy"))</f>
        <v>✔ None overdue as at 6 Oct 2026</v>
      </c>
      <c r="L13" s="26"/>
      <c r="M13" s="26"/>
    </row>
    <row r="51" customFormat="false" ht="15" hidden="false" customHeight="false" outlineLevel="0" collapsed="false">
      <c r="H51" s="12" t="s">
        <v>66</v>
      </c>
      <c r="I51" s="13"/>
      <c r="J51" s="13"/>
      <c r="K51" s="13"/>
      <c r="L51" s="13"/>
      <c r="M51" s="13"/>
    </row>
    <row r="52" customFormat="false" ht="15" hidden="false" customHeight="false" outlineLevel="0" collapsed="false">
      <c r="H52" s="28" t="str">
        <f aca="false">Process_Steps!B6&amp;"  "&amp;Process_Steps!C6</f>
        <v>P1  Customer onboarding and credit approval</v>
      </c>
      <c r="I52" s="28"/>
      <c r="J52" s="28"/>
      <c r="K52" s="28"/>
      <c r="L52" s="29" t="str">
        <f aca="false">Process_Steps!L6</f>
        <v>Green</v>
      </c>
      <c r="M52" s="30" t="n">
        <f aca="false">Process_Steps!K6</f>
        <v>1</v>
      </c>
    </row>
    <row r="53" customFormat="false" ht="15" hidden="false" customHeight="false" outlineLevel="0" collapsed="false">
      <c r="H53" s="28" t="str">
        <f aca="false">Process_Steps!B7&amp;"  "&amp;Process_Steps!C7</f>
        <v>P2  Master data and pricing maintenance</v>
      </c>
      <c r="I53" s="28"/>
      <c r="J53" s="28"/>
      <c r="K53" s="28"/>
      <c r="L53" s="29" t="str">
        <f aca="false">Process_Steps!L7</f>
        <v>Amber</v>
      </c>
      <c r="M53" s="30" t="n">
        <f aca="false">Process_Steps!K7</f>
        <v>0.75</v>
      </c>
    </row>
    <row r="54" customFormat="false" ht="15" hidden="false" customHeight="false" outlineLevel="0" collapsed="false">
      <c r="H54" s="28" t="str">
        <f aca="false">Process_Steps!B8&amp;"  "&amp;Process_Steps!C8</f>
        <v>P3  Sales order entry</v>
      </c>
      <c r="I54" s="28"/>
      <c r="J54" s="28"/>
      <c r="K54" s="28"/>
      <c r="L54" s="29" t="str">
        <f aca="false">Process_Steps!L8</f>
        <v>Green</v>
      </c>
      <c r="M54" s="30" t="n">
        <f aca="false">Process_Steps!K8</f>
        <v>1</v>
      </c>
    </row>
    <row r="55" customFormat="false" ht="15" hidden="false" customHeight="false" outlineLevel="0" collapsed="false">
      <c r="H55" s="28" t="str">
        <f aca="false">Process_Steps!B9&amp;"  "&amp;Process_Steps!C9</f>
        <v>P4  Credit check and order release</v>
      </c>
      <c r="I55" s="28"/>
      <c r="J55" s="28"/>
      <c r="K55" s="28"/>
      <c r="L55" s="29" t="str">
        <f aca="false">Process_Steps!L9</f>
        <v>Red</v>
      </c>
      <c r="M55" s="30" t="n">
        <f aca="false">Process_Steps!K9</f>
        <v>0.333333333333333</v>
      </c>
    </row>
    <row r="56" customFormat="false" ht="15" hidden="false" customHeight="false" outlineLevel="0" collapsed="false">
      <c r="H56" s="28" t="str">
        <f aca="false">Process_Steps!B10&amp;"  "&amp;Process_Steps!C10</f>
        <v>P5  Picking, packing and dispatch</v>
      </c>
      <c r="I56" s="28"/>
      <c r="J56" s="28"/>
      <c r="K56" s="28"/>
      <c r="L56" s="29" t="str">
        <f aca="false">Process_Steps!L10</f>
        <v>Green</v>
      </c>
      <c r="M56" s="30" t="n">
        <f aca="false">Process_Steps!K10</f>
        <v>1</v>
      </c>
    </row>
    <row r="57" customFormat="false" ht="15" hidden="false" customHeight="false" outlineLevel="0" collapsed="false">
      <c r="H57" s="28" t="str">
        <f aca="false">Process_Steps!B11&amp;"  "&amp;Process_Steps!C11</f>
        <v>P6  Delivery and proof of delivery</v>
      </c>
      <c r="I57" s="28"/>
      <c r="J57" s="28"/>
      <c r="K57" s="28"/>
      <c r="L57" s="29" t="str">
        <f aca="false">Process_Steps!L11</f>
        <v>Red</v>
      </c>
      <c r="M57" s="30" t="n">
        <f aca="false">Process_Steps!K11</f>
        <v>0</v>
      </c>
    </row>
    <row r="58" customFormat="false" ht="15" hidden="false" customHeight="false" outlineLevel="0" collapsed="false">
      <c r="H58" s="28" t="str">
        <f aca="false">Process_Steps!B12&amp;"  "&amp;Process_Steps!C12</f>
        <v>P7  Invoicing and VAT</v>
      </c>
      <c r="I58" s="28"/>
      <c r="J58" s="28"/>
      <c r="K58" s="28"/>
      <c r="L58" s="29" t="str">
        <f aca="false">Process_Steps!L12</f>
        <v>Red</v>
      </c>
      <c r="M58" s="30" t="n">
        <f aca="false">Process_Steps!K12</f>
        <v>0.75</v>
      </c>
    </row>
    <row r="59" customFormat="false" ht="15" hidden="false" customHeight="false" outlineLevel="0" collapsed="false">
      <c r="H59" s="28" t="str">
        <f aca="false">Process_Steps!B13&amp;"  "&amp;Process_Steps!C13</f>
        <v>P8  Collection and cash application</v>
      </c>
      <c r="I59" s="28"/>
      <c r="J59" s="28"/>
      <c r="K59" s="28"/>
      <c r="L59" s="29" t="str">
        <f aca="false">Process_Steps!L13</f>
        <v>Red</v>
      </c>
      <c r="M59" s="30" t="n">
        <f aca="false">Process_Steps!K13</f>
        <v>0</v>
      </c>
    </row>
    <row r="60" customFormat="false" ht="15" hidden="false" customHeight="false" outlineLevel="0" collapsed="false">
      <c r="H60" s="28" t="str">
        <f aca="false">Process_Steps!B14&amp;"  "&amp;Process_Steps!C14</f>
        <v>P9  Credit notes, returns and receivables monitoring</v>
      </c>
      <c r="I60" s="28"/>
      <c r="J60" s="28"/>
      <c r="K60" s="28"/>
      <c r="L60" s="29" t="str">
        <f aca="false">Process_Steps!L14</f>
        <v>Red</v>
      </c>
      <c r="M60" s="30" t="n">
        <f aca="false">Process_Steps!K14</f>
        <v>0.6</v>
      </c>
    </row>
    <row r="68" customFormat="false" ht="15" hidden="false" customHeight="false" outlineLevel="0" collapsed="false">
      <c r="B68" s="12" t="s">
        <v>67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customFormat="false" ht="19.5" hidden="false" customHeight="true" outlineLevel="0" collapsed="false">
      <c r="B69" s="31" t="str">
        <f aca="false">"1. "&amp;COUNTIF(Ctl_Rating,"Effective")+COUNTIF(Ctl_Rating,"Effective with exceptions")&amp;" of "&amp;COUNTA(Ctl_ID)&amp;" controls operate effectively; all "&amp;COUNTIF(Controls!$H$6:$H$29,"Automated")&amp;" automated controls passed, while "&amp;COUNTIFS(Controls!$H$6:$H$29,"Manual",Ctl_Rating,"Ineffective")&amp;" manual controls failed testing."</f>
        <v>1. 15 of 24 controls operate effectively; all 4 automated controls passed, while 8 manual controls failed testing.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</row>
    <row r="70" customFormat="false" ht="19.5" hidden="false" customHeight="true" outlineLevel="0" collapsed="false">
      <c r="B70" s="31" t="str">
        <f aca="false">"2. Highest residual risk is "&amp;INDEX(Risk_ID,MATCH(MAX(Risk_Key),Risk_Key,0))&amp;" ("&amp;INDEX(Risk_Name,MATCH(MAX(Risk_Key),Risk_Key,0))&amp;") with a residual score of "&amp;TEXT(MAX(Risk_Res),"0.0")&amp;"."</f>
        <v>2. Highest residual risk is R08 (Revenue is recognised without evidence that goods were delivered) with a residual score of 18.0.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</row>
    <row r="71" customFormat="false" ht="19.5" hidden="false" customHeight="true" outlineLevel="0" collapsed="false">
      <c r="B71" s="31" t="str">
        <f aca="false">"3. Materiality is PHP "&amp;TEXT(Materiality/1000,"0.0")&amp;" million; the largest single exposure identified is PHP "&amp;TEXT(MAX(Fnd_Mag)/1000,"0.0")&amp;" million."</f>
        <v>3. Materiality is PHP 4.9 million; the largest single exposure identified is PHP 5.2 million.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 customFormat="false" ht="19.5" hidden="false" customHeight="true" outlineLevel="0" collapsed="false">
      <c r="B72" s="31" t="str">
        <f aca="false">"4. "&amp;COUNTIF(Fnd_Status,"Closed")&amp;" of "&amp;COUNTA(Fnd_ID)&amp;" findings are closed; the next remediation deadline is "&amp;TEXT(SUMPRODUCT(MIN(Fnd_Due+(Fnd_Status="Closed")*100000)),"d mmm yyyy")&amp;"."</f>
        <v>4. 1 of 8 findings are closed; the next remediation deadline is 30 Oct 2026.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</row>
  </sheetData>
  <mergeCells count="38">
    <mergeCell ref="B5:M5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D11"/>
    <mergeCell ref="E11:G11"/>
    <mergeCell ref="H11:J11"/>
    <mergeCell ref="K11:M11"/>
    <mergeCell ref="B12:D12"/>
    <mergeCell ref="E12:G12"/>
    <mergeCell ref="H12:J12"/>
    <mergeCell ref="K12:M12"/>
    <mergeCell ref="B13:D13"/>
    <mergeCell ref="E13:G13"/>
    <mergeCell ref="H13:J13"/>
    <mergeCell ref="K13:M13"/>
    <mergeCell ref="H52:K52"/>
    <mergeCell ref="H53:K53"/>
    <mergeCell ref="H54:K54"/>
    <mergeCell ref="H55:K55"/>
    <mergeCell ref="H56:K56"/>
    <mergeCell ref="H57:K57"/>
    <mergeCell ref="H58:K58"/>
    <mergeCell ref="H59:K59"/>
    <mergeCell ref="H60:K60"/>
    <mergeCell ref="B69:M69"/>
    <mergeCell ref="B70:M70"/>
    <mergeCell ref="B71:M71"/>
    <mergeCell ref="B72:M72"/>
  </mergeCells>
  <conditionalFormatting sqref="B5:M5">
    <cfRule type="expression" priority="2" aboveAverage="0" equalAverage="0" bottom="0" percent="0" rank="0" text="" dxfId="1">
      <formula>LEFT($B$5,1)="✖"</formula>
    </cfRule>
    <cfRule type="expression" priority="3" aboveAverage="0" equalAverage="0" bottom="0" percent="0" rank="0" text="" dxfId="2">
      <formula>LEFT($B$5,1)="●"</formula>
    </cfRule>
    <cfRule type="expression" priority="4" aboveAverage="0" equalAverage="0" bottom="0" percent="0" rank="0" text="" dxfId="0">
      <formula>LEFT($B$5,1)="✔"</formula>
    </cfRule>
  </conditionalFormatting>
  <conditionalFormatting sqref="B9">
    <cfRule type="expression" priority="5" aboveAverage="0" equalAverage="0" bottom="0" percent="0" rank="0" text="" dxfId="3">
      <formula>OR(LEFT(B9,1)="▲",LEFT(B9,1)="✔")</formula>
    </cfRule>
    <cfRule type="expression" priority="6" aboveAverage="0" equalAverage="0" bottom="0" percent="0" rank="0" text="" dxfId="4">
      <formula>OR(LEFT(B9,1)="▼",LEFT(B9,1)="✖")</formula>
    </cfRule>
    <cfRule type="expression" priority="7" aboveAverage="0" equalAverage="0" bottom="0" percent="0" rank="0" text="" dxfId="5">
      <formula>LEFT(B9,1)="●"</formula>
    </cfRule>
  </conditionalFormatting>
  <conditionalFormatting sqref="E9">
    <cfRule type="expression" priority="8" aboveAverage="0" equalAverage="0" bottom="0" percent="0" rank="0" text="" dxfId="3">
      <formula>OR(LEFT(E9,1)="▲",LEFT(E9,1)="✔")</formula>
    </cfRule>
    <cfRule type="expression" priority="9" aboveAverage="0" equalAverage="0" bottom="0" percent="0" rank="0" text="" dxfId="4">
      <formula>OR(LEFT(E9,1)="▼",LEFT(E9,1)="✖")</formula>
    </cfRule>
    <cfRule type="expression" priority="10" aboveAverage="0" equalAverage="0" bottom="0" percent="0" rank="0" text="" dxfId="5">
      <formula>LEFT(E9,1)="●"</formula>
    </cfRule>
  </conditionalFormatting>
  <conditionalFormatting sqref="H9">
    <cfRule type="expression" priority="11" aboveAverage="0" equalAverage="0" bottom="0" percent="0" rank="0" text="" dxfId="3">
      <formula>OR(LEFT(H9,1)="▲",LEFT(H9,1)="✔")</formula>
    </cfRule>
    <cfRule type="expression" priority="12" aboveAverage="0" equalAverage="0" bottom="0" percent="0" rank="0" text="" dxfId="4">
      <formula>OR(LEFT(H9,1)="▼",LEFT(H9,1)="✖")</formula>
    </cfRule>
    <cfRule type="expression" priority="13" aboveAverage="0" equalAverage="0" bottom="0" percent="0" rank="0" text="" dxfId="5">
      <formula>LEFT(H9,1)="●"</formula>
    </cfRule>
  </conditionalFormatting>
  <conditionalFormatting sqref="K9">
    <cfRule type="expression" priority="14" aboveAverage="0" equalAverage="0" bottom="0" percent="0" rank="0" text="" dxfId="3">
      <formula>OR(LEFT(K9,1)="▲",LEFT(K9,1)="✔")</formula>
    </cfRule>
    <cfRule type="expression" priority="15" aboveAverage="0" equalAverage="0" bottom="0" percent="0" rank="0" text="" dxfId="4">
      <formula>OR(LEFT(K9,1)="▼",LEFT(K9,1)="✖")</formula>
    </cfRule>
    <cfRule type="expression" priority="16" aboveAverage="0" equalAverage="0" bottom="0" percent="0" rank="0" text="" dxfId="5">
      <formula>LEFT(K9,1)="●"</formula>
    </cfRule>
  </conditionalFormatting>
  <conditionalFormatting sqref="B13">
    <cfRule type="expression" priority="17" aboveAverage="0" equalAverage="0" bottom="0" percent="0" rank="0" text="" dxfId="3">
      <formula>OR(LEFT(B13,1)="▲",LEFT(B13,1)="✔")</formula>
    </cfRule>
    <cfRule type="expression" priority="18" aboveAverage="0" equalAverage="0" bottom="0" percent="0" rank="0" text="" dxfId="4">
      <formula>OR(LEFT(B13,1)="▼",LEFT(B13,1)="✖")</formula>
    </cfRule>
    <cfRule type="expression" priority="19" aboveAverage="0" equalAverage="0" bottom="0" percent="0" rank="0" text="" dxfId="5">
      <formula>LEFT(B13,1)="●"</formula>
    </cfRule>
  </conditionalFormatting>
  <conditionalFormatting sqref="E13">
    <cfRule type="expression" priority="20" aboveAverage="0" equalAverage="0" bottom="0" percent="0" rank="0" text="" dxfId="3">
      <formula>OR(LEFT(E13,1)="▲",LEFT(E13,1)="✔")</formula>
    </cfRule>
    <cfRule type="expression" priority="21" aboveAverage="0" equalAverage="0" bottom="0" percent="0" rank="0" text="" dxfId="4">
      <formula>OR(LEFT(E13,1)="▼",LEFT(E13,1)="✖")</formula>
    </cfRule>
    <cfRule type="expression" priority="22" aboveAverage="0" equalAverage="0" bottom="0" percent="0" rank="0" text="" dxfId="5">
      <formula>LEFT(E13,1)="●"</formula>
    </cfRule>
  </conditionalFormatting>
  <conditionalFormatting sqref="H13">
    <cfRule type="expression" priority="23" aboveAverage="0" equalAverage="0" bottom="0" percent="0" rank="0" text="" dxfId="3">
      <formula>OR(LEFT(H13,1)="▲",LEFT(H13,1)="✔")</formula>
    </cfRule>
    <cfRule type="expression" priority="24" aboveAverage="0" equalAverage="0" bottom="0" percent="0" rank="0" text="" dxfId="4">
      <formula>OR(LEFT(H13,1)="▼",LEFT(H13,1)="✖")</formula>
    </cfRule>
    <cfRule type="expression" priority="25" aboveAverage="0" equalAverage="0" bottom="0" percent="0" rank="0" text="" dxfId="5">
      <formula>LEFT(H13,1)="●"</formula>
    </cfRule>
  </conditionalFormatting>
  <conditionalFormatting sqref="K13">
    <cfRule type="expression" priority="26" aboveAverage="0" equalAverage="0" bottom="0" percent="0" rank="0" text="" dxfId="3">
      <formula>OR(LEFT(K13,1)="▲",LEFT(K13,1)="✔")</formula>
    </cfRule>
    <cfRule type="expression" priority="27" aboveAverage="0" equalAverage="0" bottom="0" percent="0" rank="0" text="" dxfId="4">
      <formula>OR(LEFT(K13,1)="▼",LEFT(K13,1)="✖")</formula>
    </cfRule>
    <cfRule type="expression" priority="28" aboveAverage="0" equalAverage="0" bottom="0" percent="0" rank="0" text="" dxfId="5">
      <formula>LEFT(K13,1)="●"</formula>
    </cfRule>
  </conditionalFormatting>
  <conditionalFormatting sqref="L52:L60">
    <cfRule type="cellIs" priority="29" operator="equal" aboveAverage="0" equalAverage="0" bottom="0" percent="0" rank="0" text="" dxfId="1">
      <formula>"Red"</formula>
    </cfRule>
    <cfRule type="cellIs" priority="30" operator="equal" aboveAverage="0" equalAverage="0" bottom="0" percent="0" rank="0" text="" dxfId="6">
      <formula>"Amber"</formula>
    </cfRule>
    <cfRule type="cellIs" priority="31" operator="equal" aboveAverage="0" equalAverage="0" bottom="0" percent="0" rank="0" text="" dxfId="0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7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11" min="8" style="0" width="11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24" hidden="false" customHeight="true" outlineLevel="0" collapsed="false">
      <c r="B1" s="17" t="s">
        <v>68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39.75" hidden="false" customHeight="true" outlineLevel="0" collapsed="false">
      <c r="B5" s="32" t="s">
        <v>69</v>
      </c>
      <c r="C5" s="33" t="s">
        <v>70</v>
      </c>
      <c r="D5" s="33" t="s">
        <v>71</v>
      </c>
      <c r="E5" s="33" t="s">
        <v>72</v>
      </c>
      <c r="F5" s="33" t="s">
        <v>48</v>
      </c>
      <c r="G5" s="33" t="s">
        <v>73</v>
      </c>
      <c r="H5" s="33" t="s">
        <v>74</v>
      </c>
      <c r="I5" s="33" t="s">
        <v>75</v>
      </c>
      <c r="J5" s="33" t="s">
        <v>76</v>
      </c>
      <c r="K5" s="33" t="s">
        <v>77</v>
      </c>
      <c r="L5" s="33" t="s">
        <v>78</v>
      </c>
      <c r="M5" s="33" t="s">
        <v>79</v>
      </c>
    </row>
    <row r="6" customFormat="false" ht="27.75" hidden="false" customHeight="true" outlineLevel="0" collapsed="false">
      <c r="B6" s="34" t="s">
        <v>80</v>
      </c>
      <c r="C6" s="35" t="s">
        <v>81</v>
      </c>
      <c r="D6" s="36" t="s">
        <v>82</v>
      </c>
      <c r="E6" s="37" t="n">
        <f aca="false">COUNTIF(Risk_Step,B6)</f>
        <v>1</v>
      </c>
      <c r="F6" s="37" t="n">
        <f aca="false">COUNTIF(Ctl_Step,B6)</f>
        <v>1</v>
      </c>
      <c r="G6" s="37" t="n">
        <f aca="false">COUNTIFS(Ctl_Step,B6,Ctl_Key,"Y")</f>
        <v>1</v>
      </c>
      <c r="H6" s="37" t="n">
        <f aca="false">COUNTIFS(Ctl_Step,B6,Ctl_Rating,"Effective")+COUNTIFS(Ctl_Step,B6,Ctl_Rating,"Effective with exceptions")</f>
        <v>1</v>
      </c>
      <c r="I6" s="37" t="n">
        <f aca="false">COUNTIFS(Ctl_Step,B6,Ctl_Rating,"Needs improvement")</f>
        <v>0</v>
      </c>
      <c r="J6" s="37" t="n">
        <f aca="false">COUNTIFS(Ctl_Step,B6,Ctl_Rating,"Ineffective")</f>
        <v>0</v>
      </c>
      <c r="K6" s="38" t="n">
        <f aca="false">IFERROR(H6/F6,0)</f>
        <v>1</v>
      </c>
      <c r="L6" s="39" t="str">
        <f aca="false">IF(F6=0,"n/a",IF(COUNTIFS(Ctl_Step,B6,Ctl_Rating,"Ineffective",Ctl_Key,"Y")&gt;0,"Red",IF(I6+J6&gt;0,"Amber","Green")))</f>
        <v>Green</v>
      </c>
      <c r="M6" s="40" t="n">
        <f aca="false">SUMPRODUCT(MAX((Risk_Step=B6)*Risk_Res))</f>
        <v>7.8</v>
      </c>
    </row>
    <row r="7" customFormat="false" ht="27.75" hidden="false" customHeight="true" outlineLevel="0" collapsed="false">
      <c r="B7" s="34" t="s">
        <v>83</v>
      </c>
      <c r="C7" s="35" t="s">
        <v>84</v>
      </c>
      <c r="D7" s="36" t="s">
        <v>85</v>
      </c>
      <c r="E7" s="37" t="n">
        <f aca="false">COUNTIF(Risk_Step,B7)</f>
        <v>2</v>
      </c>
      <c r="F7" s="37" t="n">
        <f aca="false">COUNTIF(Ctl_Step,B7)</f>
        <v>4</v>
      </c>
      <c r="G7" s="37" t="n">
        <f aca="false">COUNTIFS(Ctl_Step,B7,Ctl_Key,"Y")</f>
        <v>2</v>
      </c>
      <c r="H7" s="37" t="n">
        <f aca="false">COUNTIFS(Ctl_Step,B7,Ctl_Rating,"Effective")+COUNTIFS(Ctl_Step,B7,Ctl_Rating,"Effective with exceptions")</f>
        <v>3</v>
      </c>
      <c r="I7" s="37" t="n">
        <f aca="false">COUNTIFS(Ctl_Step,B7,Ctl_Rating,"Needs improvement")</f>
        <v>0</v>
      </c>
      <c r="J7" s="37" t="n">
        <f aca="false">COUNTIFS(Ctl_Step,B7,Ctl_Rating,"Ineffective")</f>
        <v>1</v>
      </c>
      <c r="K7" s="38" t="n">
        <f aca="false">IFERROR(H7/F7,0)</f>
        <v>0.75</v>
      </c>
      <c r="L7" s="39" t="str">
        <f aca="false">IF(F7=0,"n/a",IF(COUNTIFS(Ctl_Step,B7,Ctl_Rating,"Ineffective",Ctl_Key,"Y")&gt;0,"Red",IF(I7+J7&gt;0,"Amber","Green")))</f>
        <v>Amber</v>
      </c>
      <c r="M7" s="40" t="n">
        <f aca="false">SUMPRODUCT(MAX((Risk_Step=B7)*Risk_Res))</f>
        <v>5.6</v>
      </c>
    </row>
    <row r="8" customFormat="false" ht="27.75" hidden="false" customHeight="true" outlineLevel="0" collapsed="false">
      <c r="B8" s="34" t="s">
        <v>86</v>
      </c>
      <c r="C8" s="35" t="s">
        <v>87</v>
      </c>
      <c r="D8" s="36" t="s">
        <v>88</v>
      </c>
      <c r="E8" s="37" t="n">
        <f aca="false">COUNTIF(Risk_Step,B8)</f>
        <v>1</v>
      </c>
      <c r="F8" s="37" t="n">
        <f aca="false">COUNTIF(Ctl_Step,B8)</f>
        <v>1</v>
      </c>
      <c r="G8" s="37" t="n">
        <f aca="false">COUNTIFS(Ctl_Step,B8,Ctl_Key,"Y")</f>
        <v>0</v>
      </c>
      <c r="H8" s="37" t="n">
        <f aca="false">COUNTIFS(Ctl_Step,B8,Ctl_Rating,"Effective")+COUNTIFS(Ctl_Step,B8,Ctl_Rating,"Effective with exceptions")</f>
        <v>1</v>
      </c>
      <c r="I8" s="37" t="n">
        <f aca="false">COUNTIFS(Ctl_Step,B8,Ctl_Rating,"Needs improvement")</f>
        <v>0</v>
      </c>
      <c r="J8" s="37" t="n">
        <f aca="false">COUNTIFS(Ctl_Step,B8,Ctl_Rating,"Ineffective")</f>
        <v>0</v>
      </c>
      <c r="K8" s="38" t="n">
        <f aca="false">IFERROR(H8/F8,0)</f>
        <v>1</v>
      </c>
      <c r="L8" s="39" t="str">
        <f aca="false">IF(F8=0,"n/a",IF(COUNTIFS(Ctl_Step,B8,Ctl_Rating,"Ineffective",Ctl_Key,"Y")&gt;0,"Red",IF(I8+J8&gt;0,"Amber","Green")))</f>
        <v>Green</v>
      </c>
      <c r="M8" s="40" t="n">
        <f aca="false">SUMPRODUCT(MAX((Risk_Step=B8)*Risk_Res))</f>
        <v>5.85</v>
      </c>
    </row>
    <row r="9" customFormat="false" ht="27.75" hidden="false" customHeight="true" outlineLevel="0" collapsed="false">
      <c r="B9" s="34" t="s">
        <v>89</v>
      </c>
      <c r="C9" s="35" t="s">
        <v>90</v>
      </c>
      <c r="D9" s="36" t="s">
        <v>91</v>
      </c>
      <c r="E9" s="37" t="n">
        <f aca="false">COUNTIF(Risk_Step,B9)</f>
        <v>1</v>
      </c>
      <c r="F9" s="37" t="n">
        <f aca="false">COUNTIF(Ctl_Step,B9)</f>
        <v>3</v>
      </c>
      <c r="G9" s="37" t="n">
        <f aca="false">COUNTIFS(Ctl_Step,B9,Ctl_Key,"Y")</f>
        <v>3</v>
      </c>
      <c r="H9" s="37" t="n">
        <f aca="false">COUNTIFS(Ctl_Step,B9,Ctl_Rating,"Effective")+COUNTIFS(Ctl_Step,B9,Ctl_Rating,"Effective with exceptions")</f>
        <v>1</v>
      </c>
      <c r="I9" s="37" t="n">
        <f aca="false">COUNTIFS(Ctl_Step,B9,Ctl_Rating,"Needs improvement")</f>
        <v>0</v>
      </c>
      <c r="J9" s="37" t="n">
        <f aca="false">COUNTIFS(Ctl_Step,B9,Ctl_Rating,"Ineffective")</f>
        <v>2</v>
      </c>
      <c r="K9" s="38" t="n">
        <f aca="false">IFERROR(H9/F9,0)</f>
        <v>0.333333333333333</v>
      </c>
      <c r="L9" s="39" t="str">
        <f aca="false">IF(F9=0,"n/a",IF(COUNTIFS(Ctl_Step,B9,Ctl_Rating,"Ineffective",Ctl_Key,"Y")&gt;0,"Red",IF(I9+J9&gt;0,"Amber","Green")))</f>
        <v>Red</v>
      </c>
      <c r="M9" s="40" t="n">
        <f aca="false">SUMPRODUCT(MAX((Risk_Step=B9)*Risk_Res))</f>
        <v>12.2666666666667</v>
      </c>
    </row>
    <row r="10" customFormat="false" ht="27.75" hidden="false" customHeight="true" outlineLevel="0" collapsed="false">
      <c r="B10" s="34" t="s">
        <v>92</v>
      </c>
      <c r="C10" s="35" t="s">
        <v>93</v>
      </c>
      <c r="D10" s="36" t="s">
        <v>94</v>
      </c>
      <c r="E10" s="37" t="n">
        <f aca="false">COUNTIF(Risk_Step,B10)</f>
        <v>2</v>
      </c>
      <c r="F10" s="37" t="n">
        <f aca="false">COUNTIF(Ctl_Step,B10)</f>
        <v>3</v>
      </c>
      <c r="G10" s="37" t="n">
        <f aca="false">COUNTIFS(Ctl_Step,B10,Ctl_Key,"Y")</f>
        <v>2</v>
      </c>
      <c r="H10" s="37" t="n">
        <f aca="false">COUNTIFS(Ctl_Step,B10,Ctl_Rating,"Effective")+COUNTIFS(Ctl_Step,B10,Ctl_Rating,"Effective with exceptions")</f>
        <v>3</v>
      </c>
      <c r="I10" s="37" t="n">
        <f aca="false">COUNTIFS(Ctl_Step,B10,Ctl_Rating,"Needs improvement")</f>
        <v>0</v>
      </c>
      <c r="J10" s="37" t="n">
        <f aca="false">COUNTIFS(Ctl_Step,B10,Ctl_Rating,"Ineffective")</f>
        <v>0</v>
      </c>
      <c r="K10" s="38" t="n">
        <f aca="false">IFERROR(H10/F10,0)</f>
        <v>1</v>
      </c>
      <c r="L10" s="39" t="str">
        <f aca="false">IF(F10=0,"n/a",IF(COUNTIFS(Ctl_Step,B10,Ctl_Rating,"Ineffective",Ctl_Key,"Y")&gt;0,"Red",IF(I10+J10&gt;0,"Amber","Green")))</f>
        <v>Green</v>
      </c>
      <c r="M10" s="40" t="n">
        <f aca="false">SUMPRODUCT(MAX((Risk_Step=B10)*Risk_Res))</f>
        <v>6.5</v>
      </c>
    </row>
    <row r="11" customFormat="false" ht="27.75" hidden="false" customHeight="true" outlineLevel="0" collapsed="false">
      <c r="B11" s="34" t="s">
        <v>95</v>
      </c>
      <c r="C11" s="35" t="s">
        <v>96</v>
      </c>
      <c r="D11" s="36" t="s">
        <v>97</v>
      </c>
      <c r="E11" s="37" t="n">
        <f aca="false">COUNTIF(Risk_Step,B11)</f>
        <v>1</v>
      </c>
      <c r="F11" s="37" t="n">
        <f aca="false">COUNTIF(Ctl_Step,B11)</f>
        <v>1</v>
      </c>
      <c r="G11" s="37" t="n">
        <f aca="false">COUNTIFS(Ctl_Step,B11,Ctl_Key,"Y")</f>
        <v>1</v>
      </c>
      <c r="H11" s="37" t="n">
        <f aca="false">COUNTIFS(Ctl_Step,B11,Ctl_Rating,"Effective")+COUNTIFS(Ctl_Step,B11,Ctl_Rating,"Effective with exceptions")</f>
        <v>0</v>
      </c>
      <c r="I11" s="37" t="n">
        <f aca="false">COUNTIFS(Ctl_Step,B11,Ctl_Rating,"Needs improvement")</f>
        <v>0</v>
      </c>
      <c r="J11" s="37" t="n">
        <f aca="false">COUNTIFS(Ctl_Step,B11,Ctl_Rating,"Ineffective")</f>
        <v>1</v>
      </c>
      <c r="K11" s="38" t="n">
        <f aca="false">IFERROR(H11/F11,0)</f>
        <v>0</v>
      </c>
      <c r="L11" s="39" t="str">
        <f aca="false">IF(F11=0,"n/a",IF(COUNTIFS(Ctl_Step,B11,Ctl_Rating,"Ineffective",Ctl_Key,"Y")&gt;0,"Red",IF(I11+J11&gt;0,"Amber","Green")))</f>
        <v>Red</v>
      </c>
      <c r="M11" s="40" t="n">
        <f aca="false">SUMPRODUCT(MAX((Risk_Step=B11)*Risk_Res))</f>
        <v>18</v>
      </c>
    </row>
    <row r="12" customFormat="false" ht="27.75" hidden="false" customHeight="true" outlineLevel="0" collapsed="false">
      <c r="B12" s="34" t="s">
        <v>98</v>
      </c>
      <c r="C12" s="35" t="s">
        <v>99</v>
      </c>
      <c r="D12" s="36" t="s">
        <v>100</v>
      </c>
      <c r="E12" s="37" t="n">
        <f aca="false">COUNTIF(Risk_Step,B12)</f>
        <v>3</v>
      </c>
      <c r="F12" s="37" t="n">
        <f aca="false">COUNTIF(Ctl_Step,B12)</f>
        <v>4</v>
      </c>
      <c r="G12" s="37" t="n">
        <f aca="false">COUNTIFS(Ctl_Step,B12,Ctl_Key,"Y")</f>
        <v>2</v>
      </c>
      <c r="H12" s="37" t="n">
        <f aca="false">COUNTIFS(Ctl_Step,B12,Ctl_Rating,"Effective")+COUNTIFS(Ctl_Step,B12,Ctl_Rating,"Effective with exceptions")</f>
        <v>3</v>
      </c>
      <c r="I12" s="37" t="n">
        <f aca="false">COUNTIFS(Ctl_Step,B12,Ctl_Rating,"Needs improvement")</f>
        <v>0</v>
      </c>
      <c r="J12" s="37" t="n">
        <f aca="false">COUNTIFS(Ctl_Step,B12,Ctl_Rating,"Ineffective")</f>
        <v>1</v>
      </c>
      <c r="K12" s="38" t="n">
        <f aca="false">IFERROR(H12/F12,0)</f>
        <v>0.75</v>
      </c>
      <c r="L12" s="39" t="str">
        <f aca="false">IF(F12=0,"n/a",IF(COUNTIFS(Ctl_Step,B12,Ctl_Rating,"Ineffective",Ctl_Key,"Y")&gt;0,"Red",IF(I12+J12&gt;0,"Amber","Green")))</f>
        <v>Red</v>
      </c>
      <c r="M12" s="40" t="n">
        <f aca="false">SUMPRODUCT(MAX((Risk_Step=B12)*Risk_Res))</f>
        <v>10.8</v>
      </c>
    </row>
    <row r="13" customFormat="false" ht="27.75" hidden="false" customHeight="true" outlineLevel="0" collapsed="false">
      <c r="B13" s="34" t="s">
        <v>101</v>
      </c>
      <c r="C13" s="35" t="s">
        <v>102</v>
      </c>
      <c r="D13" s="36" t="s">
        <v>103</v>
      </c>
      <c r="E13" s="37" t="n">
        <f aca="false">COUNTIF(Risk_Step,B13)</f>
        <v>1</v>
      </c>
      <c r="F13" s="37" t="n">
        <f aca="false">COUNTIF(Ctl_Step,B13)</f>
        <v>2</v>
      </c>
      <c r="G13" s="37" t="n">
        <f aca="false">COUNTIFS(Ctl_Step,B13,Ctl_Key,"Y")</f>
        <v>2</v>
      </c>
      <c r="H13" s="37" t="n">
        <f aca="false">COUNTIFS(Ctl_Step,B13,Ctl_Rating,"Effective")+COUNTIFS(Ctl_Step,B13,Ctl_Rating,"Effective with exceptions")</f>
        <v>0</v>
      </c>
      <c r="I13" s="37" t="n">
        <f aca="false">COUNTIFS(Ctl_Step,B13,Ctl_Rating,"Needs improvement")</f>
        <v>1</v>
      </c>
      <c r="J13" s="37" t="n">
        <f aca="false">COUNTIFS(Ctl_Step,B13,Ctl_Rating,"Ineffective")</f>
        <v>1</v>
      </c>
      <c r="K13" s="38" t="n">
        <f aca="false">IFERROR(H13/F13,0)</f>
        <v>0</v>
      </c>
      <c r="L13" s="39" t="str">
        <f aca="false">IF(F13=0,"n/a",IF(COUNTIFS(Ctl_Step,B13,Ctl_Rating,"Ineffective",Ctl_Key,"Y")&gt;0,"Red",IF(I13+J13&gt;0,"Amber","Green")))</f>
        <v>Red</v>
      </c>
      <c r="M13" s="40" t="n">
        <f aca="false">SUMPRODUCT(MAX((Risk_Step=B13)*Risk_Res))</f>
        <v>12.75</v>
      </c>
    </row>
    <row r="14" customFormat="false" ht="27.75" hidden="false" customHeight="true" outlineLevel="0" collapsed="false">
      <c r="B14" s="34" t="s">
        <v>104</v>
      </c>
      <c r="C14" s="35" t="s">
        <v>105</v>
      </c>
      <c r="D14" s="36" t="s">
        <v>106</v>
      </c>
      <c r="E14" s="37" t="n">
        <f aca="false">COUNTIF(Risk_Step,B14)</f>
        <v>4</v>
      </c>
      <c r="F14" s="37" t="n">
        <f aca="false">COUNTIF(Ctl_Step,B14)</f>
        <v>5</v>
      </c>
      <c r="G14" s="37" t="n">
        <f aca="false">COUNTIFS(Ctl_Step,B14,Ctl_Key,"Y")</f>
        <v>3</v>
      </c>
      <c r="H14" s="37" t="n">
        <f aca="false">COUNTIFS(Ctl_Step,B14,Ctl_Rating,"Effective")+COUNTIFS(Ctl_Step,B14,Ctl_Rating,"Effective with exceptions")</f>
        <v>3</v>
      </c>
      <c r="I14" s="37" t="n">
        <f aca="false">COUNTIFS(Ctl_Step,B14,Ctl_Rating,"Needs improvement")</f>
        <v>0</v>
      </c>
      <c r="J14" s="37" t="n">
        <f aca="false">COUNTIFS(Ctl_Step,B14,Ctl_Rating,"Ineffective")</f>
        <v>2</v>
      </c>
      <c r="K14" s="38" t="n">
        <f aca="false">IFERROR(H14/F14,0)</f>
        <v>0.6</v>
      </c>
      <c r="L14" s="39" t="str">
        <f aca="false">IF(F14=0,"n/a",IF(COUNTIFS(Ctl_Step,B14,Ctl_Rating,"Ineffective",Ctl_Key,"Y")&gt;0,"Red",IF(I14+J14&gt;0,"Amber","Green")))</f>
        <v>Red</v>
      </c>
      <c r="M14" s="40" t="n">
        <f aca="false">SUMPRODUCT(MAX((Risk_Step=B14)*Risk_Res))</f>
        <v>14.4</v>
      </c>
    </row>
    <row r="15" customFormat="false" ht="15" hidden="false" customHeight="false" outlineLevel="0" collapsed="false">
      <c r="C15" s="41" t="s">
        <v>107</v>
      </c>
      <c r="E15" s="42" t="n">
        <f aca="false">SUM(E6:E14)</f>
        <v>16</v>
      </c>
      <c r="F15" s="42" t="n">
        <f aca="false">SUM(F6:F14)</f>
        <v>24</v>
      </c>
      <c r="G15" s="42" t="n">
        <f aca="false">SUM(G6:G14)</f>
        <v>16</v>
      </c>
      <c r="H15" s="42" t="n">
        <f aca="false">SUM(H6:H14)</f>
        <v>15</v>
      </c>
      <c r="I15" s="42" t="n">
        <f aca="false">SUM(I6:I14)</f>
        <v>1</v>
      </c>
      <c r="J15" s="42" t="n">
        <f aca="false">SUM(J6:J14)</f>
        <v>8</v>
      </c>
      <c r="K15" s="43" t="n">
        <f aca="false">IFERROR(H15/F15,0)</f>
        <v>0.625</v>
      </c>
    </row>
    <row r="17" customFormat="false" ht="15" hidden="false" customHeight="false" outlineLevel="0" collapsed="false">
      <c r="B17" s="44" t="s">
        <v>108</v>
      </c>
    </row>
  </sheetData>
  <conditionalFormatting sqref="L6:L14">
    <cfRule type="cellIs" priority="2" operator="equal" aboveAverage="0" equalAverage="0" bottom="0" percent="0" rank="0" text="" dxfId="1">
      <formula>"Red"</formula>
    </cfRule>
    <cfRule type="cellIs" priority="3" operator="equal" aboveAverage="0" equalAverage="0" bottom="0" percent="0" rank="0" text="" dxfId="6">
      <formula>"Amber"</formula>
    </cfRule>
    <cfRule type="cellIs" priority="4" operator="equal" aboveAverage="0" equalAverage="0" bottom="0" percent="0" rank="0" text="" dxfId="0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5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2"/>
    <col collapsed="false" customWidth="true" hidden="false" outlineLevel="0" max="15" min="14" style="0" width="11"/>
    <col collapsed="false" customWidth="true" hidden="false" outlineLevel="0" max="16" min="16" style="0" width="3"/>
    <col collapsed="false" customWidth="true" hidden="false" outlineLevel="0" max="17" min="17" style="0" width="10"/>
  </cols>
  <sheetData>
    <row r="1" customFormat="false" ht="24" hidden="false" customHeight="true" outlineLevel="0" collapsed="false">
      <c r="B1" s="17" t="s">
        <v>109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43.5" hidden="false" customHeight="true" outlineLevel="0" collapsed="false">
      <c r="B5" s="32" t="s">
        <v>69</v>
      </c>
      <c r="C5" s="33" t="s">
        <v>110</v>
      </c>
      <c r="D5" s="33" t="s">
        <v>70</v>
      </c>
      <c r="E5" s="33" t="s">
        <v>111</v>
      </c>
      <c r="F5" s="33" t="s">
        <v>112</v>
      </c>
      <c r="G5" s="33" t="s">
        <v>113</v>
      </c>
      <c r="H5" s="33" t="s">
        <v>114</v>
      </c>
      <c r="I5" s="33" t="s">
        <v>115</v>
      </c>
      <c r="J5" s="33" t="s">
        <v>116</v>
      </c>
      <c r="K5" s="33" t="s">
        <v>117</v>
      </c>
      <c r="L5" s="33" t="s">
        <v>48</v>
      </c>
      <c r="M5" s="33" t="s">
        <v>118</v>
      </c>
      <c r="N5" s="33" t="s">
        <v>119</v>
      </c>
      <c r="O5" s="33" t="s">
        <v>120</v>
      </c>
      <c r="Q5" s="45" t="s">
        <v>121</v>
      </c>
    </row>
    <row r="6" customFormat="false" ht="27.75" hidden="false" customHeight="true" outlineLevel="0" collapsed="false">
      <c r="B6" s="34" t="s">
        <v>122</v>
      </c>
      <c r="C6" s="34" t="s">
        <v>80</v>
      </c>
      <c r="D6" s="46" t="str">
        <f aca="false">VLOOKUP(C6,Process_Steps!$B$6:$C$14,2,FALSE())</f>
        <v>Customer onboarding and credit approval</v>
      </c>
      <c r="E6" s="36" t="s">
        <v>123</v>
      </c>
      <c r="F6" s="47" t="s">
        <v>124</v>
      </c>
      <c r="G6" s="47" t="s">
        <v>125</v>
      </c>
      <c r="H6" s="48" t="n">
        <v>3</v>
      </c>
      <c r="I6" s="48" t="n">
        <v>4</v>
      </c>
      <c r="J6" s="49" t="n">
        <f aca="false">H6*I6</f>
        <v>12</v>
      </c>
      <c r="K6" s="50" t="str">
        <f aca="false">IF(J6&gt;=High_Score,"High",IF(J6&gt;=Med_Score,"Medium","Low"))</f>
        <v>Medium</v>
      </c>
      <c r="L6" s="37" t="n">
        <f aca="false">COUNTIF(Ctl_Risk,B6)</f>
        <v>1</v>
      </c>
      <c r="M6" s="38" t="n">
        <f aca="false">IFERROR(AVERAGEIFS(Ctl_Factor,Ctl_Risk,B6),0)</f>
        <v>0.35</v>
      </c>
      <c r="N6" s="51" t="n">
        <f aca="false">J6*(1-M6)</f>
        <v>7.8</v>
      </c>
      <c r="O6" s="50" t="str">
        <f aca="false">IF(N6&gt;=High_Score,"High",IF(N6&gt;=Med_Score,"Medium","Low"))</f>
        <v>Low</v>
      </c>
      <c r="Q6" s="52" t="n">
        <f aca="false">N6+ROW()/1000000</f>
        <v>7.800006</v>
      </c>
    </row>
    <row r="7" customFormat="false" ht="27.75" hidden="false" customHeight="true" outlineLevel="0" collapsed="false">
      <c r="B7" s="34" t="s">
        <v>126</v>
      </c>
      <c r="C7" s="34" t="s">
        <v>83</v>
      </c>
      <c r="D7" s="46" t="str">
        <f aca="false">VLOOKUP(C7,Process_Steps!$B$6:$C$14,2,FALSE())</f>
        <v>Master data and pricing maintenance</v>
      </c>
      <c r="E7" s="36" t="s">
        <v>127</v>
      </c>
      <c r="F7" s="47" t="s">
        <v>128</v>
      </c>
      <c r="G7" s="47" t="s">
        <v>129</v>
      </c>
      <c r="H7" s="48" t="n">
        <v>2</v>
      </c>
      <c r="I7" s="48" t="n">
        <v>4</v>
      </c>
      <c r="J7" s="49" t="n">
        <f aca="false">H7*I7</f>
        <v>8</v>
      </c>
      <c r="K7" s="50" t="str">
        <f aca="false">IF(J7&gt;=High_Score,"High",IF(J7&gt;=Med_Score,"Medium","Low"))</f>
        <v>Medium</v>
      </c>
      <c r="L7" s="37" t="n">
        <f aca="false">COUNTIF(Ctl_Risk,B7)</f>
        <v>2</v>
      </c>
      <c r="M7" s="38" t="n">
        <f aca="false">IFERROR(AVERAGEIFS(Ctl_Factor,Ctl_Risk,B7),0)</f>
        <v>0.3</v>
      </c>
      <c r="N7" s="51" t="n">
        <f aca="false">J7*(1-M7)</f>
        <v>5.6</v>
      </c>
      <c r="O7" s="50" t="str">
        <f aca="false">IF(N7&gt;=High_Score,"High",IF(N7&gt;=Med_Score,"Medium","Low"))</f>
        <v>Low</v>
      </c>
      <c r="Q7" s="52" t="n">
        <f aca="false">N7+ROW()/1000000</f>
        <v>5.600007</v>
      </c>
    </row>
    <row r="8" customFormat="false" ht="27.75" hidden="false" customHeight="true" outlineLevel="0" collapsed="false">
      <c r="B8" s="34" t="s">
        <v>130</v>
      </c>
      <c r="C8" s="34" t="s">
        <v>83</v>
      </c>
      <c r="D8" s="46" t="str">
        <f aca="false">VLOOKUP(C8,Process_Steps!$B$6:$C$14,2,FALSE())</f>
        <v>Master data and pricing maintenance</v>
      </c>
      <c r="E8" s="36" t="s">
        <v>131</v>
      </c>
      <c r="F8" s="47" t="s">
        <v>128</v>
      </c>
      <c r="G8" s="47" t="s">
        <v>129</v>
      </c>
      <c r="H8" s="48" t="n">
        <v>3</v>
      </c>
      <c r="I8" s="48" t="n">
        <v>3</v>
      </c>
      <c r="J8" s="49" t="n">
        <f aca="false">H8*I8</f>
        <v>9</v>
      </c>
      <c r="K8" s="50" t="str">
        <f aca="false">IF(J8&gt;=High_Score,"High",IF(J8&gt;=Med_Score,"Medium","Low"))</f>
        <v>Medium</v>
      </c>
      <c r="L8" s="37" t="n">
        <f aca="false">COUNTIF(Ctl_Risk,B8)</f>
        <v>2</v>
      </c>
      <c r="M8" s="38" t="n">
        <f aca="false">IFERROR(AVERAGEIFS(Ctl_Factor,Ctl_Risk,B8),0)</f>
        <v>0.5</v>
      </c>
      <c r="N8" s="51" t="n">
        <f aca="false">J8*(1-M8)</f>
        <v>4.5</v>
      </c>
      <c r="O8" s="50" t="str">
        <f aca="false">IF(N8&gt;=High_Score,"High",IF(N8&gt;=Med_Score,"Medium","Low"))</f>
        <v>Low</v>
      </c>
      <c r="Q8" s="52" t="n">
        <f aca="false">N8+ROW()/1000000</f>
        <v>4.500008</v>
      </c>
    </row>
    <row r="9" customFormat="false" ht="27.75" hidden="false" customHeight="true" outlineLevel="0" collapsed="false">
      <c r="B9" s="34" t="s">
        <v>132</v>
      </c>
      <c r="C9" s="34" t="s">
        <v>89</v>
      </c>
      <c r="D9" s="46" t="str">
        <f aca="false">VLOOKUP(C9,Process_Steps!$B$6:$C$14,2,FALSE())</f>
        <v>Credit check and order release</v>
      </c>
      <c r="E9" s="36" t="s">
        <v>133</v>
      </c>
      <c r="F9" s="47" t="s">
        <v>134</v>
      </c>
      <c r="G9" s="47" t="s">
        <v>129</v>
      </c>
      <c r="H9" s="48" t="n">
        <v>4</v>
      </c>
      <c r="I9" s="48" t="n">
        <v>4</v>
      </c>
      <c r="J9" s="49" t="n">
        <f aca="false">H9*I9</f>
        <v>16</v>
      </c>
      <c r="K9" s="50" t="str">
        <f aca="false">IF(J9&gt;=High_Score,"High",IF(J9&gt;=Med_Score,"Medium","Low"))</f>
        <v>High</v>
      </c>
      <c r="L9" s="37" t="n">
        <f aca="false">COUNTIF(Ctl_Risk,B9)</f>
        <v>3</v>
      </c>
      <c r="M9" s="38" t="n">
        <f aca="false">IFERROR(AVERAGEIFS(Ctl_Factor,Ctl_Risk,B9),0)</f>
        <v>0.233333333333333</v>
      </c>
      <c r="N9" s="51" t="n">
        <f aca="false">J9*(1-M9)</f>
        <v>12.2666666666667</v>
      </c>
      <c r="O9" s="50" t="str">
        <f aca="false">IF(N9&gt;=High_Score,"High",IF(N9&gt;=Med_Score,"Medium","Low"))</f>
        <v>Medium</v>
      </c>
      <c r="Q9" s="52" t="n">
        <f aca="false">N9+ROW()/1000000</f>
        <v>12.2666756666667</v>
      </c>
    </row>
    <row r="10" customFormat="false" ht="27.75" hidden="false" customHeight="true" outlineLevel="0" collapsed="false">
      <c r="B10" s="34" t="s">
        <v>135</v>
      </c>
      <c r="C10" s="34" t="s">
        <v>86</v>
      </c>
      <c r="D10" s="46" t="str">
        <f aca="false">VLOOKUP(C10,Process_Steps!$B$6:$C$14,2,FALSE())</f>
        <v>Sales order entry</v>
      </c>
      <c r="E10" s="36" t="s">
        <v>136</v>
      </c>
      <c r="F10" s="47" t="s">
        <v>128</v>
      </c>
      <c r="G10" s="47" t="s">
        <v>129</v>
      </c>
      <c r="H10" s="48" t="n">
        <v>3</v>
      </c>
      <c r="I10" s="48" t="n">
        <v>3</v>
      </c>
      <c r="J10" s="49" t="n">
        <f aca="false">H10*I10</f>
        <v>9</v>
      </c>
      <c r="K10" s="50" t="str">
        <f aca="false">IF(J10&gt;=High_Score,"High",IF(J10&gt;=Med_Score,"Medium","Low"))</f>
        <v>Medium</v>
      </c>
      <c r="L10" s="37" t="n">
        <f aca="false">COUNTIF(Ctl_Risk,B10)</f>
        <v>1</v>
      </c>
      <c r="M10" s="38" t="n">
        <f aca="false">IFERROR(AVERAGEIFS(Ctl_Factor,Ctl_Risk,B10),0)</f>
        <v>0.35</v>
      </c>
      <c r="N10" s="51" t="n">
        <f aca="false">J10*(1-M10)</f>
        <v>5.85</v>
      </c>
      <c r="O10" s="50" t="str">
        <f aca="false">IF(N10&gt;=High_Score,"High",IF(N10&gt;=Med_Score,"Medium","Low"))</f>
        <v>Low</v>
      </c>
      <c r="Q10" s="52" t="n">
        <f aca="false">N10+ROW()/1000000</f>
        <v>5.85001</v>
      </c>
    </row>
    <row r="11" customFormat="false" ht="27.75" hidden="false" customHeight="true" outlineLevel="0" collapsed="false">
      <c r="B11" s="34" t="s">
        <v>137</v>
      </c>
      <c r="C11" s="34" t="s">
        <v>92</v>
      </c>
      <c r="D11" s="46" t="str">
        <f aca="false">VLOOKUP(C11,Process_Steps!$B$6:$C$14,2,FALSE())</f>
        <v>Picking, packing and dispatch</v>
      </c>
      <c r="E11" s="36" t="s">
        <v>138</v>
      </c>
      <c r="F11" s="47" t="s">
        <v>139</v>
      </c>
      <c r="G11" s="47" t="s">
        <v>129</v>
      </c>
      <c r="H11" s="48" t="n">
        <v>2</v>
      </c>
      <c r="I11" s="48" t="n">
        <v>5</v>
      </c>
      <c r="J11" s="49" t="n">
        <f aca="false">H11*I11</f>
        <v>10</v>
      </c>
      <c r="K11" s="50" t="str">
        <f aca="false">IF(J11&gt;=High_Score,"High",IF(J11&gt;=Med_Score,"Medium","Low"))</f>
        <v>Medium</v>
      </c>
      <c r="L11" s="37" t="n">
        <f aca="false">COUNTIF(Ctl_Risk,B11)</f>
        <v>1</v>
      </c>
      <c r="M11" s="38" t="n">
        <f aca="false">IFERROR(AVERAGEIFS(Ctl_Factor,Ctl_Risk,B11),0)</f>
        <v>0.35</v>
      </c>
      <c r="N11" s="51" t="n">
        <f aca="false">J11*(1-M11)</f>
        <v>6.5</v>
      </c>
      <c r="O11" s="50" t="str">
        <f aca="false">IF(N11&gt;=High_Score,"High",IF(N11&gt;=Med_Score,"Medium","Low"))</f>
        <v>Low</v>
      </c>
      <c r="Q11" s="52" t="n">
        <f aca="false">N11+ROW()/1000000</f>
        <v>6.500011</v>
      </c>
    </row>
    <row r="12" customFormat="false" ht="27.75" hidden="false" customHeight="true" outlineLevel="0" collapsed="false">
      <c r="B12" s="34" t="s">
        <v>140</v>
      </c>
      <c r="C12" s="34" t="s">
        <v>92</v>
      </c>
      <c r="D12" s="46" t="str">
        <f aca="false">VLOOKUP(C12,Process_Steps!$B$6:$C$14,2,FALSE())</f>
        <v>Picking, packing and dispatch</v>
      </c>
      <c r="E12" s="36" t="s">
        <v>141</v>
      </c>
      <c r="F12" s="47" t="s">
        <v>139</v>
      </c>
      <c r="G12" s="47" t="s">
        <v>129</v>
      </c>
      <c r="H12" s="48" t="n">
        <v>3</v>
      </c>
      <c r="I12" s="48" t="n">
        <v>4</v>
      </c>
      <c r="J12" s="49" t="n">
        <f aca="false">H12*I12</f>
        <v>12</v>
      </c>
      <c r="K12" s="50" t="str">
        <f aca="false">IF(J12&gt;=High_Score,"High",IF(J12&gt;=Med_Score,"Medium","Low"))</f>
        <v>Medium</v>
      </c>
      <c r="L12" s="37" t="n">
        <f aca="false">COUNTIF(Ctl_Risk,B12)</f>
        <v>2</v>
      </c>
      <c r="M12" s="38" t="n">
        <f aca="false">IFERROR(AVERAGEIFS(Ctl_Factor,Ctl_Risk,B12),0)</f>
        <v>0.5</v>
      </c>
      <c r="N12" s="51" t="n">
        <f aca="false">J12*(1-M12)</f>
        <v>6</v>
      </c>
      <c r="O12" s="50" t="str">
        <f aca="false">IF(N12&gt;=High_Score,"High",IF(N12&gt;=Med_Score,"Medium","Low"))</f>
        <v>Low</v>
      </c>
      <c r="Q12" s="52" t="n">
        <f aca="false">N12+ROW()/1000000</f>
        <v>6.000012</v>
      </c>
    </row>
    <row r="13" customFormat="false" ht="27.75" hidden="false" customHeight="true" outlineLevel="0" collapsed="false">
      <c r="B13" s="34" t="s">
        <v>142</v>
      </c>
      <c r="C13" s="34" t="s">
        <v>95</v>
      </c>
      <c r="D13" s="46" t="str">
        <f aca="false">VLOOKUP(C13,Process_Steps!$B$6:$C$14,2,FALSE())</f>
        <v>Delivery and proof of delivery</v>
      </c>
      <c r="E13" s="36" t="s">
        <v>143</v>
      </c>
      <c r="F13" s="47" t="s">
        <v>124</v>
      </c>
      <c r="G13" s="47" t="s">
        <v>129</v>
      </c>
      <c r="H13" s="48" t="n">
        <v>4</v>
      </c>
      <c r="I13" s="48" t="n">
        <v>5</v>
      </c>
      <c r="J13" s="49" t="n">
        <f aca="false">H13*I13</f>
        <v>20</v>
      </c>
      <c r="K13" s="50" t="str">
        <f aca="false">IF(J13&gt;=High_Score,"High",IF(J13&gt;=Med_Score,"Medium","Low"))</f>
        <v>High</v>
      </c>
      <c r="L13" s="37" t="n">
        <f aca="false">COUNTIF(Ctl_Risk,B13)</f>
        <v>1</v>
      </c>
      <c r="M13" s="38" t="n">
        <f aca="false">IFERROR(AVERAGEIFS(Ctl_Factor,Ctl_Risk,B13),0)</f>
        <v>0.1</v>
      </c>
      <c r="N13" s="51" t="n">
        <f aca="false">J13*(1-M13)</f>
        <v>18</v>
      </c>
      <c r="O13" s="50" t="str">
        <f aca="false">IF(N13&gt;=High_Score,"High",IF(N13&gt;=Med_Score,"Medium","Low"))</f>
        <v>High</v>
      </c>
      <c r="Q13" s="52" t="n">
        <f aca="false">N13+ROW()/1000000</f>
        <v>18.000013</v>
      </c>
    </row>
    <row r="14" customFormat="false" ht="27.75" hidden="false" customHeight="true" outlineLevel="0" collapsed="false">
      <c r="B14" s="34" t="s">
        <v>144</v>
      </c>
      <c r="C14" s="34" t="s">
        <v>98</v>
      </c>
      <c r="D14" s="46" t="str">
        <f aca="false">VLOOKUP(C14,Process_Steps!$B$6:$C$14,2,FALSE())</f>
        <v>Invoicing and VAT</v>
      </c>
      <c r="E14" s="36" t="s">
        <v>145</v>
      </c>
      <c r="F14" s="47" t="s">
        <v>146</v>
      </c>
      <c r="G14" s="47" t="s">
        <v>147</v>
      </c>
      <c r="H14" s="48" t="n">
        <v>4</v>
      </c>
      <c r="I14" s="48" t="n">
        <v>3</v>
      </c>
      <c r="J14" s="49" t="n">
        <f aca="false">H14*I14</f>
        <v>12</v>
      </c>
      <c r="K14" s="50" t="str">
        <f aca="false">IF(J14&gt;=High_Score,"High",IF(J14&gt;=Med_Score,"Medium","Low"))</f>
        <v>Medium</v>
      </c>
      <c r="L14" s="37" t="n">
        <f aca="false">COUNTIF(Ctl_Risk,B14)</f>
        <v>1</v>
      </c>
      <c r="M14" s="38" t="n">
        <f aca="false">IFERROR(AVERAGEIFS(Ctl_Factor,Ctl_Risk,B14),0)</f>
        <v>0.1</v>
      </c>
      <c r="N14" s="51" t="n">
        <f aca="false">J14*(1-M14)</f>
        <v>10.8</v>
      </c>
      <c r="O14" s="50" t="str">
        <f aca="false">IF(N14&gt;=High_Score,"High",IF(N14&gt;=Med_Score,"Medium","Low"))</f>
        <v>Medium</v>
      </c>
      <c r="Q14" s="52" t="n">
        <f aca="false">N14+ROW()/1000000</f>
        <v>10.800014</v>
      </c>
    </row>
    <row r="15" customFormat="false" ht="27.75" hidden="false" customHeight="true" outlineLevel="0" collapsed="false">
      <c r="B15" s="34" t="s">
        <v>148</v>
      </c>
      <c r="C15" s="34" t="s">
        <v>98</v>
      </c>
      <c r="D15" s="46" t="str">
        <f aca="false">VLOOKUP(C15,Process_Steps!$B$6:$C$14,2,FALSE())</f>
        <v>Invoicing and VAT</v>
      </c>
      <c r="E15" s="36" t="s">
        <v>149</v>
      </c>
      <c r="F15" s="47" t="s">
        <v>128</v>
      </c>
      <c r="G15" s="47" t="s">
        <v>129</v>
      </c>
      <c r="H15" s="48" t="n">
        <v>3</v>
      </c>
      <c r="I15" s="48" t="n">
        <v>4</v>
      </c>
      <c r="J15" s="49" t="n">
        <f aca="false">H15*I15</f>
        <v>12</v>
      </c>
      <c r="K15" s="50" t="str">
        <f aca="false">IF(J15&gt;=High_Score,"High",IF(J15&gt;=Med_Score,"Medium","Low"))</f>
        <v>Medium</v>
      </c>
      <c r="L15" s="37" t="n">
        <f aca="false">COUNTIF(Ctl_Risk,B15)</f>
        <v>2</v>
      </c>
      <c r="M15" s="38" t="n">
        <f aca="false">IFERROR(AVERAGEIFS(Ctl_Factor,Ctl_Risk,B15),0)</f>
        <v>0.5</v>
      </c>
      <c r="N15" s="51" t="n">
        <f aca="false">J15*(1-M15)</f>
        <v>6</v>
      </c>
      <c r="O15" s="50" t="str">
        <f aca="false">IF(N15&gt;=High_Score,"High",IF(N15&gt;=Med_Score,"Medium","Low"))</f>
        <v>Low</v>
      </c>
      <c r="Q15" s="52" t="n">
        <f aca="false">N15+ROW()/1000000</f>
        <v>6.000015</v>
      </c>
    </row>
    <row r="16" customFormat="false" ht="27.75" hidden="false" customHeight="true" outlineLevel="0" collapsed="false">
      <c r="B16" s="34" t="s">
        <v>150</v>
      </c>
      <c r="C16" s="34" t="s">
        <v>98</v>
      </c>
      <c r="D16" s="46" t="str">
        <f aca="false">VLOOKUP(C16,Process_Steps!$B$6:$C$14,2,FALSE())</f>
        <v>Invoicing and VAT</v>
      </c>
      <c r="E16" s="36" t="s">
        <v>151</v>
      </c>
      <c r="F16" s="47" t="s">
        <v>146</v>
      </c>
      <c r="G16" s="47" t="s">
        <v>129</v>
      </c>
      <c r="H16" s="48" t="n">
        <v>2</v>
      </c>
      <c r="I16" s="48" t="n">
        <v>4</v>
      </c>
      <c r="J16" s="49" t="n">
        <f aca="false">H16*I16</f>
        <v>8</v>
      </c>
      <c r="K16" s="50" t="str">
        <f aca="false">IF(J16&gt;=High_Score,"High",IF(J16&gt;=Med_Score,"Medium","Low"))</f>
        <v>Medium</v>
      </c>
      <c r="L16" s="37" t="n">
        <f aca="false">COUNTIF(Ctl_Risk,B16)</f>
        <v>1</v>
      </c>
      <c r="M16" s="38" t="n">
        <f aca="false">IFERROR(AVERAGEIFS(Ctl_Factor,Ctl_Risk,B16),0)</f>
        <v>0.5</v>
      </c>
      <c r="N16" s="51" t="n">
        <f aca="false">J16*(1-M16)</f>
        <v>4</v>
      </c>
      <c r="O16" s="50" t="str">
        <f aca="false">IF(N16&gt;=High_Score,"High",IF(N16&gt;=Med_Score,"Medium","Low"))</f>
        <v>Low</v>
      </c>
      <c r="Q16" s="52" t="n">
        <f aca="false">N16+ROW()/1000000</f>
        <v>4.000016</v>
      </c>
    </row>
    <row r="17" customFormat="false" ht="27.75" hidden="false" customHeight="true" outlineLevel="0" collapsed="false">
      <c r="B17" s="34" t="s">
        <v>152</v>
      </c>
      <c r="C17" s="34" t="s">
        <v>101</v>
      </c>
      <c r="D17" s="46" t="str">
        <f aca="false">VLOOKUP(C17,Process_Steps!$B$6:$C$14,2,FALSE())</f>
        <v>Collection and cash application</v>
      </c>
      <c r="E17" s="36" t="s">
        <v>153</v>
      </c>
      <c r="F17" s="47" t="s">
        <v>139</v>
      </c>
      <c r="G17" s="47" t="s">
        <v>154</v>
      </c>
      <c r="H17" s="48" t="n">
        <v>3</v>
      </c>
      <c r="I17" s="48" t="n">
        <v>5</v>
      </c>
      <c r="J17" s="49" t="n">
        <f aca="false">H17*I17</f>
        <v>15</v>
      </c>
      <c r="K17" s="50" t="str">
        <f aca="false">IF(J17&gt;=High_Score,"High",IF(J17&gt;=Med_Score,"Medium","Low"))</f>
        <v>High</v>
      </c>
      <c r="L17" s="37" t="n">
        <f aca="false">COUNTIF(Ctl_Risk,B17)</f>
        <v>2</v>
      </c>
      <c r="M17" s="38" t="n">
        <f aca="false">IFERROR(AVERAGEIFS(Ctl_Factor,Ctl_Risk,B17),0)</f>
        <v>0.15</v>
      </c>
      <c r="N17" s="51" t="n">
        <f aca="false">J17*(1-M17)</f>
        <v>12.75</v>
      </c>
      <c r="O17" s="50" t="str">
        <f aca="false">IF(N17&gt;=High_Score,"High",IF(N17&gt;=Med_Score,"Medium","Low"))</f>
        <v>Medium</v>
      </c>
      <c r="Q17" s="52" t="n">
        <f aca="false">N17+ROW()/1000000</f>
        <v>12.750017</v>
      </c>
    </row>
    <row r="18" customFormat="false" ht="27.75" hidden="false" customHeight="true" outlineLevel="0" collapsed="false">
      <c r="B18" s="34" t="s">
        <v>155</v>
      </c>
      <c r="C18" s="34" t="s">
        <v>104</v>
      </c>
      <c r="D18" s="46" t="str">
        <f aca="false">VLOOKUP(C18,Process_Steps!$B$6:$C$14,2,FALSE())</f>
        <v>Credit notes, returns and receivables monitoring</v>
      </c>
      <c r="E18" s="36" t="s">
        <v>156</v>
      </c>
      <c r="F18" s="47" t="s">
        <v>124</v>
      </c>
      <c r="G18" s="47" t="s">
        <v>129</v>
      </c>
      <c r="H18" s="48" t="n">
        <v>3</v>
      </c>
      <c r="I18" s="48" t="n">
        <v>4</v>
      </c>
      <c r="J18" s="49" t="n">
        <f aca="false">H18*I18</f>
        <v>12</v>
      </c>
      <c r="K18" s="50" t="str">
        <f aca="false">IF(J18&gt;=High_Score,"High",IF(J18&gt;=Med_Score,"Medium","Low"))</f>
        <v>Medium</v>
      </c>
      <c r="L18" s="37" t="n">
        <f aca="false">COUNTIF(Ctl_Risk,B18)</f>
        <v>1</v>
      </c>
      <c r="M18" s="38" t="n">
        <f aca="false">IFERROR(AVERAGEIFS(Ctl_Factor,Ctl_Risk,B18),0)</f>
        <v>0.1</v>
      </c>
      <c r="N18" s="51" t="n">
        <f aca="false">J18*(1-M18)</f>
        <v>10.8</v>
      </c>
      <c r="O18" s="50" t="str">
        <f aca="false">IF(N18&gt;=High_Score,"High",IF(N18&gt;=Med_Score,"Medium","Low"))</f>
        <v>Medium</v>
      </c>
      <c r="Q18" s="52" t="n">
        <f aca="false">N18+ROW()/1000000</f>
        <v>10.800018</v>
      </c>
    </row>
    <row r="19" customFormat="false" ht="27.75" hidden="false" customHeight="true" outlineLevel="0" collapsed="false">
      <c r="B19" s="34" t="s">
        <v>157</v>
      </c>
      <c r="C19" s="34" t="s">
        <v>104</v>
      </c>
      <c r="D19" s="46" t="str">
        <f aca="false">VLOOKUP(C19,Process_Steps!$B$6:$C$14,2,FALSE())</f>
        <v>Credit notes, returns and receivables monitoring</v>
      </c>
      <c r="E19" s="36" t="s">
        <v>158</v>
      </c>
      <c r="F19" s="47" t="s">
        <v>134</v>
      </c>
      <c r="G19" s="47" t="s">
        <v>147</v>
      </c>
      <c r="H19" s="48" t="n">
        <v>4</v>
      </c>
      <c r="I19" s="48" t="n">
        <v>4</v>
      </c>
      <c r="J19" s="49" t="n">
        <f aca="false">H19*I19</f>
        <v>16</v>
      </c>
      <c r="K19" s="50" t="str">
        <f aca="false">IF(J19&gt;=High_Score,"High",IF(J19&gt;=Med_Score,"Medium","Low"))</f>
        <v>High</v>
      </c>
      <c r="L19" s="37" t="n">
        <f aca="false">COUNTIF(Ctl_Risk,B19)</f>
        <v>1</v>
      </c>
      <c r="M19" s="38" t="n">
        <f aca="false">IFERROR(AVERAGEIFS(Ctl_Factor,Ctl_Risk,B19),0)</f>
        <v>0.1</v>
      </c>
      <c r="N19" s="51" t="n">
        <f aca="false">J19*(1-M19)</f>
        <v>14.4</v>
      </c>
      <c r="O19" s="50" t="str">
        <f aca="false">IF(N19&gt;=High_Score,"High",IF(N19&gt;=Med_Score,"Medium","Low"))</f>
        <v>Medium</v>
      </c>
      <c r="Q19" s="52" t="n">
        <f aca="false">N19+ROW()/1000000</f>
        <v>14.400019</v>
      </c>
    </row>
    <row r="20" customFormat="false" ht="27.75" hidden="false" customHeight="true" outlineLevel="0" collapsed="false">
      <c r="B20" s="34" t="s">
        <v>159</v>
      </c>
      <c r="C20" s="34" t="s">
        <v>104</v>
      </c>
      <c r="D20" s="46" t="str">
        <f aca="false">VLOOKUP(C20,Process_Steps!$B$6:$C$14,2,FALSE())</f>
        <v>Credit notes, returns and receivables monitoring</v>
      </c>
      <c r="E20" s="36" t="s">
        <v>160</v>
      </c>
      <c r="F20" s="47" t="s">
        <v>161</v>
      </c>
      <c r="G20" s="47" t="s">
        <v>147</v>
      </c>
      <c r="H20" s="48" t="n">
        <v>3</v>
      </c>
      <c r="I20" s="48" t="n">
        <v>4</v>
      </c>
      <c r="J20" s="49" t="n">
        <f aca="false">H20*I20</f>
        <v>12</v>
      </c>
      <c r="K20" s="50" t="str">
        <f aca="false">IF(J20&gt;=High_Score,"High",IF(J20&gt;=Med_Score,"Medium","Low"))</f>
        <v>Medium</v>
      </c>
      <c r="L20" s="37" t="n">
        <f aca="false">COUNTIF(Ctl_Risk,B20)</f>
        <v>2</v>
      </c>
      <c r="M20" s="38" t="n">
        <f aca="false">IFERROR(AVERAGEIFS(Ctl_Factor,Ctl_Risk,B20),0)</f>
        <v>0.5</v>
      </c>
      <c r="N20" s="51" t="n">
        <f aca="false">J20*(1-M20)</f>
        <v>6</v>
      </c>
      <c r="O20" s="50" t="str">
        <f aca="false">IF(N20&gt;=High_Score,"High",IF(N20&gt;=Med_Score,"Medium","Low"))</f>
        <v>Low</v>
      </c>
      <c r="Q20" s="52" t="n">
        <f aca="false">N20+ROW()/1000000</f>
        <v>6.00002</v>
      </c>
    </row>
    <row r="21" customFormat="false" ht="27.75" hidden="false" customHeight="true" outlineLevel="0" collapsed="false">
      <c r="B21" s="34" t="s">
        <v>162</v>
      </c>
      <c r="C21" s="34" t="s">
        <v>104</v>
      </c>
      <c r="D21" s="46" t="str">
        <f aca="false">VLOOKUP(C21,Process_Steps!$B$6:$C$14,2,FALSE())</f>
        <v>Credit notes, returns and receivables monitoring</v>
      </c>
      <c r="E21" s="36" t="s">
        <v>163</v>
      </c>
      <c r="F21" s="47" t="s">
        <v>164</v>
      </c>
      <c r="G21" s="47" t="s">
        <v>165</v>
      </c>
      <c r="H21" s="48" t="n">
        <v>3</v>
      </c>
      <c r="I21" s="48" t="n">
        <v>3</v>
      </c>
      <c r="J21" s="49" t="n">
        <f aca="false">H21*I21</f>
        <v>9</v>
      </c>
      <c r="K21" s="50" t="str">
        <f aca="false">IF(J21&gt;=High_Score,"High",IF(J21&gt;=Med_Score,"Medium","Low"))</f>
        <v>Medium</v>
      </c>
      <c r="L21" s="37" t="n">
        <f aca="false">COUNTIF(Ctl_Risk,B21)</f>
        <v>1</v>
      </c>
      <c r="M21" s="38" t="n">
        <f aca="false">IFERROR(AVERAGEIFS(Ctl_Factor,Ctl_Risk,B21),0)</f>
        <v>0.5</v>
      </c>
      <c r="N21" s="51" t="n">
        <f aca="false">J21*(1-M21)</f>
        <v>4.5</v>
      </c>
      <c r="O21" s="50" t="str">
        <f aca="false">IF(N21&gt;=High_Score,"High",IF(N21&gt;=Med_Score,"Medium","Low"))</f>
        <v>Low</v>
      </c>
      <c r="Q21" s="52" t="n">
        <f aca="false">N21+ROW()/1000000</f>
        <v>4.500021</v>
      </c>
    </row>
  </sheetData>
  <conditionalFormatting sqref="K6:K21">
    <cfRule type="cellIs" priority="2" operator="equal" aboveAverage="0" equalAverage="0" bottom="0" percent="0" rank="0" text="" dxfId="1">
      <formula>"High"</formula>
    </cfRule>
    <cfRule type="cellIs" priority="3" operator="equal" aboveAverage="0" equalAverage="0" bottom="0" percent="0" rank="0" text="" dxfId="6">
      <formula>"Medium"</formula>
    </cfRule>
    <cfRule type="cellIs" priority="4" operator="equal" aboveAverage="0" equalAverage="0" bottom="0" percent="0" rank="0" text="" dxfId="0">
      <formula>"Low"</formula>
    </cfRule>
  </conditionalFormatting>
  <conditionalFormatting sqref="O6:O21">
    <cfRule type="cellIs" priority="5" operator="equal" aboveAverage="0" equalAverage="0" bottom="0" percent="0" rank="0" text="" dxfId="1">
      <formula>"High"</formula>
    </cfRule>
    <cfRule type="cellIs" priority="6" operator="equal" aboveAverage="0" equalAverage="0" bottom="0" percent="0" rank="0" text="" dxfId="6">
      <formula>"Medium"</formula>
    </cfRule>
    <cfRule type="cellIs" priority="7" operator="equal" aboveAverage="0" equalAverage="0" bottom="0" percent="0" rank="0" text="" dxfId="0">
      <formula>"Low"</formula>
    </cfRule>
  </conditionalFormatting>
  <dataValidations count="2">
    <dataValidation allowBlank="false" error="Enter a whole number from 1 to 5." errorStyle="stop" errorTitle="Invalid score" operator="between" showDropDown="false" showErrorMessage="true" showInputMessage="false" sqref="H6:I21" type="whole">
      <formula1>1</formula1>
      <formula2>5</formula2>
    </dataValidation>
    <dataValidation allowBlank="false" error="Pick a value from the list." errorStyle="stop" errorTitle="Invalid selection" operator="between" showDropDown="false" showErrorMessage="true" showInputMessage="false" sqref="F6:F21" type="list">
      <formula1>Assertion_List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B1:U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7"/>
    <col collapsed="false" customWidth="true" hidden="false" outlineLevel="0" max="5" min="5" style="0" width="62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6"/>
    <col collapsed="false" customWidth="true" hidden="false" outlineLevel="0" max="11" min="11" style="0" width="16"/>
    <col collapsed="false" customWidth="true" hidden="false" outlineLevel="0" max="13" min="12" style="0" width="10"/>
    <col collapsed="false" customWidth="true" hidden="false" outlineLevel="0" max="14" min="14" style="0" width="8"/>
    <col collapsed="false" customWidth="true" hidden="false" outlineLevel="0" max="17" min="15" style="0" width="10"/>
    <col collapsed="false" customWidth="true" hidden="false" outlineLevel="0" max="19" min="18" style="0" width="19"/>
    <col collapsed="false" customWidth="true" hidden="false" outlineLevel="0" max="20" min="20" style="0" width="10"/>
    <col collapsed="false" customWidth="true" hidden="false" outlineLevel="0" max="21" min="21" style="0" width="46"/>
  </cols>
  <sheetData>
    <row r="1" customFormat="false" ht="24" hidden="false" customHeight="true" outlineLevel="0" collapsed="false">
      <c r="B1" s="17" t="s">
        <v>166</v>
      </c>
    </row>
    <row r="2" customFormat="false" ht="15" hidden="false" customHeight="false" outlineLevel="0" collapsed="false">
      <c r="B2" s="18" t="s">
        <v>167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43.5" hidden="false" customHeight="true" outlineLevel="0" collapsed="false">
      <c r="B5" s="32" t="s">
        <v>69</v>
      </c>
      <c r="C5" s="33" t="s">
        <v>111</v>
      </c>
      <c r="D5" s="33" t="s">
        <v>110</v>
      </c>
      <c r="E5" s="33" t="s">
        <v>168</v>
      </c>
      <c r="F5" s="33" t="s">
        <v>169</v>
      </c>
      <c r="G5" s="33" t="s">
        <v>170</v>
      </c>
      <c r="H5" s="33" t="s">
        <v>171</v>
      </c>
      <c r="I5" s="33" t="s">
        <v>172</v>
      </c>
      <c r="J5" s="33" t="s">
        <v>173</v>
      </c>
      <c r="K5" s="33" t="s">
        <v>174</v>
      </c>
      <c r="L5" s="33" t="s">
        <v>175</v>
      </c>
      <c r="M5" s="33" t="s">
        <v>176</v>
      </c>
      <c r="N5" s="33" t="s">
        <v>177</v>
      </c>
      <c r="O5" s="33" t="s">
        <v>178</v>
      </c>
      <c r="P5" s="33" t="s">
        <v>179</v>
      </c>
      <c r="Q5" s="33" t="s">
        <v>180</v>
      </c>
      <c r="R5" s="33" t="s">
        <v>181</v>
      </c>
      <c r="S5" s="33" t="s">
        <v>182</v>
      </c>
      <c r="T5" s="33" t="s">
        <v>183</v>
      </c>
      <c r="U5" s="33" t="s">
        <v>184</v>
      </c>
    </row>
    <row r="6" customFormat="false" ht="36" hidden="false" customHeight="true" outlineLevel="0" collapsed="false">
      <c r="B6" s="34" t="s">
        <v>185</v>
      </c>
      <c r="C6" s="34" t="s">
        <v>122</v>
      </c>
      <c r="D6" s="50" t="str">
        <f aca="false">VLOOKUP(C6,Risks!$B$6:$C$21,2,FALSE())</f>
        <v>P1</v>
      </c>
      <c r="E6" s="36" t="s">
        <v>186</v>
      </c>
      <c r="F6" s="47" t="s">
        <v>187</v>
      </c>
      <c r="G6" s="53" t="s">
        <v>188</v>
      </c>
      <c r="H6" s="47" t="s">
        <v>189</v>
      </c>
      <c r="I6" s="47" t="s">
        <v>190</v>
      </c>
      <c r="J6" s="34" t="s">
        <v>191</v>
      </c>
      <c r="K6" s="47" t="s">
        <v>74</v>
      </c>
      <c r="L6" s="54" t="n">
        <v>38</v>
      </c>
      <c r="M6" s="55" t="str">
        <f aca="false">IF(VLOOKUP(C6,Risks!$B$6:$J$21,9,FALSE())&gt;=Elev_Score,"Elevated","Standard")</f>
        <v>Standard</v>
      </c>
      <c r="N6" s="37" t="n">
        <f aca="false">IF(K6="Missing",0,IF(H6="Automated",1,MIN(L6,VLOOKUP(I6,Sampling_Table,IF(M6="Elevated",3,2),FALSE()))))</f>
        <v>15</v>
      </c>
      <c r="O6" s="48" t="n">
        <v>1</v>
      </c>
      <c r="P6" s="56" t="n">
        <f aca="false">IFERROR(O6/N6,0)</f>
        <v>0.0666666666666667</v>
      </c>
      <c r="Q6" s="38" t="n">
        <f aca="false">IF(M6="Elevated",Tol_Elev,Tol_Std)</f>
        <v>0.1</v>
      </c>
      <c r="R6" s="46" t="str">
        <f aca="false">IF(K6="Missing","Not operating",IF(O6=0,"Effective",IF(AND(N6&gt;5,P6&lt;=Q6),"Effective with exceptions","Ineffective")))</f>
        <v>Effective with exceptions</v>
      </c>
      <c r="S6" s="57" t="str">
        <f aca="false">IF(OR(K6="Missing",R6="Ineffective",R6="Not operating"),"Ineffective",IF(K6="Needs improvement","Needs improvement",R6))</f>
        <v>Effective with exceptions</v>
      </c>
      <c r="T6" s="38" t="n">
        <f aca="false">VLOOKUP(S6,Factor_Table,2,FALSE())</f>
        <v>0.35</v>
      </c>
      <c r="U6" s="58" t="s">
        <v>192</v>
      </c>
    </row>
    <row r="7" customFormat="false" ht="36" hidden="false" customHeight="true" outlineLevel="0" collapsed="false">
      <c r="B7" s="34" t="s">
        <v>193</v>
      </c>
      <c r="C7" s="34" t="s">
        <v>132</v>
      </c>
      <c r="D7" s="50" t="str">
        <f aca="false">VLOOKUP(C7,Risks!$B$6:$C$21,2,FALSE())</f>
        <v>P4</v>
      </c>
      <c r="E7" s="36" t="s">
        <v>194</v>
      </c>
      <c r="F7" s="47" t="s">
        <v>195</v>
      </c>
      <c r="G7" s="53" t="s">
        <v>188</v>
      </c>
      <c r="H7" s="47" t="s">
        <v>189</v>
      </c>
      <c r="I7" s="47" t="s">
        <v>196</v>
      </c>
      <c r="J7" s="34" t="s">
        <v>191</v>
      </c>
      <c r="K7" s="47" t="s">
        <v>74</v>
      </c>
      <c r="L7" s="54" t="n">
        <v>39</v>
      </c>
      <c r="M7" s="55" t="str">
        <f aca="false">IF(VLOOKUP(C7,Risks!$B$6:$J$21,9,FALSE())&gt;=Elev_Score,"Elevated","Standard")</f>
        <v>Elevated</v>
      </c>
      <c r="N7" s="37" t="n">
        <f aca="false">IF(K7="Missing",0,IF(H7="Automated",1,MIN(L7,VLOOKUP(I7,Sampling_Table,IF(M7="Elevated",3,2),FALSE()))))</f>
        <v>12</v>
      </c>
      <c r="O7" s="48" t="n">
        <v>2</v>
      </c>
      <c r="P7" s="56" t="n">
        <f aca="false">IFERROR(O7/N7,0)</f>
        <v>0.166666666666667</v>
      </c>
      <c r="Q7" s="38" t="n">
        <f aca="false">IF(M7="Elevated",Tol_Elev,Tol_Std)</f>
        <v>0.05</v>
      </c>
      <c r="R7" s="46" t="str">
        <f aca="false">IF(K7="Missing","Not operating",IF(O7=0,"Effective",IF(AND(N7&gt;5,P7&lt;=Q7),"Effective with exceptions","Ineffective")))</f>
        <v>Ineffective</v>
      </c>
      <c r="S7" s="57" t="str">
        <f aca="false">IF(OR(K7="Missing",R7="Ineffective",R7="Not operating"),"Ineffective",IF(K7="Needs improvement","Needs improvement",R7))</f>
        <v>Ineffective</v>
      </c>
      <c r="T7" s="38" t="n">
        <f aca="false">VLOOKUP(S7,Factor_Table,2,FALSE())</f>
        <v>0.1</v>
      </c>
      <c r="U7" s="58" t="s">
        <v>197</v>
      </c>
    </row>
    <row r="8" customFormat="false" ht="36" hidden="false" customHeight="true" outlineLevel="0" collapsed="false">
      <c r="B8" s="34" t="s">
        <v>198</v>
      </c>
      <c r="C8" s="34" t="s">
        <v>126</v>
      </c>
      <c r="D8" s="50" t="str">
        <f aca="false">VLOOKUP(C8,Risks!$B$6:$C$21,2,FALSE())</f>
        <v>P2</v>
      </c>
      <c r="E8" s="36" t="s">
        <v>199</v>
      </c>
      <c r="F8" s="47" t="s">
        <v>200</v>
      </c>
      <c r="G8" s="53" t="s">
        <v>201</v>
      </c>
      <c r="H8" s="47" t="s">
        <v>189</v>
      </c>
      <c r="I8" s="47" t="s">
        <v>202</v>
      </c>
      <c r="J8" s="34" t="s">
        <v>203</v>
      </c>
      <c r="K8" s="47" t="s">
        <v>74</v>
      </c>
      <c r="L8" s="54" t="n">
        <v>9</v>
      </c>
      <c r="M8" s="55" t="str">
        <f aca="false">IF(VLOOKUP(C8,Risks!$B$6:$J$21,9,FALSE())&gt;=Elev_Score,"Elevated","Standard")</f>
        <v>Standard</v>
      </c>
      <c r="N8" s="37" t="n">
        <f aca="false">IF(K8="Missing",0,IF(H8="Automated",1,MIN(L8,VLOOKUP(I8,Sampling_Table,IF(M8="Elevated",3,2),FALSE()))))</f>
        <v>2</v>
      </c>
      <c r="O8" s="48" t="n">
        <v>1</v>
      </c>
      <c r="P8" s="56" t="n">
        <f aca="false">IFERROR(O8/N8,0)</f>
        <v>0.5</v>
      </c>
      <c r="Q8" s="38" t="n">
        <f aca="false">IF(M8="Elevated",Tol_Elev,Tol_Std)</f>
        <v>0.1</v>
      </c>
      <c r="R8" s="46" t="str">
        <f aca="false">IF(K8="Missing","Not operating",IF(O8=0,"Effective",IF(AND(N8&gt;5,P8&lt;=Q8),"Effective with exceptions","Ineffective")))</f>
        <v>Ineffective</v>
      </c>
      <c r="S8" s="57" t="str">
        <f aca="false">IF(OR(K8="Missing",R8="Ineffective",R8="Not operating"),"Ineffective",IF(K8="Needs improvement","Needs improvement",R8))</f>
        <v>Ineffective</v>
      </c>
      <c r="T8" s="38" t="n">
        <f aca="false">VLOOKUP(S8,Factor_Table,2,FALSE())</f>
        <v>0.1</v>
      </c>
      <c r="U8" s="58" t="s">
        <v>204</v>
      </c>
    </row>
    <row r="9" customFormat="false" ht="36" hidden="false" customHeight="true" outlineLevel="0" collapsed="false">
      <c r="B9" s="34" t="s">
        <v>205</v>
      </c>
      <c r="C9" s="34" t="s">
        <v>126</v>
      </c>
      <c r="D9" s="50" t="str">
        <f aca="false">VLOOKUP(C9,Risks!$B$6:$C$21,2,FALSE())</f>
        <v>P2</v>
      </c>
      <c r="E9" s="36" t="s">
        <v>206</v>
      </c>
      <c r="F9" s="47" t="s">
        <v>207</v>
      </c>
      <c r="G9" s="53" t="s">
        <v>188</v>
      </c>
      <c r="H9" s="47" t="s">
        <v>208</v>
      </c>
      <c r="I9" s="47" t="s">
        <v>209</v>
      </c>
      <c r="J9" s="34" t="s">
        <v>191</v>
      </c>
      <c r="K9" s="47" t="s">
        <v>74</v>
      </c>
      <c r="L9" s="54" t="n">
        <v>2400</v>
      </c>
      <c r="M9" s="55" t="str">
        <f aca="false">IF(VLOOKUP(C9,Risks!$B$6:$J$21,9,FALSE())&gt;=Elev_Score,"Elevated","Standard")</f>
        <v>Standard</v>
      </c>
      <c r="N9" s="37" t="n">
        <f aca="false">IF(K9="Missing",0,IF(H9="Automated",1,MIN(L9,VLOOKUP(I9,Sampling_Table,IF(M9="Elevated",3,2),FALSE()))))</f>
        <v>1</v>
      </c>
      <c r="O9" s="48" t="n">
        <v>0</v>
      </c>
      <c r="P9" s="56" t="n">
        <f aca="false">IFERROR(O9/N9,0)</f>
        <v>0</v>
      </c>
      <c r="Q9" s="38" t="n">
        <f aca="false">IF(M9="Elevated",Tol_Elev,Tol_Std)</f>
        <v>0.1</v>
      </c>
      <c r="R9" s="46" t="str">
        <f aca="false">IF(K9="Missing","Not operating",IF(O9=0,"Effective",IF(AND(N9&gt;5,P9&lt;=Q9),"Effective with exceptions","Ineffective")))</f>
        <v>Effective</v>
      </c>
      <c r="S9" s="57" t="str">
        <f aca="false">IF(OR(K9="Missing",R9="Ineffective",R9="Not operating"),"Ineffective",IF(K9="Needs improvement","Needs improvement",R9))</f>
        <v>Effective</v>
      </c>
      <c r="T9" s="38" t="n">
        <f aca="false">VLOOKUP(S9,Factor_Table,2,FALSE())</f>
        <v>0.5</v>
      </c>
      <c r="U9" s="58" t="s">
        <v>210</v>
      </c>
    </row>
    <row r="10" customFormat="false" ht="36" hidden="false" customHeight="true" outlineLevel="0" collapsed="false">
      <c r="B10" s="34" t="s">
        <v>211</v>
      </c>
      <c r="C10" s="34" t="s">
        <v>130</v>
      </c>
      <c r="D10" s="50" t="str">
        <f aca="false">VLOOKUP(C10,Risks!$B$6:$C$21,2,FALSE())</f>
        <v>P2</v>
      </c>
      <c r="E10" s="36" t="s">
        <v>212</v>
      </c>
      <c r="F10" s="47" t="s">
        <v>213</v>
      </c>
      <c r="G10" s="53" t="s">
        <v>188</v>
      </c>
      <c r="H10" s="47" t="s">
        <v>189</v>
      </c>
      <c r="I10" s="47" t="s">
        <v>202</v>
      </c>
      <c r="J10" s="34" t="s">
        <v>203</v>
      </c>
      <c r="K10" s="47" t="s">
        <v>74</v>
      </c>
      <c r="L10" s="54" t="n">
        <v>9</v>
      </c>
      <c r="M10" s="55" t="str">
        <f aca="false">IF(VLOOKUP(C10,Risks!$B$6:$J$21,9,FALSE())&gt;=Elev_Score,"Elevated","Standard")</f>
        <v>Standard</v>
      </c>
      <c r="N10" s="37" t="n">
        <f aca="false">IF(K10="Missing",0,IF(H10="Automated",1,MIN(L10,VLOOKUP(I10,Sampling_Table,IF(M10="Elevated",3,2),FALSE()))))</f>
        <v>2</v>
      </c>
      <c r="O10" s="48" t="n">
        <v>0</v>
      </c>
      <c r="P10" s="56" t="n">
        <f aca="false">IFERROR(O10/N10,0)</f>
        <v>0</v>
      </c>
      <c r="Q10" s="38" t="n">
        <f aca="false">IF(M10="Elevated",Tol_Elev,Tol_Std)</f>
        <v>0.1</v>
      </c>
      <c r="R10" s="46" t="str">
        <f aca="false">IF(K10="Missing","Not operating",IF(O10=0,"Effective",IF(AND(N10&gt;5,P10&lt;=Q10),"Effective with exceptions","Ineffective")))</f>
        <v>Effective</v>
      </c>
      <c r="S10" s="57" t="str">
        <f aca="false">IF(OR(K10="Missing",R10="Ineffective",R10="Not operating"),"Ineffective",IF(K10="Needs improvement","Needs improvement",R10))</f>
        <v>Effective</v>
      </c>
      <c r="T10" s="38" t="n">
        <f aca="false">VLOOKUP(S10,Factor_Table,2,FALSE())</f>
        <v>0.5</v>
      </c>
      <c r="U10" s="58"/>
    </row>
    <row r="11" customFormat="false" ht="36" hidden="false" customHeight="true" outlineLevel="0" collapsed="false">
      <c r="B11" s="34" t="s">
        <v>214</v>
      </c>
      <c r="C11" s="34" t="s">
        <v>130</v>
      </c>
      <c r="D11" s="50" t="str">
        <f aca="false">VLOOKUP(C11,Risks!$B$6:$C$21,2,FALSE())</f>
        <v>P2</v>
      </c>
      <c r="E11" s="36" t="s">
        <v>215</v>
      </c>
      <c r="F11" s="47" t="s">
        <v>207</v>
      </c>
      <c r="G11" s="53" t="s">
        <v>188</v>
      </c>
      <c r="H11" s="47" t="s">
        <v>208</v>
      </c>
      <c r="I11" s="47" t="s">
        <v>209</v>
      </c>
      <c r="J11" s="34" t="s">
        <v>191</v>
      </c>
      <c r="K11" s="47" t="s">
        <v>74</v>
      </c>
      <c r="L11" s="54" t="n">
        <v>2400</v>
      </c>
      <c r="M11" s="55" t="str">
        <f aca="false">IF(VLOOKUP(C11,Risks!$B$6:$J$21,9,FALSE())&gt;=Elev_Score,"Elevated","Standard")</f>
        <v>Standard</v>
      </c>
      <c r="N11" s="37" t="n">
        <f aca="false">IF(K11="Missing",0,IF(H11="Automated",1,MIN(L11,VLOOKUP(I11,Sampling_Table,IF(M11="Elevated",3,2),FALSE()))))</f>
        <v>1</v>
      </c>
      <c r="O11" s="48" t="n">
        <v>0</v>
      </c>
      <c r="P11" s="56" t="n">
        <f aca="false">IFERROR(O11/N11,0)</f>
        <v>0</v>
      </c>
      <c r="Q11" s="38" t="n">
        <f aca="false">IF(M11="Elevated",Tol_Elev,Tol_Std)</f>
        <v>0.1</v>
      </c>
      <c r="R11" s="46" t="str">
        <f aca="false">IF(K11="Missing","Not operating",IF(O11=0,"Effective",IF(AND(N11&gt;5,P11&lt;=Q11),"Effective with exceptions","Ineffective")))</f>
        <v>Effective</v>
      </c>
      <c r="S11" s="57" t="str">
        <f aca="false">IF(OR(K11="Missing",R11="Ineffective",R11="Not operating"),"Ineffective",IF(K11="Needs improvement","Needs improvement",R11))</f>
        <v>Effective</v>
      </c>
      <c r="T11" s="38" t="n">
        <f aca="false">VLOOKUP(S11,Factor_Table,2,FALSE())</f>
        <v>0.5</v>
      </c>
      <c r="U11" s="58" t="s">
        <v>216</v>
      </c>
    </row>
    <row r="12" customFormat="false" ht="36" hidden="false" customHeight="true" outlineLevel="0" collapsed="false">
      <c r="B12" s="34" t="s">
        <v>217</v>
      </c>
      <c r="C12" s="34" t="s">
        <v>132</v>
      </c>
      <c r="D12" s="50" t="str">
        <f aca="false">VLOOKUP(C12,Risks!$B$6:$C$21,2,FALSE())</f>
        <v>P4</v>
      </c>
      <c r="E12" s="36" t="s">
        <v>218</v>
      </c>
      <c r="F12" s="47" t="s">
        <v>219</v>
      </c>
      <c r="G12" s="53" t="s">
        <v>188</v>
      </c>
      <c r="H12" s="47" t="s">
        <v>208</v>
      </c>
      <c r="I12" s="47" t="s">
        <v>209</v>
      </c>
      <c r="J12" s="34" t="s">
        <v>191</v>
      </c>
      <c r="K12" s="47" t="s">
        <v>74</v>
      </c>
      <c r="L12" s="54" t="n">
        <v>2400</v>
      </c>
      <c r="M12" s="55" t="str">
        <f aca="false">IF(VLOOKUP(C12,Risks!$B$6:$J$21,9,FALSE())&gt;=Elev_Score,"Elevated","Standard")</f>
        <v>Elevated</v>
      </c>
      <c r="N12" s="37" t="n">
        <f aca="false">IF(K12="Missing",0,IF(H12="Automated",1,MIN(L12,VLOOKUP(I12,Sampling_Table,IF(M12="Elevated",3,2),FALSE()))))</f>
        <v>1</v>
      </c>
      <c r="O12" s="48" t="n">
        <v>0</v>
      </c>
      <c r="P12" s="56" t="n">
        <f aca="false">IFERROR(O12/N12,0)</f>
        <v>0</v>
      </c>
      <c r="Q12" s="38" t="n">
        <f aca="false">IF(M12="Elevated",Tol_Elev,Tol_Std)</f>
        <v>0.05</v>
      </c>
      <c r="R12" s="46" t="str">
        <f aca="false">IF(K12="Missing","Not operating",IF(O12=0,"Effective",IF(AND(N12&gt;5,P12&lt;=Q12),"Effective with exceptions","Ineffective")))</f>
        <v>Effective</v>
      </c>
      <c r="S12" s="57" t="str">
        <f aca="false">IF(OR(K12="Missing",R12="Ineffective",R12="Not operating"),"Ineffective",IF(K12="Needs improvement","Needs improvement",R12))</f>
        <v>Effective</v>
      </c>
      <c r="T12" s="38" t="n">
        <f aca="false">VLOOKUP(S12,Factor_Table,2,FALSE())</f>
        <v>0.5</v>
      </c>
      <c r="U12" s="58" t="s">
        <v>220</v>
      </c>
    </row>
    <row r="13" customFormat="false" ht="36" hidden="false" customHeight="true" outlineLevel="0" collapsed="false">
      <c r="B13" s="34" t="s">
        <v>221</v>
      </c>
      <c r="C13" s="34" t="s">
        <v>132</v>
      </c>
      <c r="D13" s="50" t="str">
        <f aca="false">VLOOKUP(C13,Risks!$B$6:$C$21,2,FALSE())</f>
        <v>P4</v>
      </c>
      <c r="E13" s="36" t="s">
        <v>222</v>
      </c>
      <c r="F13" s="47" t="s">
        <v>219</v>
      </c>
      <c r="G13" s="53" t="s">
        <v>201</v>
      </c>
      <c r="H13" s="47" t="s">
        <v>189</v>
      </c>
      <c r="I13" s="47" t="s">
        <v>196</v>
      </c>
      <c r="J13" s="34" t="s">
        <v>191</v>
      </c>
      <c r="K13" s="47" t="s">
        <v>74</v>
      </c>
      <c r="L13" s="54" t="n">
        <v>39</v>
      </c>
      <c r="M13" s="55" t="str">
        <f aca="false">IF(VLOOKUP(C13,Risks!$B$6:$J$21,9,FALSE())&gt;=Elev_Score,"Elevated","Standard")</f>
        <v>Elevated</v>
      </c>
      <c r="N13" s="37" t="n">
        <f aca="false">IF(K13="Missing",0,IF(H13="Automated",1,MIN(L13,VLOOKUP(I13,Sampling_Table,IF(M13="Elevated",3,2),FALSE()))))</f>
        <v>12</v>
      </c>
      <c r="O13" s="48" t="n">
        <v>3</v>
      </c>
      <c r="P13" s="56" t="n">
        <f aca="false">IFERROR(O13/N13,0)</f>
        <v>0.25</v>
      </c>
      <c r="Q13" s="38" t="n">
        <f aca="false">IF(M13="Elevated",Tol_Elev,Tol_Std)</f>
        <v>0.05</v>
      </c>
      <c r="R13" s="46" t="str">
        <f aca="false">IF(K13="Missing","Not operating",IF(O13=0,"Effective",IF(AND(N13&gt;5,P13&lt;=Q13),"Effective with exceptions","Ineffective")))</f>
        <v>Ineffective</v>
      </c>
      <c r="S13" s="57" t="str">
        <f aca="false">IF(OR(K13="Missing",R13="Ineffective",R13="Not operating"),"Ineffective",IF(K13="Needs improvement","Needs improvement",R13))</f>
        <v>Ineffective</v>
      </c>
      <c r="T13" s="38" t="n">
        <f aca="false">VLOOKUP(S13,Factor_Table,2,FALSE())</f>
        <v>0.1</v>
      </c>
      <c r="U13" s="58" t="s">
        <v>223</v>
      </c>
    </row>
    <row r="14" customFormat="false" ht="36" hidden="false" customHeight="true" outlineLevel="0" collapsed="false">
      <c r="B14" s="34" t="s">
        <v>224</v>
      </c>
      <c r="C14" s="34" t="s">
        <v>135</v>
      </c>
      <c r="D14" s="50" t="str">
        <f aca="false">VLOOKUP(C14,Risks!$B$6:$C$21,2,FALSE())</f>
        <v>P3</v>
      </c>
      <c r="E14" s="36" t="s">
        <v>225</v>
      </c>
      <c r="F14" s="47" t="s">
        <v>226</v>
      </c>
      <c r="G14" s="53" t="s">
        <v>188</v>
      </c>
      <c r="H14" s="47" t="s">
        <v>189</v>
      </c>
      <c r="I14" s="47" t="s">
        <v>227</v>
      </c>
      <c r="J14" s="34" t="s">
        <v>203</v>
      </c>
      <c r="K14" s="47" t="s">
        <v>74</v>
      </c>
      <c r="L14" s="54" t="n">
        <v>190</v>
      </c>
      <c r="M14" s="55" t="str">
        <f aca="false">IF(VLOOKUP(C14,Risks!$B$6:$J$21,9,FALSE())&gt;=Elev_Score,"Elevated","Standard")</f>
        <v>Standard</v>
      </c>
      <c r="N14" s="37" t="n">
        <f aca="false">IF(K14="Missing",0,IF(H14="Automated",1,MIN(L14,VLOOKUP(I14,Sampling_Table,IF(M14="Elevated",3,2),FALSE()))))</f>
        <v>20</v>
      </c>
      <c r="O14" s="48" t="n">
        <v>2</v>
      </c>
      <c r="P14" s="56" t="n">
        <f aca="false">IFERROR(O14/N14,0)</f>
        <v>0.1</v>
      </c>
      <c r="Q14" s="38" t="n">
        <f aca="false">IF(M14="Elevated",Tol_Elev,Tol_Std)</f>
        <v>0.1</v>
      </c>
      <c r="R14" s="46" t="str">
        <f aca="false">IF(K14="Missing","Not operating",IF(O14=0,"Effective",IF(AND(N14&gt;5,P14&lt;=Q14),"Effective with exceptions","Ineffective")))</f>
        <v>Effective with exceptions</v>
      </c>
      <c r="S14" s="57" t="str">
        <f aca="false">IF(OR(K14="Missing",R14="Ineffective",R14="Not operating"),"Ineffective",IF(K14="Needs improvement","Needs improvement",R14))</f>
        <v>Effective with exceptions</v>
      </c>
      <c r="T14" s="38" t="n">
        <f aca="false">VLOOKUP(S14,Factor_Table,2,FALSE())</f>
        <v>0.35</v>
      </c>
      <c r="U14" s="58" t="s">
        <v>228</v>
      </c>
    </row>
    <row r="15" customFormat="false" ht="36" hidden="false" customHeight="true" outlineLevel="0" collapsed="false">
      <c r="B15" s="34" t="s">
        <v>229</v>
      </c>
      <c r="C15" s="34" t="s">
        <v>137</v>
      </c>
      <c r="D15" s="50" t="str">
        <f aca="false">VLOOKUP(C15,Risks!$B$6:$C$21,2,FALSE())</f>
        <v>P5</v>
      </c>
      <c r="E15" s="36" t="s">
        <v>230</v>
      </c>
      <c r="F15" s="47" t="s">
        <v>231</v>
      </c>
      <c r="G15" s="53" t="s">
        <v>188</v>
      </c>
      <c r="H15" s="47" t="s">
        <v>189</v>
      </c>
      <c r="I15" s="47" t="s">
        <v>209</v>
      </c>
      <c r="J15" s="34" t="s">
        <v>191</v>
      </c>
      <c r="K15" s="47" t="s">
        <v>74</v>
      </c>
      <c r="L15" s="54" t="n">
        <v>2400</v>
      </c>
      <c r="M15" s="55" t="str">
        <f aca="false">IF(VLOOKUP(C15,Risks!$B$6:$J$21,9,FALSE())&gt;=Elev_Score,"Elevated","Standard")</f>
        <v>Standard</v>
      </c>
      <c r="N15" s="37" t="n">
        <f aca="false">IF(K15="Missing",0,IF(H15="Automated",1,MIN(L15,VLOOKUP(I15,Sampling_Table,IF(M15="Elevated",3,2),FALSE()))))</f>
        <v>25</v>
      </c>
      <c r="O15" s="48" t="n">
        <v>1</v>
      </c>
      <c r="P15" s="56" t="n">
        <f aca="false">IFERROR(O15/N15,0)</f>
        <v>0.04</v>
      </c>
      <c r="Q15" s="38" t="n">
        <f aca="false">IF(M15="Elevated",Tol_Elev,Tol_Std)</f>
        <v>0.1</v>
      </c>
      <c r="R15" s="46" t="str">
        <f aca="false">IF(K15="Missing","Not operating",IF(O15=0,"Effective",IF(AND(N15&gt;5,P15&lt;=Q15),"Effective with exceptions","Ineffective")))</f>
        <v>Effective with exceptions</v>
      </c>
      <c r="S15" s="57" t="str">
        <f aca="false">IF(OR(K15="Missing",R15="Ineffective",R15="Not operating"),"Ineffective",IF(K15="Needs improvement","Needs improvement",R15))</f>
        <v>Effective with exceptions</v>
      </c>
      <c r="T15" s="38" t="n">
        <f aca="false">VLOOKUP(S15,Factor_Table,2,FALSE())</f>
        <v>0.35</v>
      </c>
      <c r="U15" s="58" t="s">
        <v>232</v>
      </c>
    </row>
    <row r="16" customFormat="false" ht="36" hidden="false" customHeight="true" outlineLevel="0" collapsed="false">
      <c r="B16" s="34" t="s">
        <v>233</v>
      </c>
      <c r="C16" s="34" t="s">
        <v>140</v>
      </c>
      <c r="D16" s="50" t="str">
        <f aca="false">VLOOKUP(C16,Risks!$B$6:$C$21,2,FALSE())</f>
        <v>P5</v>
      </c>
      <c r="E16" s="36" t="s">
        <v>234</v>
      </c>
      <c r="F16" s="47" t="s">
        <v>231</v>
      </c>
      <c r="G16" s="53" t="s">
        <v>188</v>
      </c>
      <c r="H16" s="47" t="s">
        <v>235</v>
      </c>
      <c r="I16" s="47" t="s">
        <v>209</v>
      </c>
      <c r="J16" s="34" t="s">
        <v>203</v>
      </c>
      <c r="K16" s="47" t="s">
        <v>74</v>
      </c>
      <c r="L16" s="54" t="n">
        <v>2400</v>
      </c>
      <c r="M16" s="55" t="str">
        <f aca="false">IF(VLOOKUP(C16,Risks!$B$6:$J$21,9,FALSE())&gt;=Elev_Score,"Elevated","Standard")</f>
        <v>Standard</v>
      </c>
      <c r="N16" s="37" t="n">
        <f aca="false">IF(K16="Missing",0,IF(H16="Automated",1,MIN(L16,VLOOKUP(I16,Sampling_Table,IF(M16="Elevated",3,2),FALSE()))))</f>
        <v>25</v>
      </c>
      <c r="O16" s="48" t="n">
        <v>0</v>
      </c>
      <c r="P16" s="56" t="n">
        <f aca="false">IFERROR(O16/N16,0)</f>
        <v>0</v>
      </c>
      <c r="Q16" s="38" t="n">
        <f aca="false">IF(M16="Elevated",Tol_Elev,Tol_Std)</f>
        <v>0.1</v>
      </c>
      <c r="R16" s="46" t="str">
        <f aca="false">IF(K16="Missing","Not operating",IF(O16=0,"Effective",IF(AND(N16&gt;5,P16&lt;=Q16),"Effective with exceptions","Ineffective")))</f>
        <v>Effective</v>
      </c>
      <c r="S16" s="57" t="str">
        <f aca="false">IF(OR(K16="Missing",R16="Ineffective",R16="Not operating"),"Ineffective",IF(K16="Needs improvement","Needs improvement",R16))</f>
        <v>Effective</v>
      </c>
      <c r="T16" s="38" t="n">
        <f aca="false">VLOOKUP(S16,Factor_Table,2,FALSE())</f>
        <v>0.5</v>
      </c>
      <c r="U16" s="58"/>
    </row>
    <row r="17" customFormat="false" ht="36" hidden="false" customHeight="true" outlineLevel="0" collapsed="false">
      <c r="B17" s="34" t="s">
        <v>236</v>
      </c>
      <c r="C17" s="34" t="s">
        <v>140</v>
      </c>
      <c r="D17" s="50" t="str">
        <f aca="false">VLOOKUP(C17,Risks!$B$6:$C$21,2,FALSE())</f>
        <v>P5</v>
      </c>
      <c r="E17" s="36" t="s">
        <v>237</v>
      </c>
      <c r="F17" s="47" t="s">
        <v>238</v>
      </c>
      <c r="G17" s="53" t="s">
        <v>201</v>
      </c>
      <c r="H17" s="47" t="s">
        <v>189</v>
      </c>
      <c r="I17" s="47" t="s">
        <v>202</v>
      </c>
      <c r="J17" s="34" t="s">
        <v>191</v>
      </c>
      <c r="K17" s="47" t="s">
        <v>74</v>
      </c>
      <c r="L17" s="54" t="n">
        <v>9</v>
      </c>
      <c r="M17" s="55" t="str">
        <f aca="false">IF(VLOOKUP(C17,Risks!$B$6:$J$21,9,FALSE())&gt;=Elev_Score,"Elevated","Standard")</f>
        <v>Standard</v>
      </c>
      <c r="N17" s="37" t="n">
        <f aca="false">IF(K17="Missing",0,IF(H17="Automated",1,MIN(L17,VLOOKUP(I17,Sampling_Table,IF(M17="Elevated",3,2),FALSE()))))</f>
        <v>2</v>
      </c>
      <c r="O17" s="48" t="n">
        <v>0</v>
      </c>
      <c r="P17" s="56" t="n">
        <f aca="false">IFERROR(O17/N17,0)</f>
        <v>0</v>
      </c>
      <c r="Q17" s="38" t="n">
        <f aca="false">IF(M17="Elevated",Tol_Elev,Tol_Std)</f>
        <v>0.1</v>
      </c>
      <c r="R17" s="46" t="str">
        <f aca="false">IF(K17="Missing","Not operating",IF(O17=0,"Effective",IF(AND(N17&gt;5,P17&lt;=Q17),"Effective with exceptions","Ineffective")))</f>
        <v>Effective</v>
      </c>
      <c r="S17" s="57" t="str">
        <f aca="false">IF(OR(K17="Missing",R17="Ineffective",R17="Not operating"),"Ineffective",IF(K17="Needs improvement","Needs improvement",R17))</f>
        <v>Effective</v>
      </c>
      <c r="T17" s="38" t="n">
        <f aca="false">VLOOKUP(S17,Factor_Table,2,FALSE())</f>
        <v>0.5</v>
      </c>
      <c r="U17" s="58"/>
    </row>
    <row r="18" customFormat="false" ht="36" hidden="false" customHeight="true" outlineLevel="0" collapsed="false">
      <c r="B18" s="34" t="s">
        <v>239</v>
      </c>
      <c r="C18" s="34" t="s">
        <v>142</v>
      </c>
      <c r="D18" s="50" t="str">
        <f aca="false">VLOOKUP(C18,Risks!$B$6:$C$21,2,FALSE())</f>
        <v>P6</v>
      </c>
      <c r="E18" s="36" t="s">
        <v>240</v>
      </c>
      <c r="F18" s="47" t="s">
        <v>241</v>
      </c>
      <c r="G18" s="53" t="s">
        <v>188</v>
      </c>
      <c r="H18" s="47" t="s">
        <v>189</v>
      </c>
      <c r="I18" s="47" t="s">
        <v>227</v>
      </c>
      <c r="J18" s="34" t="s">
        <v>191</v>
      </c>
      <c r="K18" s="47" t="s">
        <v>74</v>
      </c>
      <c r="L18" s="54" t="n">
        <v>190</v>
      </c>
      <c r="M18" s="55" t="str">
        <f aca="false">IF(VLOOKUP(C18,Risks!$B$6:$J$21,9,FALSE())&gt;=Elev_Score,"Elevated","Standard")</f>
        <v>Elevated</v>
      </c>
      <c r="N18" s="37" t="n">
        <f aca="false">IF(K18="Missing",0,IF(H18="Automated",1,MIN(L18,VLOOKUP(I18,Sampling_Table,IF(M18="Elevated",3,2),FALSE()))))</f>
        <v>30</v>
      </c>
      <c r="O18" s="48" t="n">
        <v>4</v>
      </c>
      <c r="P18" s="56" t="n">
        <f aca="false">IFERROR(O18/N18,0)</f>
        <v>0.133333333333333</v>
      </c>
      <c r="Q18" s="38" t="n">
        <f aca="false">IF(M18="Elevated",Tol_Elev,Tol_Std)</f>
        <v>0.05</v>
      </c>
      <c r="R18" s="46" t="str">
        <f aca="false">IF(K18="Missing","Not operating",IF(O18=0,"Effective",IF(AND(N18&gt;5,P18&lt;=Q18),"Effective with exceptions","Ineffective")))</f>
        <v>Ineffective</v>
      </c>
      <c r="S18" s="57" t="str">
        <f aca="false">IF(OR(K18="Missing",R18="Ineffective",R18="Not operating"),"Ineffective",IF(K18="Needs improvement","Needs improvement",R18))</f>
        <v>Ineffective</v>
      </c>
      <c r="T18" s="38" t="n">
        <f aca="false">VLOOKUP(S18,Factor_Table,2,FALSE())</f>
        <v>0.1</v>
      </c>
      <c r="U18" s="58" t="s">
        <v>242</v>
      </c>
    </row>
    <row r="19" customFormat="false" ht="36" hidden="false" customHeight="true" outlineLevel="0" collapsed="false">
      <c r="B19" s="34" t="s">
        <v>243</v>
      </c>
      <c r="C19" s="34" t="s">
        <v>144</v>
      </c>
      <c r="D19" s="50" t="str">
        <f aca="false">VLOOKUP(C19,Risks!$B$6:$C$21,2,FALSE())</f>
        <v>P7</v>
      </c>
      <c r="E19" s="36" t="s">
        <v>244</v>
      </c>
      <c r="F19" s="47" t="s">
        <v>241</v>
      </c>
      <c r="G19" s="53" t="s">
        <v>201</v>
      </c>
      <c r="H19" s="47" t="s">
        <v>189</v>
      </c>
      <c r="I19" s="47" t="s">
        <v>227</v>
      </c>
      <c r="J19" s="34" t="s">
        <v>191</v>
      </c>
      <c r="K19" s="47" t="s">
        <v>245</v>
      </c>
      <c r="L19" s="54" t="n">
        <v>190</v>
      </c>
      <c r="M19" s="55" t="str">
        <f aca="false">IF(VLOOKUP(C19,Risks!$B$6:$J$21,9,FALSE())&gt;=Elev_Score,"Elevated","Standard")</f>
        <v>Standard</v>
      </c>
      <c r="N19" s="37" t="n">
        <f aca="false">IF(K19="Missing",0,IF(H19="Automated",1,MIN(L19,VLOOKUP(I19,Sampling_Table,IF(M19="Elevated",3,2),FALSE()))))</f>
        <v>0</v>
      </c>
      <c r="O19" s="48" t="n">
        <v>0</v>
      </c>
      <c r="P19" s="56" t="n">
        <f aca="false">IFERROR(O19/N19,0)</f>
        <v>0</v>
      </c>
      <c r="Q19" s="38" t="n">
        <f aca="false">IF(M19="Elevated",Tol_Elev,Tol_Std)</f>
        <v>0.1</v>
      </c>
      <c r="R19" s="46" t="str">
        <f aca="false">IF(K19="Missing","Not operating",IF(O19=0,"Effective",IF(AND(N19&gt;5,P19&lt;=Q19),"Effective with exceptions","Ineffective")))</f>
        <v>Not operating</v>
      </c>
      <c r="S19" s="57" t="str">
        <f aca="false">IF(OR(K19="Missing",R19="Ineffective",R19="Not operating"),"Ineffective",IF(K19="Needs improvement","Needs improvement",R19))</f>
        <v>Ineffective</v>
      </c>
      <c r="T19" s="38" t="n">
        <f aca="false">VLOOKUP(S19,Factor_Table,2,FALSE())</f>
        <v>0.1</v>
      </c>
      <c r="U19" s="58" t="s">
        <v>246</v>
      </c>
    </row>
    <row r="20" customFormat="false" ht="36" hidden="false" customHeight="true" outlineLevel="0" collapsed="false">
      <c r="B20" s="34" t="s">
        <v>247</v>
      </c>
      <c r="C20" s="34" t="s">
        <v>148</v>
      </c>
      <c r="D20" s="50" t="str">
        <f aca="false">VLOOKUP(C20,Risks!$B$6:$C$21,2,FALSE())</f>
        <v>P7</v>
      </c>
      <c r="E20" s="36" t="s">
        <v>248</v>
      </c>
      <c r="F20" s="47" t="s">
        <v>207</v>
      </c>
      <c r="G20" s="53" t="s">
        <v>188</v>
      </c>
      <c r="H20" s="47" t="s">
        <v>208</v>
      </c>
      <c r="I20" s="47" t="s">
        <v>209</v>
      </c>
      <c r="J20" s="34" t="s">
        <v>191</v>
      </c>
      <c r="K20" s="47" t="s">
        <v>74</v>
      </c>
      <c r="L20" s="54" t="n">
        <v>2400</v>
      </c>
      <c r="M20" s="55" t="str">
        <f aca="false">IF(VLOOKUP(C20,Risks!$B$6:$J$21,9,FALSE())&gt;=Elev_Score,"Elevated","Standard")</f>
        <v>Standard</v>
      </c>
      <c r="N20" s="37" t="n">
        <f aca="false">IF(K20="Missing",0,IF(H20="Automated",1,MIN(L20,VLOOKUP(I20,Sampling_Table,IF(M20="Elevated",3,2),FALSE()))))</f>
        <v>1</v>
      </c>
      <c r="O20" s="48" t="n">
        <v>0</v>
      </c>
      <c r="P20" s="56" t="n">
        <f aca="false">IFERROR(O20/N20,0)</f>
        <v>0</v>
      </c>
      <c r="Q20" s="38" t="n">
        <f aca="false">IF(M20="Elevated",Tol_Elev,Tol_Std)</f>
        <v>0.1</v>
      </c>
      <c r="R20" s="46" t="str">
        <f aca="false">IF(K20="Missing","Not operating",IF(O20=0,"Effective",IF(AND(N20&gt;5,P20&lt;=Q20),"Effective with exceptions","Ineffective")))</f>
        <v>Effective</v>
      </c>
      <c r="S20" s="57" t="str">
        <f aca="false">IF(OR(K20="Missing",R20="Ineffective",R20="Not operating"),"Ineffective",IF(K20="Needs improvement","Needs improvement",R20))</f>
        <v>Effective</v>
      </c>
      <c r="T20" s="38" t="n">
        <f aca="false">VLOOKUP(S20,Factor_Table,2,FALSE())</f>
        <v>0.5</v>
      </c>
      <c r="U20" s="58" t="s">
        <v>249</v>
      </c>
    </row>
    <row r="21" customFormat="false" ht="36" hidden="false" customHeight="true" outlineLevel="0" collapsed="false">
      <c r="B21" s="34" t="s">
        <v>250</v>
      </c>
      <c r="C21" s="34" t="s">
        <v>148</v>
      </c>
      <c r="D21" s="50" t="str">
        <f aca="false">VLOOKUP(C21,Risks!$B$6:$C$21,2,FALSE())</f>
        <v>P7</v>
      </c>
      <c r="E21" s="36" t="s">
        <v>251</v>
      </c>
      <c r="F21" s="47" t="s">
        <v>252</v>
      </c>
      <c r="G21" s="53" t="s">
        <v>201</v>
      </c>
      <c r="H21" s="47" t="s">
        <v>189</v>
      </c>
      <c r="I21" s="47" t="s">
        <v>202</v>
      </c>
      <c r="J21" s="34" t="s">
        <v>203</v>
      </c>
      <c r="K21" s="47" t="s">
        <v>74</v>
      </c>
      <c r="L21" s="54" t="n">
        <v>9</v>
      </c>
      <c r="M21" s="55" t="str">
        <f aca="false">IF(VLOOKUP(C21,Risks!$B$6:$J$21,9,FALSE())&gt;=Elev_Score,"Elevated","Standard")</f>
        <v>Standard</v>
      </c>
      <c r="N21" s="37" t="n">
        <f aca="false">IF(K21="Missing",0,IF(H21="Automated",1,MIN(L21,VLOOKUP(I21,Sampling_Table,IF(M21="Elevated",3,2),FALSE()))))</f>
        <v>2</v>
      </c>
      <c r="O21" s="48" t="n">
        <v>0</v>
      </c>
      <c r="P21" s="56" t="n">
        <f aca="false">IFERROR(O21/N21,0)</f>
        <v>0</v>
      </c>
      <c r="Q21" s="38" t="n">
        <f aca="false">IF(M21="Elevated",Tol_Elev,Tol_Std)</f>
        <v>0.1</v>
      </c>
      <c r="R21" s="46" t="str">
        <f aca="false">IF(K21="Missing","Not operating",IF(O21=0,"Effective",IF(AND(N21&gt;5,P21&lt;=Q21),"Effective with exceptions","Ineffective")))</f>
        <v>Effective</v>
      </c>
      <c r="S21" s="57" t="str">
        <f aca="false">IF(OR(K21="Missing",R21="Ineffective",R21="Not operating"),"Ineffective",IF(K21="Needs improvement","Needs improvement",R21))</f>
        <v>Effective</v>
      </c>
      <c r="T21" s="38" t="n">
        <f aca="false">VLOOKUP(S21,Factor_Table,2,FALSE())</f>
        <v>0.5</v>
      </c>
      <c r="U21" s="58"/>
    </row>
    <row r="22" customFormat="false" ht="36" hidden="false" customHeight="true" outlineLevel="0" collapsed="false">
      <c r="B22" s="34" t="s">
        <v>253</v>
      </c>
      <c r="C22" s="34" t="s">
        <v>150</v>
      </c>
      <c r="D22" s="50" t="str">
        <f aca="false">VLOOKUP(C22,Risks!$B$6:$C$21,2,FALSE())</f>
        <v>P7</v>
      </c>
      <c r="E22" s="36" t="s">
        <v>254</v>
      </c>
      <c r="F22" s="47" t="s">
        <v>200</v>
      </c>
      <c r="G22" s="53" t="s">
        <v>201</v>
      </c>
      <c r="H22" s="47" t="s">
        <v>189</v>
      </c>
      <c r="I22" s="47" t="s">
        <v>196</v>
      </c>
      <c r="J22" s="34" t="s">
        <v>203</v>
      </c>
      <c r="K22" s="47" t="s">
        <v>74</v>
      </c>
      <c r="L22" s="54" t="n">
        <v>39</v>
      </c>
      <c r="M22" s="55" t="str">
        <f aca="false">IF(VLOOKUP(C22,Risks!$B$6:$J$21,9,FALSE())&gt;=Elev_Score,"Elevated","Standard")</f>
        <v>Standard</v>
      </c>
      <c r="N22" s="37" t="n">
        <f aca="false">IF(K22="Missing",0,IF(H22="Automated",1,MIN(L22,VLOOKUP(I22,Sampling_Table,IF(M22="Elevated",3,2),FALSE()))))</f>
        <v>8</v>
      </c>
      <c r="O22" s="48" t="n">
        <v>0</v>
      </c>
      <c r="P22" s="56" t="n">
        <f aca="false">IFERROR(O22/N22,0)</f>
        <v>0</v>
      </c>
      <c r="Q22" s="38" t="n">
        <f aca="false">IF(M22="Elevated",Tol_Elev,Tol_Std)</f>
        <v>0.1</v>
      </c>
      <c r="R22" s="46" t="str">
        <f aca="false">IF(K22="Missing","Not operating",IF(O22=0,"Effective",IF(AND(N22&gt;5,P22&lt;=Q22),"Effective with exceptions","Ineffective")))</f>
        <v>Effective</v>
      </c>
      <c r="S22" s="57" t="str">
        <f aca="false">IF(OR(K22="Missing",R22="Ineffective",R22="Not operating"),"Ineffective",IF(K22="Needs improvement","Needs improvement",R22))</f>
        <v>Effective</v>
      </c>
      <c r="T22" s="38" t="n">
        <f aca="false">VLOOKUP(S22,Factor_Table,2,FALSE())</f>
        <v>0.5</v>
      </c>
      <c r="U22" s="58"/>
    </row>
    <row r="23" customFormat="false" ht="36" hidden="false" customHeight="true" outlineLevel="0" collapsed="false">
      <c r="B23" s="34" t="s">
        <v>255</v>
      </c>
      <c r="C23" s="34" t="s">
        <v>152</v>
      </c>
      <c r="D23" s="50" t="str">
        <f aca="false">VLOOKUP(C23,Risks!$B$6:$C$21,2,FALSE())</f>
        <v>P8</v>
      </c>
      <c r="E23" s="36" t="s">
        <v>256</v>
      </c>
      <c r="F23" s="47" t="s">
        <v>257</v>
      </c>
      <c r="G23" s="53" t="s">
        <v>201</v>
      </c>
      <c r="H23" s="47" t="s">
        <v>189</v>
      </c>
      <c r="I23" s="47" t="s">
        <v>227</v>
      </c>
      <c r="J23" s="34" t="s">
        <v>191</v>
      </c>
      <c r="K23" s="47" t="s">
        <v>74</v>
      </c>
      <c r="L23" s="54" t="n">
        <v>190</v>
      </c>
      <c r="M23" s="55" t="str">
        <f aca="false">IF(VLOOKUP(C23,Risks!$B$6:$J$21,9,FALSE())&gt;=Elev_Score,"Elevated","Standard")</f>
        <v>Elevated</v>
      </c>
      <c r="N23" s="37" t="n">
        <f aca="false">IF(K23="Missing",0,IF(H23="Automated",1,MIN(L23,VLOOKUP(I23,Sampling_Table,IF(M23="Elevated",3,2),FALSE()))))</f>
        <v>30</v>
      </c>
      <c r="O23" s="48" t="n">
        <v>3</v>
      </c>
      <c r="P23" s="56" t="n">
        <f aca="false">IFERROR(O23/N23,0)</f>
        <v>0.1</v>
      </c>
      <c r="Q23" s="38" t="n">
        <f aca="false">IF(M23="Elevated",Tol_Elev,Tol_Std)</f>
        <v>0.05</v>
      </c>
      <c r="R23" s="46" t="str">
        <f aca="false">IF(K23="Missing","Not operating",IF(O23=0,"Effective",IF(AND(N23&gt;5,P23&lt;=Q23),"Effective with exceptions","Ineffective")))</f>
        <v>Ineffective</v>
      </c>
      <c r="S23" s="57" t="str">
        <f aca="false">IF(OR(K23="Missing",R23="Ineffective",R23="Not operating"),"Ineffective",IF(K23="Needs improvement","Needs improvement",R23))</f>
        <v>Ineffective</v>
      </c>
      <c r="T23" s="38" t="n">
        <f aca="false">VLOOKUP(S23,Factor_Table,2,FALSE())</f>
        <v>0.1</v>
      </c>
      <c r="U23" s="58" t="s">
        <v>258</v>
      </c>
    </row>
    <row r="24" customFormat="false" ht="36" hidden="false" customHeight="true" outlineLevel="0" collapsed="false">
      <c r="B24" s="34" t="s">
        <v>259</v>
      </c>
      <c r="C24" s="34" t="s">
        <v>152</v>
      </c>
      <c r="D24" s="50" t="str">
        <f aca="false">VLOOKUP(C24,Risks!$B$6:$C$21,2,FALSE())</f>
        <v>P8</v>
      </c>
      <c r="E24" s="36" t="s">
        <v>260</v>
      </c>
      <c r="F24" s="47" t="s">
        <v>200</v>
      </c>
      <c r="G24" s="53" t="s">
        <v>188</v>
      </c>
      <c r="H24" s="47" t="s">
        <v>235</v>
      </c>
      <c r="I24" s="47" t="s">
        <v>227</v>
      </c>
      <c r="J24" s="34" t="s">
        <v>191</v>
      </c>
      <c r="K24" s="47" t="s">
        <v>75</v>
      </c>
      <c r="L24" s="54" t="n">
        <v>190</v>
      </c>
      <c r="M24" s="55" t="str">
        <f aca="false">IF(VLOOKUP(C24,Risks!$B$6:$J$21,9,FALSE())&gt;=Elev_Score,"Elevated","Standard")</f>
        <v>Elevated</v>
      </c>
      <c r="N24" s="37" t="n">
        <f aca="false">IF(K24="Missing",0,IF(H24="Automated",1,MIN(L24,VLOOKUP(I24,Sampling_Table,IF(M24="Elevated",3,2),FALSE()))))</f>
        <v>30</v>
      </c>
      <c r="O24" s="48" t="n">
        <v>0</v>
      </c>
      <c r="P24" s="56" t="n">
        <f aca="false">IFERROR(O24/N24,0)</f>
        <v>0</v>
      </c>
      <c r="Q24" s="38" t="n">
        <f aca="false">IF(M24="Elevated",Tol_Elev,Tol_Std)</f>
        <v>0.05</v>
      </c>
      <c r="R24" s="46" t="str">
        <f aca="false">IF(K24="Missing","Not operating",IF(O24=0,"Effective",IF(AND(N24&gt;5,P24&lt;=Q24),"Effective with exceptions","Ineffective")))</f>
        <v>Effective</v>
      </c>
      <c r="S24" s="57" t="str">
        <f aca="false">IF(OR(K24="Missing",R24="Ineffective",R24="Not operating"),"Ineffective",IF(K24="Needs improvement","Needs improvement",R24))</f>
        <v>Needs improvement</v>
      </c>
      <c r="T24" s="38" t="n">
        <f aca="false">VLOOKUP(S24,Factor_Table,2,FALSE())</f>
        <v>0.2</v>
      </c>
      <c r="U24" s="58" t="s">
        <v>261</v>
      </c>
    </row>
    <row r="25" customFormat="false" ht="36" hidden="false" customHeight="true" outlineLevel="0" collapsed="false">
      <c r="B25" s="34" t="s">
        <v>262</v>
      </c>
      <c r="C25" s="34" t="s">
        <v>155</v>
      </c>
      <c r="D25" s="50" t="str">
        <f aca="false">VLOOKUP(C25,Risks!$B$6:$C$21,2,FALSE())</f>
        <v>P9</v>
      </c>
      <c r="E25" s="36" t="s">
        <v>263</v>
      </c>
      <c r="F25" s="47" t="s">
        <v>226</v>
      </c>
      <c r="G25" s="53" t="s">
        <v>188</v>
      </c>
      <c r="H25" s="47" t="s">
        <v>189</v>
      </c>
      <c r="I25" s="47" t="s">
        <v>196</v>
      </c>
      <c r="J25" s="34" t="s">
        <v>191</v>
      </c>
      <c r="K25" s="47" t="s">
        <v>74</v>
      </c>
      <c r="L25" s="54" t="n">
        <v>39</v>
      </c>
      <c r="M25" s="55" t="str">
        <f aca="false">IF(VLOOKUP(C25,Risks!$B$6:$J$21,9,FALSE())&gt;=Elev_Score,"Elevated","Standard")</f>
        <v>Standard</v>
      </c>
      <c r="N25" s="37" t="n">
        <f aca="false">IF(K25="Missing",0,IF(H25="Automated",1,MIN(L25,VLOOKUP(I25,Sampling_Table,IF(M25="Elevated",3,2),FALSE()))))</f>
        <v>8</v>
      </c>
      <c r="O25" s="48" t="n">
        <v>2</v>
      </c>
      <c r="P25" s="56" t="n">
        <f aca="false">IFERROR(O25/N25,0)</f>
        <v>0.25</v>
      </c>
      <c r="Q25" s="38" t="n">
        <f aca="false">IF(M25="Elevated",Tol_Elev,Tol_Std)</f>
        <v>0.1</v>
      </c>
      <c r="R25" s="46" t="str">
        <f aca="false">IF(K25="Missing","Not operating",IF(O25=0,"Effective",IF(AND(N25&gt;5,P25&lt;=Q25),"Effective with exceptions","Ineffective")))</f>
        <v>Ineffective</v>
      </c>
      <c r="S25" s="57" t="str">
        <f aca="false">IF(OR(K25="Missing",R25="Ineffective",R25="Not operating"),"Ineffective",IF(K25="Needs improvement","Needs improvement",R25))</f>
        <v>Ineffective</v>
      </c>
      <c r="T25" s="38" t="n">
        <f aca="false">VLOOKUP(S25,Factor_Table,2,FALSE())</f>
        <v>0.1</v>
      </c>
      <c r="U25" s="58" t="s">
        <v>264</v>
      </c>
    </row>
    <row r="26" customFormat="false" ht="36" hidden="false" customHeight="true" outlineLevel="0" collapsed="false">
      <c r="B26" s="34" t="s">
        <v>265</v>
      </c>
      <c r="C26" s="34" t="s">
        <v>157</v>
      </c>
      <c r="D26" s="50" t="str">
        <f aca="false">VLOOKUP(C26,Risks!$B$6:$C$21,2,FALSE())</f>
        <v>P9</v>
      </c>
      <c r="E26" s="36" t="s">
        <v>266</v>
      </c>
      <c r="F26" s="47" t="s">
        <v>195</v>
      </c>
      <c r="G26" s="53" t="s">
        <v>201</v>
      </c>
      <c r="H26" s="47" t="s">
        <v>189</v>
      </c>
      <c r="I26" s="47" t="s">
        <v>202</v>
      </c>
      <c r="J26" s="34" t="s">
        <v>191</v>
      </c>
      <c r="K26" s="47" t="s">
        <v>74</v>
      </c>
      <c r="L26" s="54" t="n">
        <v>9</v>
      </c>
      <c r="M26" s="55" t="str">
        <f aca="false">IF(VLOOKUP(C26,Risks!$B$6:$J$21,9,FALSE())&gt;=Elev_Score,"Elevated","Standard")</f>
        <v>Elevated</v>
      </c>
      <c r="N26" s="37" t="n">
        <f aca="false">IF(K26="Missing",0,IF(H26="Automated",1,MIN(L26,VLOOKUP(I26,Sampling_Table,IF(M26="Elevated",3,2),FALSE()))))</f>
        <v>3</v>
      </c>
      <c r="O26" s="48" t="n">
        <v>1</v>
      </c>
      <c r="P26" s="56" t="n">
        <f aca="false">IFERROR(O26/N26,0)</f>
        <v>0.333333333333333</v>
      </c>
      <c r="Q26" s="38" t="n">
        <f aca="false">IF(M26="Elevated",Tol_Elev,Tol_Std)</f>
        <v>0.05</v>
      </c>
      <c r="R26" s="46" t="str">
        <f aca="false">IF(K26="Missing","Not operating",IF(O26=0,"Effective",IF(AND(N26&gt;5,P26&lt;=Q26),"Effective with exceptions","Ineffective")))</f>
        <v>Ineffective</v>
      </c>
      <c r="S26" s="57" t="str">
        <f aca="false">IF(OR(K26="Missing",R26="Ineffective",R26="Not operating"),"Ineffective",IF(K26="Needs improvement","Needs improvement",R26))</f>
        <v>Ineffective</v>
      </c>
      <c r="T26" s="38" t="n">
        <f aca="false">VLOOKUP(S26,Factor_Table,2,FALSE())</f>
        <v>0.1</v>
      </c>
      <c r="U26" s="58" t="s">
        <v>267</v>
      </c>
    </row>
    <row r="27" customFormat="false" ht="36" hidden="false" customHeight="true" outlineLevel="0" collapsed="false">
      <c r="B27" s="34" t="s">
        <v>268</v>
      </c>
      <c r="C27" s="34" t="s">
        <v>159</v>
      </c>
      <c r="D27" s="50" t="str">
        <f aca="false">VLOOKUP(C27,Risks!$B$6:$C$21,2,FALSE())</f>
        <v>P9</v>
      </c>
      <c r="E27" s="36" t="s">
        <v>269</v>
      </c>
      <c r="F27" s="47" t="s">
        <v>200</v>
      </c>
      <c r="G27" s="53" t="s">
        <v>201</v>
      </c>
      <c r="H27" s="47" t="s">
        <v>189</v>
      </c>
      <c r="I27" s="47" t="s">
        <v>202</v>
      </c>
      <c r="J27" s="34" t="s">
        <v>191</v>
      </c>
      <c r="K27" s="47" t="s">
        <v>74</v>
      </c>
      <c r="L27" s="54" t="n">
        <v>9</v>
      </c>
      <c r="M27" s="55" t="str">
        <f aca="false">IF(VLOOKUP(C27,Risks!$B$6:$J$21,9,FALSE())&gt;=Elev_Score,"Elevated","Standard")</f>
        <v>Standard</v>
      </c>
      <c r="N27" s="37" t="n">
        <f aca="false">IF(K27="Missing",0,IF(H27="Automated",1,MIN(L27,VLOOKUP(I27,Sampling_Table,IF(M27="Elevated",3,2),FALSE()))))</f>
        <v>2</v>
      </c>
      <c r="O27" s="48" t="n">
        <v>0</v>
      </c>
      <c r="P27" s="56" t="n">
        <f aca="false">IFERROR(O27/N27,0)</f>
        <v>0</v>
      </c>
      <c r="Q27" s="38" t="n">
        <f aca="false">IF(M27="Elevated",Tol_Elev,Tol_Std)</f>
        <v>0.1</v>
      </c>
      <c r="R27" s="46" t="str">
        <f aca="false">IF(K27="Missing","Not operating",IF(O27=0,"Effective",IF(AND(N27&gt;5,P27&lt;=Q27),"Effective with exceptions","Ineffective")))</f>
        <v>Effective</v>
      </c>
      <c r="S27" s="57" t="str">
        <f aca="false">IF(OR(K27="Missing",R27="Ineffective",R27="Not operating"),"Ineffective",IF(K27="Needs improvement","Needs improvement",R27))</f>
        <v>Effective</v>
      </c>
      <c r="T27" s="38" t="n">
        <f aca="false">VLOOKUP(S27,Factor_Table,2,FALSE())</f>
        <v>0.5</v>
      </c>
      <c r="U27" s="58"/>
    </row>
    <row r="28" customFormat="false" ht="36" hidden="false" customHeight="true" outlineLevel="0" collapsed="false">
      <c r="B28" s="34" t="s">
        <v>270</v>
      </c>
      <c r="C28" s="34" t="s">
        <v>159</v>
      </c>
      <c r="D28" s="50" t="str">
        <f aca="false">VLOOKUP(C28,Risks!$B$6:$C$21,2,FALSE())</f>
        <v>P9</v>
      </c>
      <c r="E28" s="36" t="s">
        <v>271</v>
      </c>
      <c r="F28" s="47" t="s">
        <v>195</v>
      </c>
      <c r="G28" s="53" t="s">
        <v>201</v>
      </c>
      <c r="H28" s="47" t="s">
        <v>189</v>
      </c>
      <c r="I28" s="47" t="s">
        <v>272</v>
      </c>
      <c r="J28" s="34" t="s">
        <v>203</v>
      </c>
      <c r="K28" s="47" t="s">
        <v>74</v>
      </c>
      <c r="L28" s="54" t="n">
        <v>1</v>
      </c>
      <c r="M28" s="55" t="str">
        <f aca="false">IF(VLOOKUP(C28,Risks!$B$6:$J$21,9,FALSE())&gt;=Elev_Score,"Elevated","Standard")</f>
        <v>Standard</v>
      </c>
      <c r="N28" s="37" t="n">
        <f aca="false">IF(K28="Missing",0,IF(H28="Automated",1,MIN(L28,VLOOKUP(I28,Sampling_Table,IF(M28="Elevated",3,2),FALSE()))))</f>
        <v>1</v>
      </c>
      <c r="O28" s="48" t="n">
        <v>0</v>
      </c>
      <c r="P28" s="56" t="n">
        <f aca="false">IFERROR(O28/N28,0)</f>
        <v>0</v>
      </c>
      <c r="Q28" s="38" t="n">
        <f aca="false">IF(M28="Elevated",Tol_Elev,Tol_Std)</f>
        <v>0.1</v>
      </c>
      <c r="R28" s="46" t="str">
        <f aca="false">IF(K28="Missing","Not operating",IF(O28=0,"Effective",IF(AND(N28&gt;5,P28&lt;=Q28),"Effective with exceptions","Ineffective")))</f>
        <v>Effective</v>
      </c>
      <c r="S28" s="57" t="str">
        <f aca="false">IF(OR(K28="Missing",R28="Ineffective",R28="Not operating"),"Ineffective",IF(K28="Needs improvement","Needs improvement",R28))</f>
        <v>Effective</v>
      </c>
      <c r="T28" s="38" t="n">
        <f aca="false">VLOOKUP(S28,Factor_Table,2,FALSE())</f>
        <v>0.5</v>
      </c>
      <c r="U28" s="58"/>
    </row>
    <row r="29" customFormat="false" ht="36" hidden="false" customHeight="true" outlineLevel="0" collapsed="false">
      <c r="B29" s="34" t="s">
        <v>273</v>
      </c>
      <c r="C29" s="34" t="s">
        <v>162</v>
      </c>
      <c r="D29" s="50" t="str">
        <f aca="false">VLOOKUP(C29,Risks!$B$6:$C$21,2,FALSE())</f>
        <v>P9</v>
      </c>
      <c r="E29" s="36" t="s">
        <v>274</v>
      </c>
      <c r="F29" s="47" t="s">
        <v>187</v>
      </c>
      <c r="G29" s="53" t="s">
        <v>201</v>
      </c>
      <c r="H29" s="47" t="s">
        <v>189</v>
      </c>
      <c r="I29" s="47" t="s">
        <v>275</v>
      </c>
      <c r="J29" s="34" t="s">
        <v>203</v>
      </c>
      <c r="K29" s="47" t="s">
        <v>74</v>
      </c>
      <c r="L29" s="54" t="n">
        <v>3</v>
      </c>
      <c r="M29" s="55" t="str">
        <f aca="false">IF(VLOOKUP(C29,Risks!$B$6:$J$21,9,FALSE())&gt;=Elev_Score,"Elevated","Standard")</f>
        <v>Standard</v>
      </c>
      <c r="N29" s="37" t="n">
        <f aca="false">IF(K29="Missing",0,IF(H29="Automated",1,MIN(L29,VLOOKUP(I29,Sampling_Table,IF(M29="Elevated",3,2),FALSE()))))</f>
        <v>2</v>
      </c>
      <c r="O29" s="48" t="n">
        <v>0</v>
      </c>
      <c r="P29" s="56" t="n">
        <f aca="false">IFERROR(O29/N29,0)</f>
        <v>0</v>
      </c>
      <c r="Q29" s="38" t="n">
        <f aca="false">IF(M29="Elevated",Tol_Elev,Tol_Std)</f>
        <v>0.1</v>
      </c>
      <c r="R29" s="46" t="str">
        <f aca="false">IF(K29="Missing","Not operating",IF(O29=0,"Effective",IF(AND(N29&gt;5,P29&lt;=Q29),"Effective with exceptions","Ineffective")))</f>
        <v>Effective</v>
      </c>
      <c r="S29" s="57" t="str">
        <f aca="false">IF(OR(K29="Missing",R29="Ineffective",R29="Not operating"),"Ineffective",IF(K29="Needs improvement","Needs improvement",R29))</f>
        <v>Effective</v>
      </c>
      <c r="T29" s="38" t="n">
        <f aca="false">VLOOKUP(S29,Factor_Table,2,FALSE())</f>
        <v>0.5</v>
      </c>
      <c r="U29" s="58"/>
    </row>
    <row r="31" customFormat="false" ht="15" hidden="false" customHeight="false" outlineLevel="0" collapsed="false">
      <c r="E31" s="44" t="s">
        <v>276</v>
      </c>
    </row>
  </sheetData>
  <conditionalFormatting sqref="R6:R29">
    <cfRule type="cellIs" priority="2" operator="equal" aboveAverage="0" equalAverage="0" bottom="0" percent="0" rank="0" text="" dxfId="7">
      <formula>"Effective"</formula>
    </cfRule>
    <cfRule type="cellIs" priority="3" operator="equal" aboveAverage="0" equalAverage="0" bottom="0" percent="0" rank="0" text="" dxfId="8">
      <formula>"Effective with exceptions"</formula>
    </cfRule>
    <cfRule type="cellIs" priority="4" operator="equal" aboveAverage="0" equalAverage="0" bottom="0" percent="0" rank="0" text="" dxfId="9">
      <formula>"Needs improvement"</formula>
    </cfRule>
    <cfRule type="cellIs" priority="5" operator="equal" aboveAverage="0" equalAverage="0" bottom="0" percent="0" rank="0" text="" dxfId="10">
      <formula>"Ineffective"</formula>
    </cfRule>
    <cfRule type="cellIs" priority="6" operator="equal" aboveAverage="0" equalAverage="0" bottom="0" percent="0" rank="0" text="" dxfId="10">
      <formula>"Not operating"</formula>
    </cfRule>
  </conditionalFormatting>
  <conditionalFormatting sqref="S6:S29">
    <cfRule type="cellIs" priority="7" operator="equal" aboveAverage="0" equalAverage="0" bottom="0" percent="0" rank="0" text="" dxfId="0">
      <formula>"Effective"</formula>
    </cfRule>
    <cfRule type="cellIs" priority="8" operator="equal" aboveAverage="0" equalAverage="0" bottom="0" percent="0" rank="0" text="" dxfId="11">
      <formula>"Effective with exceptions"</formula>
    </cfRule>
    <cfRule type="cellIs" priority="9" operator="equal" aboveAverage="0" equalAverage="0" bottom="0" percent="0" rank="0" text="" dxfId="6">
      <formula>"Needs improvement"</formula>
    </cfRule>
    <cfRule type="cellIs" priority="10" operator="equal" aboveAverage="0" equalAverage="0" bottom="0" percent="0" rank="0" text="" dxfId="1">
      <formula>"Ineffective"</formula>
    </cfRule>
    <cfRule type="cellIs" priority="11" operator="equal" aboveAverage="0" equalAverage="0" bottom="0" percent="0" rank="0" text="" dxfId="1">
      <formula>"Not operating"</formula>
    </cfRule>
  </conditionalFormatting>
  <dataValidations count="6">
    <dataValidation allowBlank="false" error="Pick a value from the list." errorStyle="stop" errorTitle="Invalid selection" operator="between" showDropDown="false" showErrorMessage="true" showInputMessage="false" sqref="G6:G29" type="list">
      <formula1>Type_List</formula1>
      <formula2>0</formula2>
    </dataValidation>
    <dataValidation allowBlank="false" error="Pick a value from the list." errorStyle="stop" errorTitle="Invalid selection" operator="between" showDropDown="false" showErrorMessage="true" showInputMessage="false" sqref="H6:H29" type="list">
      <formula1>Nature_List</formula1>
      <formula2>0</formula2>
    </dataValidation>
    <dataValidation allowBlank="false" error="Pick a value from the list." errorStyle="stop" errorTitle="Invalid selection" operator="between" showDropDown="false" showErrorMessage="true" showInputMessage="false" sqref="I6:I29" type="list">
      <formula1>Freq_List</formula1>
      <formula2>0</formula2>
    </dataValidation>
    <dataValidation allowBlank="false" error="Pick a value from the list." errorStyle="stop" errorTitle="Invalid selection" operator="between" showDropDown="false" showErrorMessage="true" showInputMessage="false" sqref="J6:J29" type="list">
      <formula1>YN_Key</formula1>
      <formula2>0</formula2>
    </dataValidation>
    <dataValidation allowBlank="false" error="Pick a value from the list." errorStyle="stop" errorTitle="Invalid selection" operator="between" showDropDown="false" showErrorMessage="true" showInputMessage="false" sqref="K6:K29" type="list">
      <formula1>Design_List</formula1>
      <formula2>0</formula2>
    </dataValidation>
    <dataValidation allowBlank="false" error="Enter a whole number, 0 or more." errorStyle="stop" errorTitle="Invalid" operator="greaterThanOrEqual" showDropDown="false" showErrorMessage="true" showInputMessage="false" sqref="L6:L29 O6:O29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B1:U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6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58"/>
    <col collapsed="false" customWidth="true" hidden="false" outlineLevel="0" max="7" min="7" style="0" width="40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9"/>
    <col collapsed="false" customWidth="true" hidden="false" outlineLevel="0" max="13" min="13" style="0" width="9"/>
    <col collapsed="false" customWidth="true" hidden="false" outlineLevel="0" max="14" min="14" style="0" width="58"/>
    <col collapsed="false" customWidth="true" hidden="false" outlineLevel="0" max="15" min="15" style="0" width="18"/>
    <col collapsed="false" customWidth="true" hidden="false" outlineLevel="0" max="16" min="16" style="0" width="9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4"/>
    <col collapsed="false" customWidth="true" hidden="false" outlineLevel="0" max="21" min="21" style="0" width="52"/>
  </cols>
  <sheetData>
    <row r="1" customFormat="false" ht="24" hidden="false" customHeight="true" outlineLevel="0" collapsed="false">
      <c r="B1" s="17" t="s">
        <v>277</v>
      </c>
    </row>
    <row r="2" customFormat="false" ht="15" hidden="false" customHeight="false" outlineLevel="0" collapsed="false">
      <c r="B2" s="18" t="s">
        <v>278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43.5" hidden="false" customHeight="true" outlineLevel="0" collapsed="false">
      <c r="B5" s="32" t="s">
        <v>69</v>
      </c>
      <c r="C5" s="33" t="s">
        <v>110</v>
      </c>
      <c r="D5" s="33" t="s">
        <v>48</v>
      </c>
      <c r="E5" s="33" t="s">
        <v>279</v>
      </c>
      <c r="F5" s="33" t="s">
        <v>280</v>
      </c>
      <c r="G5" s="33" t="s">
        <v>281</v>
      </c>
      <c r="H5" s="33" t="s">
        <v>282</v>
      </c>
      <c r="I5" s="33" t="s">
        <v>283</v>
      </c>
      <c r="J5" s="33" t="s">
        <v>284</v>
      </c>
      <c r="K5" s="33" t="s">
        <v>285</v>
      </c>
      <c r="L5" s="33" t="s">
        <v>286</v>
      </c>
      <c r="M5" s="33" t="s">
        <v>287</v>
      </c>
      <c r="N5" s="33" t="s">
        <v>288</v>
      </c>
      <c r="O5" s="33" t="s">
        <v>169</v>
      </c>
      <c r="P5" s="33" t="s">
        <v>289</v>
      </c>
      <c r="Q5" s="33" t="s">
        <v>290</v>
      </c>
      <c r="R5" s="33" t="s">
        <v>291</v>
      </c>
      <c r="S5" s="33" t="s">
        <v>292</v>
      </c>
      <c r="T5" s="33" t="s">
        <v>293</v>
      </c>
      <c r="U5" s="33" t="s">
        <v>294</v>
      </c>
    </row>
    <row r="6" customFormat="false" ht="91.5" hidden="false" customHeight="true" outlineLevel="0" collapsed="false">
      <c r="B6" s="34" t="s">
        <v>295</v>
      </c>
      <c r="C6" s="34" t="s">
        <v>89</v>
      </c>
      <c r="D6" s="47" t="s">
        <v>296</v>
      </c>
      <c r="E6" s="59" t="s">
        <v>297</v>
      </c>
      <c r="F6" s="58" t="s">
        <v>298</v>
      </c>
      <c r="G6" s="58" t="s">
        <v>299</v>
      </c>
      <c r="H6" s="47" t="s">
        <v>300</v>
      </c>
      <c r="I6" s="60" t="n">
        <v>3800</v>
      </c>
      <c r="J6" s="34" t="s">
        <v>301</v>
      </c>
      <c r="K6" s="46" t="str">
        <f aca="false">IF(H6="Remote","Control deficiency",IF(I6&gt;=Materiality,"Material weakness",IF(OR(I6&gt;=SD_Factor*Materiality,AND(H6="Probable",I6&gt;=Trivial_Factor*Materiality)),"Significant deficiency","Control deficiency")))</f>
        <v>Significant deficiency</v>
      </c>
      <c r="L6" s="57" t="str">
        <f aca="false">IF(J6="Yes",IF(K6="Material weakness","Significant deficiency",IF(K6="Significant deficiency","Control deficiency",K6)),K6)</f>
        <v>Significant deficiency</v>
      </c>
      <c r="M6" s="39" t="str">
        <f aca="false">IF(L6="Material weakness","High",IF(L6="Significant deficiency","Medium","Low"))</f>
        <v>Medium</v>
      </c>
      <c r="N6" s="58" t="s">
        <v>302</v>
      </c>
      <c r="O6" s="47" t="s">
        <v>195</v>
      </c>
      <c r="P6" s="37" t="n">
        <f aca="false">IF(L6="Material weakness",WD_MW,IF(L6="Significant deficiency",WD_SD,WD_CD))</f>
        <v>40</v>
      </c>
      <c r="Q6" s="61" t="n">
        <f aca="false">WORKDAY(Report_Date,P6,Holidays)</f>
        <v>46353</v>
      </c>
      <c r="R6" s="47" t="s">
        <v>303</v>
      </c>
      <c r="S6" s="37" t="n">
        <f aca="false">IF(R6="Closed","",NETWORKDAYS(As_Of,Q6,Holidays)-1)</f>
        <v>38</v>
      </c>
      <c r="T6" s="57" t="str">
        <f aca="false">IF(R6="Closed","✔ Closed",IF(S6&lt;0,"✖ Overdue",IF(S6&lt;=Soon_WD,"● Due soon","▲ On track")))</f>
        <v>▲ On track</v>
      </c>
      <c r="U6" s="58" t="s">
        <v>304</v>
      </c>
    </row>
    <row r="7" customFormat="false" ht="91.5" hidden="false" customHeight="true" outlineLevel="0" collapsed="false">
      <c r="B7" s="34" t="s">
        <v>305</v>
      </c>
      <c r="C7" s="34" t="s">
        <v>95</v>
      </c>
      <c r="D7" s="47" t="s">
        <v>239</v>
      </c>
      <c r="E7" s="59" t="s">
        <v>306</v>
      </c>
      <c r="F7" s="58" t="s">
        <v>307</v>
      </c>
      <c r="G7" s="58" t="s">
        <v>308</v>
      </c>
      <c r="H7" s="47" t="s">
        <v>309</v>
      </c>
      <c r="I7" s="60" t="n">
        <v>5200</v>
      </c>
      <c r="J7" s="34" t="s">
        <v>301</v>
      </c>
      <c r="K7" s="46" t="str">
        <f aca="false">IF(H7="Remote","Control deficiency",IF(I7&gt;=Materiality,"Material weakness",IF(OR(I7&gt;=SD_Factor*Materiality,AND(H7="Probable",I7&gt;=Trivial_Factor*Materiality)),"Significant deficiency","Control deficiency")))</f>
        <v>Material weakness</v>
      </c>
      <c r="L7" s="57" t="str">
        <f aca="false">IF(J7="Yes",IF(K7="Material weakness","Significant deficiency",IF(K7="Significant deficiency","Control deficiency",K7)),K7)</f>
        <v>Material weakness</v>
      </c>
      <c r="M7" s="39" t="str">
        <f aca="false">IF(L7="Material weakness","High",IF(L7="Significant deficiency","Medium","Low"))</f>
        <v>High</v>
      </c>
      <c r="N7" s="58" t="s">
        <v>310</v>
      </c>
      <c r="O7" s="47" t="s">
        <v>241</v>
      </c>
      <c r="P7" s="37" t="n">
        <f aca="false">IF(L7="Material weakness",WD_MW,IF(L7="Significant deficiency",WD_SD,WD_CD))</f>
        <v>20</v>
      </c>
      <c r="Q7" s="61" t="n">
        <f aca="false">WORKDAY(Report_Date,P7,Holidays)</f>
        <v>46325</v>
      </c>
      <c r="R7" s="47" t="s">
        <v>303</v>
      </c>
      <c r="S7" s="37" t="n">
        <f aca="false">IF(R7="Closed","",NETWORKDAYS(As_Of,Q7,Holidays)-1)</f>
        <v>18</v>
      </c>
      <c r="T7" s="57" t="str">
        <f aca="false">IF(R7="Closed","✔ Closed",IF(S7&lt;0,"✖ Overdue",IF(S7&lt;=Soon_WD,"● Due soon","▲ On track")))</f>
        <v>▲ On track</v>
      </c>
      <c r="U7" s="58" t="s">
        <v>311</v>
      </c>
    </row>
    <row r="8" customFormat="false" ht="91.5" hidden="false" customHeight="true" outlineLevel="0" collapsed="false">
      <c r="B8" s="34" t="s">
        <v>312</v>
      </c>
      <c r="C8" s="34" t="s">
        <v>98</v>
      </c>
      <c r="D8" s="47" t="s">
        <v>243</v>
      </c>
      <c r="E8" s="59" t="s">
        <v>313</v>
      </c>
      <c r="F8" s="58" t="s">
        <v>314</v>
      </c>
      <c r="G8" s="58" t="s">
        <v>315</v>
      </c>
      <c r="H8" s="47" t="s">
        <v>300</v>
      </c>
      <c r="I8" s="60" t="n">
        <v>950</v>
      </c>
      <c r="J8" s="34" t="s">
        <v>301</v>
      </c>
      <c r="K8" s="46" t="str">
        <f aca="false">IF(H8="Remote","Control deficiency",IF(I8&gt;=Materiality,"Material weakness",IF(OR(I8&gt;=SD_Factor*Materiality,AND(H8="Probable",I8&gt;=Trivial_Factor*Materiality)),"Significant deficiency","Control deficiency")))</f>
        <v>Control deficiency</v>
      </c>
      <c r="L8" s="57" t="str">
        <f aca="false">IF(J8="Yes",IF(K8="Material weakness","Significant deficiency",IF(K8="Significant deficiency","Control deficiency",K8)),K8)</f>
        <v>Control deficiency</v>
      </c>
      <c r="M8" s="39" t="str">
        <f aca="false">IF(L8="Material weakness","High",IF(L8="Significant deficiency","Medium","Low"))</f>
        <v>Low</v>
      </c>
      <c r="N8" s="58" t="s">
        <v>316</v>
      </c>
      <c r="O8" s="47" t="s">
        <v>241</v>
      </c>
      <c r="P8" s="37" t="n">
        <f aca="false">IF(L8="Material weakness",WD_MW,IF(L8="Significant deficiency",WD_SD,WD_CD))</f>
        <v>60</v>
      </c>
      <c r="Q8" s="61" t="n">
        <f aca="false">WORKDAY(Report_Date,P8,Holidays)</f>
        <v>46392</v>
      </c>
      <c r="R8" s="47" t="s">
        <v>317</v>
      </c>
      <c r="S8" s="37" t="n">
        <f aca="false">IF(R8="Closed","",NETWORKDAYS(As_Of,Q8,Holidays)-1)</f>
        <v>58</v>
      </c>
      <c r="T8" s="57" t="str">
        <f aca="false">IF(R8="Closed","✔ Closed",IF(S8&lt;0,"✖ Overdue",IF(S8&lt;=Soon_WD,"● Due soon","▲ On track")))</f>
        <v>▲ On track</v>
      </c>
      <c r="U8" s="58" t="s">
        <v>318</v>
      </c>
    </row>
    <row r="9" customFormat="false" ht="91.5" hidden="false" customHeight="true" outlineLevel="0" collapsed="false">
      <c r="B9" s="34" t="s">
        <v>319</v>
      </c>
      <c r="C9" s="34" t="s">
        <v>101</v>
      </c>
      <c r="D9" s="47" t="s">
        <v>255</v>
      </c>
      <c r="E9" s="59" t="s">
        <v>320</v>
      </c>
      <c r="F9" s="58" t="s">
        <v>321</v>
      </c>
      <c r="G9" s="58" t="s">
        <v>322</v>
      </c>
      <c r="H9" s="47" t="s">
        <v>309</v>
      </c>
      <c r="I9" s="60" t="n">
        <v>800</v>
      </c>
      <c r="J9" s="34" t="s">
        <v>301</v>
      </c>
      <c r="K9" s="46" t="str">
        <f aca="false">IF(H9="Remote","Control deficiency",IF(I9&gt;=Materiality,"Material weakness",IF(OR(I9&gt;=SD_Factor*Materiality,AND(H9="Probable",I9&gt;=Trivial_Factor*Materiality)),"Significant deficiency","Control deficiency")))</f>
        <v>Significant deficiency</v>
      </c>
      <c r="L9" s="57" t="str">
        <f aca="false">IF(J9="Yes",IF(K9="Material weakness","Significant deficiency",IF(K9="Significant deficiency","Control deficiency",K9)),K9)</f>
        <v>Significant deficiency</v>
      </c>
      <c r="M9" s="39" t="str">
        <f aca="false">IF(L9="Material weakness","High",IF(L9="Significant deficiency","Medium","Low"))</f>
        <v>Medium</v>
      </c>
      <c r="N9" s="58" t="s">
        <v>323</v>
      </c>
      <c r="O9" s="47" t="s">
        <v>257</v>
      </c>
      <c r="P9" s="37" t="n">
        <f aca="false">IF(L9="Material weakness",WD_MW,IF(L9="Significant deficiency",WD_SD,WD_CD))</f>
        <v>40</v>
      </c>
      <c r="Q9" s="61" t="n">
        <f aca="false">WORKDAY(Report_Date,P9,Holidays)</f>
        <v>46353</v>
      </c>
      <c r="R9" s="47" t="s">
        <v>303</v>
      </c>
      <c r="S9" s="37" t="n">
        <f aca="false">IF(R9="Closed","",NETWORKDAYS(As_Of,Q9,Holidays)-1)</f>
        <v>38</v>
      </c>
      <c r="T9" s="57" t="str">
        <f aca="false">IF(R9="Closed","✔ Closed",IF(S9&lt;0,"✖ Overdue",IF(S9&lt;=Soon_WD,"● Due soon","▲ On track")))</f>
        <v>▲ On track</v>
      </c>
      <c r="U9" s="58" t="s">
        <v>324</v>
      </c>
    </row>
    <row r="10" customFormat="false" ht="91.5" hidden="false" customHeight="true" outlineLevel="0" collapsed="false">
      <c r="B10" s="34" t="s">
        <v>325</v>
      </c>
      <c r="C10" s="34" t="s">
        <v>101</v>
      </c>
      <c r="D10" s="47" t="s">
        <v>259</v>
      </c>
      <c r="E10" s="59" t="s">
        <v>326</v>
      </c>
      <c r="F10" s="58" t="s">
        <v>327</v>
      </c>
      <c r="G10" s="58" t="s">
        <v>328</v>
      </c>
      <c r="H10" s="47" t="s">
        <v>300</v>
      </c>
      <c r="I10" s="60" t="n">
        <v>2100</v>
      </c>
      <c r="J10" s="34" t="s">
        <v>301</v>
      </c>
      <c r="K10" s="46" t="str">
        <f aca="false">IF(H10="Remote","Control deficiency",IF(I10&gt;=Materiality,"Material weakness",IF(OR(I10&gt;=SD_Factor*Materiality,AND(H10="Probable",I10&gt;=Trivial_Factor*Materiality)),"Significant deficiency","Control deficiency")))</f>
        <v>Significant deficiency</v>
      </c>
      <c r="L10" s="57" t="str">
        <f aca="false">IF(J10="Yes",IF(K10="Material weakness","Significant deficiency",IF(K10="Significant deficiency","Control deficiency",K10)),K10)</f>
        <v>Significant deficiency</v>
      </c>
      <c r="M10" s="39" t="str">
        <f aca="false">IF(L10="Material weakness","High",IF(L10="Significant deficiency","Medium","Low"))</f>
        <v>Medium</v>
      </c>
      <c r="N10" s="58" t="s">
        <v>329</v>
      </c>
      <c r="O10" s="47" t="s">
        <v>207</v>
      </c>
      <c r="P10" s="37" t="n">
        <f aca="false">IF(L10="Material weakness",WD_MW,IF(L10="Significant deficiency",WD_SD,WD_CD))</f>
        <v>40</v>
      </c>
      <c r="Q10" s="61" t="n">
        <f aca="false">WORKDAY(Report_Date,P10,Holidays)</f>
        <v>46353</v>
      </c>
      <c r="R10" s="47" t="s">
        <v>317</v>
      </c>
      <c r="S10" s="37" t="n">
        <f aca="false">IF(R10="Closed","",NETWORKDAYS(As_Of,Q10,Holidays)-1)</f>
        <v>38</v>
      </c>
      <c r="T10" s="57" t="str">
        <f aca="false">IF(R10="Closed","✔ Closed",IF(S10&lt;0,"✖ Overdue",IF(S10&lt;=Soon_WD,"● Due soon","▲ On track")))</f>
        <v>▲ On track</v>
      </c>
      <c r="U10" s="58" t="s">
        <v>330</v>
      </c>
    </row>
    <row r="11" customFormat="false" ht="91.5" hidden="false" customHeight="true" outlineLevel="0" collapsed="false">
      <c r="B11" s="34" t="s">
        <v>331</v>
      </c>
      <c r="C11" s="34" t="s">
        <v>104</v>
      </c>
      <c r="D11" s="47" t="s">
        <v>262</v>
      </c>
      <c r="E11" s="59" t="s">
        <v>332</v>
      </c>
      <c r="F11" s="58" t="s">
        <v>333</v>
      </c>
      <c r="G11" s="58" t="s">
        <v>334</v>
      </c>
      <c r="H11" s="47" t="s">
        <v>300</v>
      </c>
      <c r="I11" s="60" t="n">
        <v>640</v>
      </c>
      <c r="J11" s="34" t="s">
        <v>301</v>
      </c>
      <c r="K11" s="46" t="str">
        <f aca="false">IF(H11="Remote","Control deficiency",IF(I11&gt;=Materiality,"Material weakness",IF(OR(I11&gt;=SD_Factor*Materiality,AND(H11="Probable",I11&gt;=Trivial_Factor*Materiality)),"Significant deficiency","Control deficiency")))</f>
        <v>Control deficiency</v>
      </c>
      <c r="L11" s="57" t="str">
        <f aca="false">IF(J11="Yes",IF(K11="Material weakness","Significant deficiency",IF(K11="Significant deficiency","Control deficiency",K11)),K11)</f>
        <v>Control deficiency</v>
      </c>
      <c r="M11" s="39" t="str">
        <f aca="false">IF(L11="Material weakness","High",IF(L11="Significant deficiency","Medium","Low"))</f>
        <v>Low</v>
      </c>
      <c r="N11" s="58" t="s">
        <v>335</v>
      </c>
      <c r="O11" s="47" t="s">
        <v>226</v>
      </c>
      <c r="P11" s="37" t="n">
        <f aca="false">IF(L11="Material weakness",WD_MW,IF(L11="Significant deficiency",WD_SD,WD_CD))</f>
        <v>60</v>
      </c>
      <c r="Q11" s="61" t="n">
        <f aca="false">WORKDAY(Report_Date,P11,Holidays)</f>
        <v>46392</v>
      </c>
      <c r="R11" s="47" t="s">
        <v>317</v>
      </c>
      <c r="S11" s="37" t="n">
        <f aca="false">IF(R11="Closed","",NETWORKDAYS(As_Of,Q11,Holidays)-1)</f>
        <v>58</v>
      </c>
      <c r="T11" s="57" t="str">
        <f aca="false">IF(R11="Closed","✔ Closed",IF(S11&lt;0,"✖ Overdue",IF(S11&lt;=Soon_WD,"● Due soon","▲ On track")))</f>
        <v>▲ On track</v>
      </c>
      <c r="U11" s="58" t="s">
        <v>336</v>
      </c>
    </row>
    <row r="12" customFormat="false" ht="91.5" hidden="false" customHeight="true" outlineLevel="0" collapsed="false">
      <c r="B12" s="34" t="s">
        <v>337</v>
      </c>
      <c r="C12" s="34" t="s">
        <v>83</v>
      </c>
      <c r="D12" s="47" t="s">
        <v>198</v>
      </c>
      <c r="E12" s="59" t="s">
        <v>338</v>
      </c>
      <c r="F12" s="58" t="s">
        <v>339</v>
      </c>
      <c r="G12" s="58" t="s">
        <v>340</v>
      </c>
      <c r="H12" s="47" t="s">
        <v>341</v>
      </c>
      <c r="I12" s="60" t="n">
        <v>300</v>
      </c>
      <c r="J12" s="34" t="s">
        <v>342</v>
      </c>
      <c r="K12" s="46" t="str">
        <f aca="false">IF(H12="Remote","Control deficiency",IF(I12&gt;=Materiality,"Material weakness",IF(OR(I12&gt;=SD_Factor*Materiality,AND(H12="Probable",I12&gt;=Trivial_Factor*Materiality)),"Significant deficiency","Control deficiency")))</f>
        <v>Control deficiency</v>
      </c>
      <c r="L12" s="57" t="str">
        <f aca="false">IF(J12="Yes",IF(K12="Material weakness","Significant deficiency",IF(K12="Significant deficiency","Control deficiency",K12)),K12)</f>
        <v>Control deficiency</v>
      </c>
      <c r="M12" s="39" t="str">
        <f aca="false">IF(L12="Material weakness","High",IF(L12="Significant deficiency","Medium","Low"))</f>
        <v>Low</v>
      </c>
      <c r="N12" s="58" t="s">
        <v>343</v>
      </c>
      <c r="O12" s="47" t="s">
        <v>200</v>
      </c>
      <c r="P12" s="37" t="n">
        <f aca="false">IF(L12="Material weakness",WD_MW,IF(L12="Significant deficiency",WD_SD,WD_CD))</f>
        <v>60</v>
      </c>
      <c r="Q12" s="61" t="n">
        <f aca="false">WORKDAY(Report_Date,P12,Holidays)</f>
        <v>46392</v>
      </c>
      <c r="R12" s="47" t="s">
        <v>344</v>
      </c>
      <c r="S12" s="37" t="str">
        <f aca="false">IF(R12="Closed","",NETWORKDAYS(As_Of,Q12,Holidays)-1)</f>
        <v/>
      </c>
      <c r="T12" s="57" t="str">
        <f aca="false">IF(R12="Closed","✔ Closed",IF(S12&lt;0,"✖ Overdue",IF(S12&lt;=Soon_WD,"● Due soon","▲ On track")))</f>
        <v>✔ Closed</v>
      </c>
      <c r="U12" s="58" t="s">
        <v>345</v>
      </c>
    </row>
    <row r="13" customFormat="false" ht="91.5" hidden="false" customHeight="true" outlineLevel="0" collapsed="false">
      <c r="B13" s="34" t="s">
        <v>346</v>
      </c>
      <c r="C13" s="34" t="s">
        <v>104</v>
      </c>
      <c r="D13" s="47" t="s">
        <v>265</v>
      </c>
      <c r="E13" s="59" t="s">
        <v>347</v>
      </c>
      <c r="F13" s="58" t="s">
        <v>348</v>
      </c>
      <c r="G13" s="58" t="s">
        <v>349</v>
      </c>
      <c r="H13" s="47" t="s">
        <v>300</v>
      </c>
      <c r="I13" s="60" t="n">
        <v>1500</v>
      </c>
      <c r="J13" s="34" t="s">
        <v>342</v>
      </c>
      <c r="K13" s="46" t="str">
        <f aca="false">IF(H13="Remote","Control deficiency",IF(I13&gt;=Materiality,"Material weakness",IF(OR(I13&gt;=SD_Factor*Materiality,AND(H13="Probable",I13&gt;=Trivial_Factor*Materiality)),"Significant deficiency","Control deficiency")))</f>
        <v>Significant deficiency</v>
      </c>
      <c r="L13" s="57" t="str">
        <f aca="false">IF(J13="Yes",IF(K13="Material weakness","Significant deficiency",IF(K13="Significant deficiency","Control deficiency",K13)),K13)</f>
        <v>Control deficiency</v>
      </c>
      <c r="M13" s="39" t="str">
        <f aca="false">IF(L13="Material weakness","High",IF(L13="Significant deficiency","Medium","Low"))</f>
        <v>Low</v>
      </c>
      <c r="N13" s="58" t="s">
        <v>350</v>
      </c>
      <c r="O13" s="47" t="s">
        <v>195</v>
      </c>
      <c r="P13" s="37" t="n">
        <f aca="false">IF(L13="Material weakness",WD_MW,IF(L13="Significant deficiency",WD_SD,WD_CD))</f>
        <v>60</v>
      </c>
      <c r="Q13" s="61" t="n">
        <f aca="false">WORKDAY(Report_Date,P13,Holidays)</f>
        <v>46392</v>
      </c>
      <c r="R13" s="47" t="s">
        <v>317</v>
      </c>
      <c r="S13" s="37" t="n">
        <f aca="false">IF(R13="Closed","",NETWORKDAYS(As_Of,Q13,Holidays)-1)</f>
        <v>58</v>
      </c>
      <c r="T13" s="57" t="str">
        <f aca="false">IF(R13="Closed","✔ Closed",IF(S13&lt;0,"✖ Overdue",IF(S13&lt;=Soon_WD,"● Due soon","▲ On track")))</f>
        <v>▲ On track</v>
      </c>
      <c r="U13" s="58" t="s">
        <v>351</v>
      </c>
    </row>
    <row r="15" customFormat="false" ht="15" hidden="false" customHeight="false" outlineLevel="0" collapsed="false">
      <c r="E15" s="62" t="str">
        <f aca="false">"Materiality: PHP "&amp;TEXT(Materiality,"#,##0")&amp;" thousand. Material weakness = reasonably possible or probable misstatement at or above materiality; significant deficiency = at or above "&amp;TEXT(SD_Factor,"0%")&amp;" of materiality (or probable and above "&amp;TEXT(Trivial_Factor,"0%")&amp;"). An effective compensating control lowers the class by one level."</f>
        <v>Materiality: PHP 4,862 thousand. Material weakness = reasonably possible or probable misstatement at or above materiality; significant deficiency = at or above 25% of materiality (or probable and above 5%). An effective compensating control lowers the class by one level.</v>
      </c>
    </row>
  </sheetData>
  <conditionalFormatting sqref="K6:K13">
    <cfRule type="cellIs" priority="2" operator="equal" aboveAverage="0" equalAverage="0" bottom="0" percent="0" rank="0" text="" dxfId="1">
      <formula>"Material weakness"</formula>
    </cfRule>
    <cfRule type="cellIs" priority="3" operator="equal" aboveAverage="0" equalAverage="0" bottom="0" percent="0" rank="0" text="" dxfId="6">
      <formula>"Significant deficiency"</formula>
    </cfRule>
    <cfRule type="cellIs" priority="4" operator="equal" aboveAverage="0" equalAverage="0" bottom="0" percent="0" rank="0" text="" dxfId="12">
      <formula>"Control deficiency"</formula>
    </cfRule>
  </conditionalFormatting>
  <conditionalFormatting sqref="L6:L13">
    <cfRule type="cellIs" priority="5" operator="equal" aboveAverage="0" equalAverage="0" bottom="0" percent="0" rank="0" text="" dxfId="1">
      <formula>"Material weakness"</formula>
    </cfRule>
    <cfRule type="cellIs" priority="6" operator="equal" aboveAverage="0" equalAverage="0" bottom="0" percent="0" rank="0" text="" dxfId="6">
      <formula>"Significant deficiency"</formula>
    </cfRule>
    <cfRule type="cellIs" priority="7" operator="equal" aboveAverage="0" equalAverage="0" bottom="0" percent="0" rank="0" text="" dxfId="12">
      <formula>"Control deficiency"</formula>
    </cfRule>
  </conditionalFormatting>
  <conditionalFormatting sqref="T6:T13">
    <cfRule type="expression" priority="8" aboveAverage="0" equalAverage="0" bottom="0" percent="0" rank="0" text="" dxfId="1">
      <formula>LEFT(T6,1)="✖"</formula>
    </cfRule>
    <cfRule type="expression" priority="9" aboveAverage="0" equalAverage="0" bottom="0" percent="0" rank="0" text="" dxfId="2">
      <formula>LEFT(T6,1)="●"</formula>
    </cfRule>
    <cfRule type="expression" priority="10" aboveAverage="0" equalAverage="0" bottom="0" percent="0" rank="0" text="" dxfId="0">
      <formula>LEFT(T6,1)="✔"</formula>
    </cfRule>
  </conditionalFormatting>
  <dataValidations count="3">
    <dataValidation allowBlank="false" error="Pick a value from the list." errorStyle="stop" errorTitle="Invalid selection" operator="between" showDropDown="false" showErrorMessage="true" showInputMessage="false" sqref="H6:H13" type="list">
      <formula1>Like_List</formula1>
      <formula2>0</formula2>
    </dataValidation>
    <dataValidation allowBlank="false" error="Pick a value from the list." errorStyle="stop" errorTitle="Invalid selection" operator="between" showDropDown="false" showErrorMessage="true" showInputMessage="false" sqref="J6:J13" type="list">
      <formula1>YesNo</formula1>
      <formula2>0</formula2>
    </dataValidation>
    <dataValidation allowBlank="false" error="Pick a value from the list." errorStyle="stop" errorTitle="Invalid selection" operator="between" showDropDown="false" showErrorMessage="true" showInputMessage="false" sqref="R6:R13" type="list">
      <formula1>Status_List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7" min="3" style="0" width="12"/>
    <col collapsed="false" customWidth="true" hidden="false" outlineLevel="0" max="8" min="8" style="0" width="3"/>
    <col collapsed="false" customWidth="true" hidden="false" outlineLevel="0" max="9" min="9" style="0" width="56"/>
    <col collapsed="false" customWidth="true" hidden="false" outlineLevel="0" max="12" min="10" style="0" width="12"/>
  </cols>
  <sheetData>
    <row r="1" customFormat="false" ht="24" hidden="false" customHeight="true" outlineLevel="0" collapsed="false">
      <c r="B1" s="17" t="s">
        <v>352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12" t="s">
        <v>353</v>
      </c>
      <c r="C5" s="13"/>
      <c r="D5" s="13"/>
      <c r="E5" s="13"/>
      <c r="F5" s="13"/>
      <c r="G5" s="13"/>
      <c r="I5" s="12" t="s">
        <v>354</v>
      </c>
      <c r="J5" s="13"/>
      <c r="K5" s="13"/>
      <c r="L5" s="13"/>
    </row>
    <row r="6" customFormat="false" ht="33.75" hidden="false" customHeight="true" outlineLevel="0" collapsed="false">
      <c r="B6" s="33" t="s">
        <v>355</v>
      </c>
      <c r="C6" s="63" t="n">
        <v>1</v>
      </c>
      <c r="D6" s="63" t="n">
        <v>2</v>
      </c>
      <c r="E6" s="63" t="n">
        <v>3</v>
      </c>
      <c r="F6" s="63" t="n">
        <v>4</v>
      </c>
      <c r="G6" s="63" t="n">
        <v>5</v>
      </c>
      <c r="I6" s="32" t="s">
        <v>356</v>
      </c>
      <c r="J6" s="33" t="s">
        <v>119</v>
      </c>
      <c r="K6" s="33" t="s">
        <v>357</v>
      </c>
      <c r="L6" s="33" t="s">
        <v>116</v>
      </c>
    </row>
    <row r="7" customFormat="false" ht="33.75" hidden="false" customHeight="true" outlineLevel="0" collapsed="false">
      <c r="B7" s="63" t="n">
        <v>5</v>
      </c>
      <c r="C7" s="64" t="n">
        <f aca="false">COUNTIFS(Risk_L,$B7,Risk_I,C$6)</f>
        <v>0</v>
      </c>
      <c r="D7" s="64" t="n">
        <f aca="false">COUNTIFS(Risk_L,$B7,Risk_I,D$6)</f>
        <v>0</v>
      </c>
      <c r="E7" s="64" t="n">
        <f aca="false">COUNTIFS(Risk_L,$B7,Risk_I,E$6)</f>
        <v>0</v>
      </c>
      <c r="F7" s="64" t="n">
        <f aca="false">COUNTIFS(Risk_L,$B7,Risk_I,F$6)</f>
        <v>0</v>
      </c>
      <c r="G7" s="64" t="n">
        <f aca="false">COUNTIFS(Risk_L,$B7,Risk_I,G$6)</f>
        <v>0</v>
      </c>
      <c r="I7" s="65" t="str">
        <f aca="false">INDEX(Risk_ID,MATCH(LARGE(Risk_Key,1),Risk_Key,0))&amp;" - "&amp;INDEX(Risk_Name,MATCH(LARGE(Risk_Key,1),Risk_Key,0))</f>
        <v>R08 - Revenue is recognised without evidence that goods were delivered</v>
      </c>
      <c r="J7" s="51" t="n">
        <f aca="false">INDEX(Risk_Res,MATCH(LARGE(Risk_Key,1),Risk_Key,0))</f>
        <v>18</v>
      </c>
      <c r="K7" s="50" t="str">
        <f aca="false">IF(J7&gt;=High_Score,"High",IF(J7&gt;=Med_Score,"Medium","Low"))</f>
        <v>High</v>
      </c>
      <c r="L7" s="37" t="n">
        <f aca="false">INDEX(Risk_Inh,MATCH(LARGE(Risk_Key,1),Risk_Key,0))</f>
        <v>20</v>
      </c>
    </row>
    <row r="8" customFormat="false" ht="33.75" hidden="false" customHeight="true" outlineLevel="0" collapsed="false">
      <c r="B8" s="63" t="n">
        <v>4</v>
      </c>
      <c r="C8" s="64" t="n">
        <f aca="false">COUNTIFS(Risk_L,$B8,Risk_I,C$6)</f>
        <v>0</v>
      </c>
      <c r="D8" s="64" t="n">
        <f aca="false">COUNTIFS(Risk_L,$B8,Risk_I,D$6)</f>
        <v>0</v>
      </c>
      <c r="E8" s="64" t="n">
        <f aca="false">COUNTIFS(Risk_L,$B8,Risk_I,E$6)</f>
        <v>1</v>
      </c>
      <c r="F8" s="64" t="n">
        <f aca="false">COUNTIFS(Risk_L,$B8,Risk_I,F$6)</f>
        <v>2</v>
      </c>
      <c r="G8" s="64" t="n">
        <f aca="false">COUNTIFS(Risk_L,$B8,Risk_I,G$6)</f>
        <v>1</v>
      </c>
      <c r="I8" s="65" t="str">
        <f aca="false">INDEX(Risk_ID,MATCH(LARGE(Risk_Key,2),Risk_Key,0))&amp;" - "&amp;INDEX(Risk_Name,MATCH(LARGE(Risk_Key,2),Risk_Key,0))</f>
        <v>R14 - Uncollectible receivables are not identified or provided for</v>
      </c>
      <c r="J8" s="51" t="n">
        <f aca="false">INDEX(Risk_Res,MATCH(LARGE(Risk_Key,2),Risk_Key,0))</f>
        <v>14.4</v>
      </c>
      <c r="K8" s="50" t="str">
        <f aca="false">IF(J8&gt;=High_Score,"High",IF(J8&gt;=Med_Score,"Medium","Low"))</f>
        <v>Medium</v>
      </c>
      <c r="L8" s="37" t="n">
        <f aca="false">INDEX(Risk_Inh,MATCH(LARGE(Risk_Key,2),Risk_Key,0))</f>
        <v>16</v>
      </c>
    </row>
    <row r="9" customFormat="false" ht="33.75" hidden="false" customHeight="true" outlineLevel="0" collapsed="false">
      <c r="B9" s="63" t="n">
        <v>3</v>
      </c>
      <c r="C9" s="64" t="n">
        <f aca="false">COUNTIFS(Risk_L,$B9,Risk_I,C$6)</f>
        <v>0</v>
      </c>
      <c r="D9" s="64" t="n">
        <f aca="false">COUNTIFS(Risk_L,$B9,Risk_I,D$6)</f>
        <v>0</v>
      </c>
      <c r="E9" s="64" t="n">
        <f aca="false">COUNTIFS(Risk_L,$B9,Risk_I,E$6)</f>
        <v>3</v>
      </c>
      <c r="F9" s="64" t="n">
        <f aca="false">COUNTIFS(Risk_L,$B9,Risk_I,F$6)</f>
        <v>5</v>
      </c>
      <c r="G9" s="64" t="n">
        <f aca="false">COUNTIFS(Risk_L,$B9,Risk_I,G$6)</f>
        <v>1</v>
      </c>
      <c r="I9" s="65" t="str">
        <f aca="false">INDEX(Risk_ID,MATCH(LARGE(Risk_Key,3),Risk_Key,0))&amp;" - "&amp;INDEX(Risk_Name,MATCH(LARGE(Risk_Key,3),Risk_Key,0))</f>
        <v>R12 - Collections are misappropriated or misapplied (including lapping)</v>
      </c>
      <c r="J9" s="51" t="n">
        <f aca="false">INDEX(Risk_Res,MATCH(LARGE(Risk_Key,3),Risk_Key,0))</f>
        <v>12.75</v>
      </c>
      <c r="K9" s="50" t="str">
        <f aca="false">IF(J9&gt;=High_Score,"High",IF(J9&gt;=Med_Score,"Medium","Low"))</f>
        <v>Medium</v>
      </c>
      <c r="L9" s="37" t="n">
        <f aca="false">INDEX(Risk_Inh,MATCH(LARGE(Risk_Key,3),Risk_Key,0))</f>
        <v>15</v>
      </c>
    </row>
    <row r="10" customFormat="false" ht="33.75" hidden="false" customHeight="true" outlineLevel="0" collapsed="false">
      <c r="B10" s="63" t="n">
        <v>2</v>
      </c>
      <c r="C10" s="64" t="n">
        <f aca="false">COUNTIFS(Risk_L,$B10,Risk_I,C$6)</f>
        <v>0</v>
      </c>
      <c r="D10" s="64" t="n">
        <f aca="false">COUNTIFS(Risk_L,$B10,Risk_I,D$6)</f>
        <v>0</v>
      </c>
      <c r="E10" s="64" t="n">
        <f aca="false">COUNTIFS(Risk_L,$B10,Risk_I,E$6)</f>
        <v>0</v>
      </c>
      <c r="F10" s="64" t="n">
        <f aca="false">COUNTIFS(Risk_L,$B10,Risk_I,F$6)</f>
        <v>2</v>
      </c>
      <c r="G10" s="64" t="n">
        <f aca="false">COUNTIFS(Risk_L,$B10,Risk_I,G$6)</f>
        <v>1</v>
      </c>
      <c r="I10" s="65" t="str">
        <f aca="false">INDEX(Risk_ID,MATCH(LARGE(Risk_Key,4),Risk_Key,0))&amp;" - "&amp;INDEX(Risk_Name,MATCH(LARGE(Risk_Key,4),Risk_Key,0))</f>
        <v>R04 - Orders are released beyond approved credit limits or to overdue accounts</v>
      </c>
      <c r="J10" s="51" t="n">
        <f aca="false">INDEX(Risk_Res,MATCH(LARGE(Risk_Key,4),Risk_Key,0))</f>
        <v>12.2666666666667</v>
      </c>
      <c r="K10" s="50" t="str">
        <f aca="false">IF(J10&gt;=High_Score,"High",IF(J10&gt;=Med_Score,"Medium","Low"))</f>
        <v>Medium</v>
      </c>
      <c r="L10" s="37" t="n">
        <f aca="false">INDEX(Risk_Inh,MATCH(LARGE(Risk_Key,4),Risk_Key,0))</f>
        <v>16</v>
      </c>
    </row>
    <row r="11" customFormat="false" ht="33.75" hidden="false" customHeight="true" outlineLevel="0" collapsed="false">
      <c r="B11" s="63" t="n">
        <v>1</v>
      </c>
      <c r="C11" s="64" t="n">
        <f aca="false">COUNTIFS(Risk_L,$B11,Risk_I,C$6)</f>
        <v>0</v>
      </c>
      <c r="D11" s="64" t="n">
        <f aca="false">COUNTIFS(Risk_L,$B11,Risk_I,D$6)</f>
        <v>0</v>
      </c>
      <c r="E11" s="64" t="n">
        <f aca="false">COUNTIFS(Risk_L,$B11,Risk_I,E$6)</f>
        <v>0</v>
      </c>
      <c r="F11" s="64" t="n">
        <f aca="false">COUNTIFS(Risk_L,$B11,Risk_I,F$6)</f>
        <v>0</v>
      </c>
      <c r="G11" s="64" t="n">
        <f aca="false">COUNTIFS(Risk_L,$B11,Risk_I,G$6)</f>
        <v>0</v>
      </c>
      <c r="I11" s="65" t="str">
        <f aca="false">INDEX(Risk_ID,MATCH(LARGE(Risk_Key,5),Risk_Key,0))&amp;" - "&amp;INDEX(Risk_Name,MATCH(LARGE(Risk_Key,5),Risk_Key,0))</f>
        <v>R13 - Credit notes and returns are issued without authorisation</v>
      </c>
      <c r="J11" s="51" t="n">
        <f aca="false">INDEX(Risk_Res,MATCH(LARGE(Risk_Key,5),Risk_Key,0))</f>
        <v>10.8</v>
      </c>
      <c r="K11" s="50" t="str">
        <f aca="false">IF(J11&gt;=High_Score,"High",IF(J11&gt;=Med_Score,"Medium","Low"))</f>
        <v>Medium</v>
      </c>
      <c r="L11" s="37" t="n">
        <f aca="false">INDEX(Risk_Inh,MATCH(LARGE(Risk_Key,5),Risk_Key,0))</f>
        <v>12</v>
      </c>
    </row>
    <row r="13" customFormat="false" ht="15" hidden="false" customHeight="false" outlineLevel="0" collapsed="false">
      <c r="B13" s="44" t="s">
        <v>358</v>
      </c>
    </row>
    <row r="15" customFormat="false" ht="15" hidden="false" customHeight="false" outlineLevel="0" collapsed="false">
      <c r="B15" s="12" t="s">
        <v>359</v>
      </c>
      <c r="C15" s="13"/>
      <c r="D15" s="13"/>
      <c r="E15" s="13"/>
      <c r="F15" s="13"/>
      <c r="G15" s="13"/>
    </row>
    <row r="16" customFormat="false" ht="21.75" hidden="false" customHeight="true" outlineLevel="0" collapsed="false">
      <c r="B16" s="32" t="s">
        <v>357</v>
      </c>
      <c r="C16" s="33" t="s">
        <v>360</v>
      </c>
      <c r="D16" s="33" t="s">
        <v>361</v>
      </c>
    </row>
    <row r="17" customFormat="false" ht="15" hidden="false" customHeight="false" outlineLevel="0" collapsed="false">
      <c r="B17" s="66" t="s">
        <v>362</v>
      </c>
      <c r="C17" s="37" t="n">
        <f aca="false">COUNTIF(Risks!$K$6:$K$21,B17)</f>
        <v>4</v>
      </c>
      <c r="D17" s="37" t="n">
        <f aca="false">COUNTIF(Risks!$O$6:$O$21,B17)</f>
        <v>1</v>
      </c>
    </row>
    <row r="18" customFormat="false" ht="15" hidden="false" customHeight="false" outlineLevel="0" collapsed="false">
      <c r="B18" s="66" t="s">
        <v>363</v>
      </c>
      <c r="C18" s="37" t="n">
        <f aca="false">COUNTIF(Risks!$K$6:$K$21,B18)</f>
        <v>12</v>
      </c>
      <c r="D18" s="37" t="n">
        <f aca="false">COUNTIF(Risks!$O$6:$O$21,B18)</f>
        <v>5</v>
      </c>
    </row>
    <row r="19" customFormat="false" ht="15" hidden="false" customHeight="false" outlineLevel="0" collapsed="false">
      <c r="B19" s="66" t="s">
        <v>364</v>
      </c>
      <c r="C19" s="37" t="n">
        <f aca="false">COUNTIF(Risks!$K$6:$K$21,B19)</f>
        <v>0</v>
      </c>
      <c r="D19" s="37" t="n">
        <f aca="false">COUNTIF(Risks!$O$6:$O$21,B19)</f>
        <v>10</v>
      </c>
    </row>
    <row r="20" customFormat="false" ht="15" hidden="false" customHeight="false" outlineLevel="0" collapsed="false">
      <c r="B20" s="41" t="s">
        <v>107</v>
      </c>
      <c r="C20" s="42" t="n">
        <f aca="false">SUM(C17:C19)</f>
        <v>16</v>
      </c>
      <c r="D20" s="42" t="n">
        <f aca="false">SUM(D17:D19)</f>
        <v>16</v>
      </c>
    </row>
  </sheetData>
  <conditionalFormatting sqref="C7:G11">
    <cfRule type="expression" priority="2" aboveAverage="0" equalAverage="0" bottom="0" percent="0" rank="0" text="" dxfId="13">
      <formula>$B7*C$6&gt;=High_Score</formula>
    </cfRule>
    <cfRule type="expression" priority="3" aboveAverage="0" equalAverage="0" bottom="0" percent="0" rank="0" text="" dxfId="14">
      <formula>$B7*C$6&gt;=Med_Score</formula>
    </cfRule>
    <cfRule type="expression" priority="4" aboveAverage="0" equalAverage="0" bottom="0" percent="0" rank="0" text="" dxfId="15">
      <formula>$B7*C$6&lt;Med_Score</formula>
    </cfRule>
  </conditionalFormatting>
  <conditionalFormatting sqref="K7:K11">
    <cfRule type="cellIs" priority="5" operator="equal" aboveAverage="0" equalAverage="0" bottom="0" percent="0" rank="0" text="" dxfId="1">
      <formula>"High"</formula>
    </cfRule>
    <cfRule type="cellIs" priority="6" operator="equal" aboveAverage="0" equalAverage="0" bottom="0" percent="0" rank="0" text="" dxfId="6">
      <formula>"Medium"</formula>
    </cfRule>
    <cfRule type="cellIs" priority="7" operator="equal" aboveAverage="0" equalAverage="0" bottom="0" percent="0" rank="0" text="" dxfId="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70"/>
  </cols>
  <sheetData>
    <row r="1" customFormat="false" ht="24" hidden="false" customHeight="true" outlineLevel="0" collapsed="false">
      <c r="B1" s="17" t="s">
        <v>365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30" hidden="false" customHeight="true" outlineLevel="0" collapsed="false">
      <c r="B5" s="32" t="s">
        <v>366</v>
      </c>
      <c r="C5" s="33" t="s">
        <v>367</v>
      </c>
      <c r="D5" s="33" t="s">
        <v>368</v>
      </c>
    </row>
    <row r="6" customFormat="false" ht="15" hidden="false" customHeight="false" outlineLevel="0" collapsed="false">
      <c r="B6" s="67" t="s">
        <v>272</v>
      </c>
      <c r="C6" s="48" t="n">
        <v>1</v>
      </c>
      <c r="D6" s="48" t="n">
        <v>1</v>
      </c>
    </row>
    <row r="7" customFormat="false" ht="15" hidden="false" customHeight="false" outlineLevel="0" collapsed="false">
      <c r="B7" s="67" t="s">
        <v>275</v>
      </c>
      <c r="C7" s="48" t="n">
        <v>2</v>
      </c>
      <c r="D7" s="48" t="n">
        <v>2</v>
      </c>
    </row>
    <row r="8" customFormat="false" ht="15" hidden="false" customHeight="false" outlineLevel="0" collapsed="false">
      <c r="B8" s="67" t="s">
        <v>202</v>
      </c>
      <c r="C8" s="48" t="n">
        <v>2</v>
      </c>
      <c r="D8" s="48" t="n">
        <v>3</v>
      </c>
    </row>
    <row r="9" customFormat="false" ht="15" hidden="false" customHeight="false" outlineLevel="0" collapsed="false">
      <c r="B9" s="67" t="s">
        <v>196</v>
      </c>
      <c r="C9" s="48" t="n">
        <v>8</v>
      </c>
      <c r="D9" s="48" t="n">
        <v>12</v>
      </c>
    </row>
    <row r="10" customFormat="false" ht="15" hidden="false" customHeight="false" outlineLevel="0" collapsed="false">
      <c r="B10" s="67" t="s">
        <v>227</v>
      </c>
      <c r="C10" s="48" t="n">
        <v>20</v>
      </c>
      <c r="D10" s="48" t="n">
        <v>30</v>
      </c>
    </row>
    <row r="11" customFormat="false" ht="15" hidden="false" customHeight="false" outlineLevel="0" collapsed="false">
      <c r="B11" s="67" t="s">
        <v>209</v>
      </c>
      <c r="C11" s="48" t="n">
        <v>25</v>
      </c>
      <c r="D11" s="48" t="n">
        <v>40</v>
      </c>
    </row>
    <row r="12" customFormat="false" ht="15" hidden="false" customHeight="false" outlineLevel="0" collapsed="false">
      <c r="B12" s="67" t="s">
        <v>190</v>
      </c>
      <c r="C12" s="48" t="n">
        <v>15</v>
      </c>
      <c r="D12" s="48" t="n">
        <v>25</v>
      </c>
    </row>
    <row r="14" customFormat="false" ht="15" hidden="false" customHeight="false" outlineLevel="0" collapsed="false">
      <c r="B14" s="8" t="s">
        <v>369</v>
      </c>
    </row>
    <row r="15" customFormat="false" ht="15" hidden="false" customHeight="false" outlineLevel="0" collapsed="false">
      <c r="B15" s="16" t="s">
        <v>370</v>
      </c>
    </row>
    <row r="16" customFormat="false" ht="15" hidden="false" customHeight="false" outlineLevel="0" collapsed="false">
      <c r="B16" s="16" t="s">
        <v>371</v>
      </c>
    </row>
    <row r="17" customFormat="false" ht="15" hidden="false" customHeight="false" outlineLevel="0" collapsed="false">
      <c r="B17" s="16" t="s">
        <v>372</v>
      </c>
    </row>
    <row r="18" customFormat="false" ht="15" hidden="false" customHeight="false" outlineLevel="0" collapsed="false">
      <c r="B18" s="16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B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24" hidden="false" customHeight="true" outlineLevel="0" collapsed="false">
      <c r="B1" s="17" t="s">
        <v>374</v>
      </c>
    </row>
    <row r="2" customFormat="false" ht="15" hidden="false" customHeight="false" outlineLevel="0" collapsed="false">
      <c r="B2" s="18" t="s">
        <v>375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12" t="s">
        <v>376</v>
      </c>
      <c r="C5" s="13"/>
      <c r="D5" s="13"/>
    </row>
    <row r="6" customFormat="false" ht="15" hidden="false" customHeight="false" outlineLevel="0" collapsed="false">
      <c r="B6" s="67" t="s">
        <v>377</v>
      </c>
      <c r="C6" s="68" t="n">
        <v>46297</v>
      </c>
      <c r="D6" s="44" t="s">
        <v>378</v>
      </c>
    </row>
    <row r="7" customFormat="false" ht="15" hidden="false" customHeight="false" outlineLevel="0" collapsed="false">
      <c r="B7" s="67" t="s">
        <v>379</v>
      </c>
      <c r="C7" s="68" t="n">
        <v>46301</v>
      </c>
      <c r="D7" s="44" t="s">
        <v>380</v>
      </c>
    </row>
    <row r="8" customFormat="false" ht="15" hidden="false" customHeight="false" outlineLevel="0" collapsed="false">
      <c r="B8" s="67" t="s">
        <v>381</v>
      </c>
      <c r="C8" s="68" t="n">
        <v>46023</v>
      </c>
    </row>
    <row r="9" customFormat="false" ht="15" hidden="false" customHeight="false" outlineLevel="0" collapsed="false">
      <c r="B9" s="67" t="s">
        <v>382</v>
      </c>
      <c r="C9" s="68" t="n">
        <v>46295</v>
      </c>
    </row>
    <row r="10" customFormat="false" ht="15" hidden="false" customHeight="false" outlineLevel="0" collapsed="false">
      <c r="B10" s="12" t="s">
        <v>383</v>
      </c>
      <c r="C10" s="13"/>
      <c r="D10" s="13"/>
    </row>
    <row r="11" customFormat="false" ht="15" hidden="false" customHeight="false" outlineLevel="0" collapsed="false">
      <c r="B11" s="67" t="s">
        <v>384</v>
      </c>
      <c r="C11" s="69" t="n">
        <v>972442</v>
      </c>
      <c r="D11" s="44" t="s">
        <v>385</v>
      </c>
    </row>
    <row r="12" customFormat="false" ht="15" hidden="false" customHeight="false" outlineLevel="0" collapsed="false">
      <c r="B12" s="67" t="s">
        <v>386</v>
      </c>
      <c r="C12" s="70" t="n">
        <v>0.005</v>
      </c>
    </row>
    <row r="13" customFormat="false" ht="15" hidden="false" customHeight="false" outlineLevel="0" collapsed="false">
      <c r="B13" s="67" t="s">
        <v>387</v>
      </c>
      <c r="C13" s="71" t="n">
        <f aca="false">C11*C12</f>
        <v>4862.21</v>
      </c>
    </row>
    <row r="14" customFormat="false" ht="15" hidden="false" customHeight="false" outlineLevel="0" collapsed="false">
      <c r="B14" s="67" t="s">
        <v>388</v>
      </c>
      <c r="C14" s="72" t="n">
        <v>0.25</v>
      </c>
    </row>
    <row r="15" customFormat="false" ht="15" hidden="false" customHeight="false" outlineLevel="0" collapsed="false">
      <c r="B15" s="67" t="s">
        <v>389</v>
      </c>
      <c r="C15" s="72" t="n">
        <v>0.05</v>
      </c>
    </row>
    <row r="16" customFormat="false" ht="15" hidden="false" customHeight="false" outlineLevel="0" collapsed="false">
      <c r="B16" s="12" t="s">
        <v>390</v>
      </c>
      <c r="C16" s="13"/>
      <c r="D16" s="13"/>
    </row>
    <row r="17" customFormat="false" ht="15" hidden="false" customHeight="false" outlineLevel="0" collapsed="false">
      <c r="B17" s="67" t="s">
        <v>391</v>
      </c>
      <c r="C17" s="72" t="n">
        <v>0.1</v>
      </c>
      <c r="D17" s="44" t="s">
        <v>392</v>
      </c>
    </row>
    <row r="18" customFormat="false" ht="15" hidden="false" customHeight="false" outlineLevel="0" collapsed="false">
      <c r="B18" s="67" t="s">
        <v>393</v>
      </c>
      <c r="C18" s="72" t="n">
        <v>0.05</v>
      </c>
    </row>
    <row r="19" customFormat="false" ht="15" hidden="false" customHeight="false" outlineLevel="0" collapsed="false">
      <c r="B19" s="67" t="s">
        <v>394</v>
      </c>
      <c r="C19" s="73" t="n">
        <v>15</v>
      </c>
      <c r="D19" s="44" t="s">
        <v>395</v>
      </c>
    </row>
    <row r="20" customFormat="false" ht="15" hidden="false" customHeight="false" outlineLevel="0" collapsed="false">
      <c r="B20" s="67" t="s">
        <v>396</v>
      </c>
      <c r="C20" s="73" t="n">
        <v>15</v>
      </c>
    </row>
    <row r="21" customFormat="false" ht="15" hidden="false" customHeight="false" outlineLevel="0" collapsed="false">
      <c r="B21" s="67" t="s">
        <v>397</v>
      </c>
      <c r="C21" s="73" t="n">
        <v>8</v>
      </c>
    </row>
    <row r="22" customFormat="false" ht="15" hidden="false" customHeight="false" outlineLevel="0" collapsed="false">
      <c r="B22" s="12" t="s">
        <v>398</v>
      </c>
      <c r="C22" s="13"/>
      <c r="D22" s="13"/>
    </row>
    <row r="23" customFormat="false" ht="15" hidden="false" customHeight="false" outlineLevel="0" collapsed="false">
      <c r="B23" s="67" t="s">
        <v>399</v>
      </c>
      <c r="C23" s="73" t="n">
        <v>20</v>
      </c>
    </row>
    <row r="24" customFormat="false" ht="15" hidden="false" customHeight="false" outlineLevel="0" collapsed="false">
      <c r="B24" s="67" t="s">
        <v>400</v>
      </c>
      <c r="C24" s="73" t="n">
        <v>40</v>
      </c>
    </row>
    <row r="25" customFormat="false" ht="15" hidden="false" customHeight="false" outlineLevel="0" collapsed="false">
      <c r="B25" s="67" t="s">
        <v>401</v>
      </c>
      <c r="C25" s="73" t="n">
        <v>60</v>
      </c>
    </row>
    <row r="26" customFormat="false" ht="15" hidden="false" customHeight="false" outlineLevel="0" collapsed="false">
      <c r="B26" s="67" t="s">
        <v>402</v>
      </c>
      <c r="C26" s="73" t="n">
        <v>10</v>
      </c>
    </row>
    <row r="28" customFormat="false" ht="15" hidden="false" customHeight="false" outlineLevel="0" collapsed="false">
      <c r="B28" s="12" t="s">
        <v>403</v>
      </c>
      <c r="C28" s="13"/>
      <c r="D28" s="13"/>
    </row>
    <row r="29" customFormat="false" ht="21.75" hidden="false" customHeight="true" outlineLevel="0" collapsed="false">
      <c r="B29" s="32" t="s">
        <v>404</v>
      </c>
      <c r="C29" s="33" t="s">
        <v>183</v>
      </c>
    </row>
    <row r="30" customFormat="false" ht="15" hidden="false" customHeight="false" outlineLevel="0" collapsed="false">
      <c r="B30" s="67" t="s">
        <v>74</v>
      </c>
      <c r="C30" s="74" t="n">
        <v>0.5</v>
      </c>
    </row>
    <row r="31" customFormat="false" ht="15" hidden="false" customHeight="false" outlineLevel="0" collapsed="false">
      <c r="B31" s="67" t="s">
        <v>405</v>
      </c>
      <c r="C31" s="74" t="n">
        <v>0.35</v>
      </c>
    </row>
    <row r="32" customFormat="false" ht="15" hidden="false" customHeight="false" outlineLevel="0" collapsed="false">
      <c r="B32" s="67" t="s">
        <v>75</v>
      </c>
      <c r="C32" s="74" t="n">
        <v>0.2</v>
      </c>
    </row>
    <row r="33" customFormat="false" ht="15" hidden="false" customHeight="false" outlineLevel="0" collapsed="false">
      <c r="B33" s="67" t="s">
        <v>76</v>
      </c>
      <c r="C33" s="74" t="n">
        <v>0.1</v>
      </c>
    </row>
    <row r="35" customFormat="false" ht="15" hidden="false" customHeight="false" outlineLevel="0" collapsed="false">
      <c r="B35" s="12" t="s">
        <v>406</v>
      </c>
      <c r="C35" s="13"/>
      <c r="D35" s="13"/>
    </row>
    <row r="36" customFormat="false" ht="15" hidden="false" customHeight="false" outlineLevel="0" collapsed="false">
      <c r="B36" s="75" t="n">
        <v>46356</v>
      </c>
    </row>
    <row r="37" customFormat="false" ht="15" hidden="false" customHeight="false" outlineLevel="0" collapsed="false">
      <c r="B37" s="75" t="n">
        <v>46364</v>
      </c>
    </row>
    <row r="38" customFormat="false" ht="15" hidden="false" customHeight="false" outlineLevel="0" collapsed="false">
      <c r="B38" s="75" t="n">
        <v>46380</v>
      </c>
    </row>
    <row r="39" customFormat="false" ht="15" hidden="false" customHeight="false" outlineLevel="0" collapsed="false">
      <c r="B39" s="75" t="n">
        <v>46381</v>
      </c>
    </row>
    <row r="40" customFormat="false" ht="15" hidden="false" customHeight="false" outlineLevel="0" collapsed="false">
      <c r="B40" s="75" t="n">
        <v>46386</v>
      </c>
    </row>
    <row r="41" customFormat="false" ht="15" hidden="false" customHeight="false" outlineLevel="0" collapsed="false">
      <c r="B41" s="75" t="n">
        <v>46387</v>
      </c>
    </row>
    <row r="42" customFormat="false" ht="15" hidden="false" customHeight="false" outlineLevel="0" collapsed="false">
      <c r="B42" s="75" t="n">
        <v>46388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B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4"/>
  </cols>
  <sheetData>
    <row r="1" customFormat="false" ht="24" hidden="false" customHeight="true" outlineLevel="0" collapsed="false">
      <c r="B1" s="17" t="s">
        <v>407</v>
      </c>
    </row>
    <row r="2" customFormat="false" ht="15" hidden="false" customHeight="false" outlineLevel="0" collapsed="false">
      <c r="B2" s="18" t="s">
        <v>408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5" customFormat="false" ht="15" hidden="false" customHeight="false" outlineLevel="0" collapsed="false">
      <c r="B5" s="76" t="s">
        <v>409</v>
      </c>
      <c r="C5" s="45" t="s">
        <v>48</v>
      </c>
    </row>
    <row r="6" customFormat="false" ht="15" hidden="false" customHeight="false" outlineLevel="0" collapsed="false">
      <c r="B6" s="67" t="s">
        <v>74</v>
      </c>
      <c r="C6" s="77" t="n">
        <f aca="false">COUNTIF(Ctl_Rating,B6)</f>
        <v>12</v>
      </c>
    </row>
    <row r="7" customFormat="false" ht="15" hidden="false" customHeight="false" outlineLevel="0" collapsed="false">
      <c r="B7" s="67" t="s">
        <v>405</v>
      </c>
      <c r="C7" s="77" t="n">
        <f aca="false">COUNTIF(Ctl_Rating,B7)</f>
        <v>3</v>
      </c>
    </row>
    <row r="8" customFormat="false" ht="15" hidden="false" customHeight="false" outlineLevel="0" collapsed="false">
      <c r="B8" s="67" t="s">
        <v>75</v>
      </c>
      <c r="C8" s="77" t="n">
        <f aca="false">COUNTIF(Ctl_Rating,B8)</f>
        <v>1</v>
      </c>
    </row>
    <row r="9" customFormat="false" ht="15" hidden="false" customHeight="false" outlineLevel="0" collapsed="false">
      <c r="B9" s="67" t="s">
        <v>76</v>
      </c>
      <c r="C9" s="77" t="n">
        <f aca="false">COUNTIF(Ctl_Rating,B9)</f>
        <v>8</v>
      </c>
    </row>
    <row r="11" customFormat="false" ht="15" hidden="false" customHeight="false" outlineLevel="0" collapsed="false">
      <c r="B11" s="76" t="s">
        <v>410</v>
      </c>
      <c r="C11" s="45" t="s">
        <v>411</v>
      </c>
    </row>
    <row r="12" customFormat="false" ht="15" hidden="false" customHeight="false" outlineLevel="0" collapsed="false">
      <c r="B12" s="67" t="s">
        <v>412</v>
      </c>
      <c r="C12" s="77" t="n">
        <f aca="false">COUNTIF(Fnd_Class,B12)</f>
        <v>1</v>
      </c>
    </row>
    <row r="13" customFormat="false" ht="15" hidden="false" customHeight="false" outlineLevel="0" collapsed="false">
      <c r="B13" s="67" t="s">
        <v>413</v>
      </c>
      <c r="C13" s="77" t="n">
        <f aca="false">COUNTIF(Fnd_Class,B13)</f>
        <v>3</v>
      </c>
    </row>
    <row r="14" customFormat="false" ht="15" hidden="false" customHeight="false" outlineLevel="0" collapsed="false">
      <c r="B14" s="67" t="s">
        <v>414</v>
      </c>
      <c r="C14" s="77" t="n">
        <f aca="false">COUNTIF(Fnd_Class,B14)</f>
        <v>4</v>
      </c>
    </row>
    <row r="16" customFormat="false" ht="30" hidden="false" customHeight="true" outlineLevel="0" collapsed="false">
      <c r="B16" s="76" t="s">
        <v>415</v>
      </c>
      <c r="C16" s="33" t="s">
        <v>74</v>
      </c>
      <c r="D16" s="33" t="s">
        <v>405</v>
      </c>
      <c r="E16" s="33" t="s">
        <v>75</v>
      </c>
      <c r="F16" s="33" t="s">
        <v>76</v>
      </c>
    </row>
    <row r="17" customFormat="false" ht="15" hidden="false" customHeight="false" outlineLevel="0" collapsed="false">
      <c r="B17" s="16" t="str">
        <f aca="false">Process_Steps!B6&amp;" "&amp;Process_Steps!C6</f>
        <v>P1 Customer onboarding and credit approval</v>
      </c>
      <c r="C17" s="78" t="n">
        <f aca="false">COUNTIFS(Ctl_Step,Process_Steps!$B6,Ctl_Rating,C$16)</f>
        <v>0</v>
      </c>
      <c r="D17" s="78" t="n">
        <f aca="false">COUNTIFS(Ctl_Step,Process_Steps!$B6,Ctl_Rating,D$16)</f>
        <v>1</v>
      </c>
      <c r="E17" s="78" t="n">
        <f aca="false">COUNTIFS(Ctl_Step,Process_Steps!$B6,Ctl_Rating,E$16)</f>
        <v>0</v>
      </c>
      <c r="F17" s="78" t="n">
        <f aca="false">COUNTIFS(Ctl_Step,Process_Steps!$B6,Ctl_Rating,F$16)</f>
        <v>0</v>
      </c>
    </row>
    <row r="18" customFormat="false" ht="15" hidden="false" customHeight="false" outlineLevel="0" collapsed="false">
      <c r="B18" s="16" t="str">
        <f aca="false">Process_Steps!B7&amp;" "&amp;Process_Steps!C7</f>
        <v>P2 Master data and pricing maintenance</v>
      </c>
      <c r="C18" s="78" t="n">
        <f aca="false">COUNTIFS(Ctl_Step,Process_Steps!$B7,Ctl_Rating,C$16)</f>
        <v>3</v>
      </c>
      <c r="D18" s="78" t="n">
        <f aca="false">COUNTIFS(Ctl_Step,Process_Steps!$B7,Ctl_Rating,D$16)</f>
        <v>0</v>
      </c>
      <c r="E18" s="78" t="n">
        <f aca="false">COUNTIFS(Ctl_Step,Process_Steps!$B7,Ctl_Rating,E$16)</f>
        <v>0</v>
      </c>
      <c r="F18" s="78" t="n">
        <f aca="false">COUNTIFS(Ctl_Step,Process_Steps!$B7,Ctl_Rating,F$16)</f>
        <v>1</v>
      </c>
    </row>
    <row r="19" customFormat="false" ht="15" hidden="false" customHeight="false" outlineLevel="0" collapsed="false">
      <c r="B19" s="16" t="str">
        <f aca="false">Process_Steps!B8&amp;" "&amp;Process_Steps!C8</f>
        <v>P3 Sales order entry</v>
      </c>
      <c r="C19" s="78" t="n">
        <f aca="false">COUNTIFS(Ctl_Step,Process_Steps!$B8,Ctl_Rating,C$16)</f>
        <v>0</v>
      </c>
      <c r="D19" s="78" t="n">
        <f aca="false">COUNTIFS(Ctl_Step,Process_Steps!$B8,Ctl_Rating,D$16)</f>
        <v>1</v>
      </c>
      <c r="E19" s="78" t="n">
        <f aca="false">COUNTIFS(Ctl_Step,Process_Steps!$B8,Ctl_Rating,E$16)</f>
        <v>0</v>
      </c>
      <c r="F19" s="78" t="n">
        <f aca="false">COUNTIFS(Ctl_Step,Process_Steps!$B8,Ctl_Rating,F$16)</f>
        <v>0</v>
      </c>
    </row>
    <row r="20" customFormat="false" ht="15" hidden="false" customHeight="false" outlineLevel="0" collapsed="false">
      <c r="B20" s="16" t="str">
        <f aca="false">Process_Steps!B9&amp;" "&amp;Process_Steps!C9</f>
        <v>P4 Credit check and order release</v>
      </c>
      <c r="C20" s="78" t="n">
        <f aca="false">COUNTIFS(Ctl_Step,Process_Steps!$B9,Ctl_Rating,C$16)</f>
        <v>1</v>
      </c>
      <c r="D20" s="78" t="n">
        <f aca="false">COUNTIFS(Ctl_Step,Process_Steps!$B9,Ctl_Rating,D$16)</f>
        <v>0</v>
      </c>
      <c r="E20" s="78" t="n">
        <f aca="false">COUNTIFS(Ctl_Step,Process_Steps!$B9,Ctl_Rating,E$16)</f>
        <v>0</v>
      </c>
      <c r="F20" s="78" t="n">
        <f aca="false">COUNTIFS(Ctl_Step,Process_Steps!$B9,Ctl_Rating,F$16)</f>
        <v>2</v>
      </c>
    </row>
    <row r="21" customFormat="false" ht="15" hidden="false" customHeight="false" outlineLevel="0" collapsed="false">
      <c r="B21" s="16" t="str">
        <f aca="false">Process_Steps!B10&amp;" "&amp;Process_Steps!C10</f>
        <v>P5 Picking, packing and dispatch</v>
      </c>
      <c r="C21" s="78" t="n">
        <f aca="false">COUNTIFS(Ctl_Step,Process_Steps!$B10,Ctl_Rating,C$16)</f>
        <v>2</v>
      </c>
      <c r="D21" s="78" t="n">
        <f aca="false">COUNTIFS(Ctl_Step,Process_Steps!$B10,Ctl_Rating,D$16)</f>
        <v>1</v>
      </c>
      <c r="E21" s="78" t="n">
        <f aca="false">COUNTIFS(Ctl_Step,Process_Steps!$B10,Ctl_Rating,E$16)</f>
        <v>0</v>
      </c>
      <c r="F21" s="78" t="n">
        <f aca="false">COUNTIFS(Ctl_Step,Process_Steps!$B10,Ctl_Rating,F$16)</f>
        <v>0</v>
      </c>
    </row>
    <row r="22" customFormat="false" ht="15" hidden="false" customHeight="false" outlineLevel="0" collapsed="false">
      <c r="B22" s="16" t="str">
        <f aca="false">Process_Steps!B11&amp;" "&amp;Process_Steps!C11</f>
        <v>P6 Delivery and proof of delivery</v>
      </c>
      <c r="C22" s="78" t="n">
        <f aca="false">COUNTIFS(Ctl_Step,Process_Steps!$B11,Ctl_Rating,C$16)</f>
        <v>0</v>
      </c>
      <c r="D22" s="78" t="n">
        <f aca="false">COUNTIFS(Ctl_Step,Process_Steps!$B11,Ctl_Rating,D$16)</f>
        <v>0</v>
      </c>
      <c r="E22" s="78" t="n">
        <f aca="false">COUNTIFS(Ctl_Step,Process_Steps!$B11,Ctl_Rating,E$16)</f>
        <v>0</v>
      </c>
      <c r="F22" s="78" t="n">
        <f aca="false">COUNTIFS(Ctl_Step,Process_Steps!$B11,Ctl_Rating,F$16)</f>
        <v>1</v>
      </c>
    </row>
    <row r="23" customFormat="false" ht="15" hidden="false" customHeight="false" outlineLevel="0" collapsed="false">
      <c r="B23" s="16" t="str">
        <f aca="false">Process_Steps!B12&amp;" "&amp;Process_Steps!C12</f>
        <v>P7 Invoicing and VAT</v>
      </c>
      <c r="C23" s="78" t="n">
        <f aca="false">COUNTIFS(Ctl_Step,Process_Steps!$B12,Ctl_Rating,C$16)</f>
        <v>3</v>
      </c>
      <c r="D23" s="78" t="n">
        <f aca="false">COUNTIFS(Ctl_Step,Process_Steps!$B12,Ctl_Rating,D$16)</f>
        <v>0</v>
      </c>
      <c r="E23" s="78" t="n">
        <f aca="false">COUNTIFS(Ctl_Step,Process_Steps!$B12,Ctl_Rating,E$16)</f>
        <v>0</v>
      </c>
      <c r="F23" s="78" t="n">
        <f aca="false">COUNTIFS(Ctl_Step,Process_Steps!$B12,Ctl_Rating,F$16)</f>
        <v>1</v>
      </c>
    </row>
    <row r="24" customFormat="false" ht="15" hidden="false" customHeight="false" outlineLevel="0" collapsed="false">
      <c r="B24" s="16" t="str">
        <f aca="false">Process_Steps!B13&amp;" "&amp;Process_Steps!C13</f>
        <v>P8 Collection and cash application</v>
      </c>
      <c r="C24" s="78" t="n">
        <f aca="false">COUNTIFS(Ctl_Step,Process_Steps!$B13,Ctl_Rating,C$16)</f>
        <v>0</v>
      </c>
      <c r="D24" s="78" t="n">
        <f aca="false">COUNTIFS(Ctl_Step,Process_Steps!$B13,Ctl_Rating,D$16)</f>
        <v>0</v>
      </c>
      <c r="E24" s="78" t="n">
        <f aca="false">COUNTIFS(Ctl_Step,Process_Steps!$B13,Ctl_Rating,E$16)</f>
        <v>1</v>
      </c>
      <c r="F24" s="78" t="n">
        <f aca="false">COUNTIFS(Ctl_Step,Process_Steps!$B13,Ctl_Rating,F$16)</f>
        <v>1</v>
      </c>
    </row>
    <row r="25" customFormat="false" ht="15" hidden="false" customHeight="false" outlineLevel="0" collapsed="false">
      <c r="B25" s="16" t="str">
        <f aca="false">Process_Steps!B14&amp;" "&amp;Process_Steps!C14</f>
        <v>P9 Credit notes, returns and receivables monitoring</v>
      </c>
      <c r="C25" s="78" t="n">
        <f aca="false">COUNTIFS(Ctl_Step,Process_Steps!$B14,Ctl_Rating,C$16)</f>
        <v>3</v>
      </c>
      <c r="D25" s="78" t="n">
        <f aca="false">COUNTIFS(Ctl_Step,Process_Steps!$B14,Ctl_Rating,D$16)</f>
        <v>0</v>
      </c>
      <c r="E25" s="78" t="n">
        <f aca="false">COUNTIFS(Ctl_Step,Process_Steps!$B14,Ctl_Rating,E$16)</f>
        <v>0</v>
      </c>
      <c r="F25" s="78" t="n">
        <f aca="false">COUNTIFS(Ctl_Step,Process_Steps!$B14,Ctl_Rating,F$16)</f>
        <v>2</v>
      </c>
    </row>
    <row r="28" customFormat="false" ht="15" hidden="false" customHeight="false" outlineLevel="0" collapsed="false">
      <c r="B28" s="76" t="s">
        <v>416</v>
      </c>
      <c r="C28" s="45" t="s">
        <v>360</v>
      </c>
      <c r="D28" s="45" t="s">
        <v>361</v>
      </c>
    </row>
    <row r="29" customFormat="false" ht="15" hidden="false" customHeight="false" outlineLevel="0" collapsed="false">
      <c r="B29" s="79" t="str">
        <f aca="false">Risks!B6</f>
        <v>R01</v>
      </c>
      <c r="C29" s="80" t="n">
        <f aca="false">Risks!J6</f>
        <v>12</v>
      </c>
      <c r="D29" s="80" t="n">
        <f aca="false">Risks!N6</f>
        <v>7.8</v>
      </c>
    </row>
    <row r="30" customFormat="false" ht="15" hidden="false" customHeight="false" outlineLevel="0" collapsed="false">
      <c r="B30" s="79" t="str">
        <f aca="false">Risks!B7</f>
        <v>R02</v>
      </c>
      <c r="C30" s="80" t="n">
        <f aca="false">Risks!J7</f>
        <v>8</v>
      </c>
      <c r="D30" s="80" t="n">
        <f aca="false">Risks!N7</f>
        <v>5.6</v>
      </c>
    </row>
    <row r="31" customFormat="false" ht="15" hidden="false" customHeight="false" outlineLevel="0" collapsed="false">
      <c r="B31" s="79" t="str">
        <f aca="false">Risks!B8</f>
        <v>R03</v>
      </c>
      <c r="C31" s="80" t="n">
        <f aca="false">Risks!J8</f>
        <v>9</v>
      </c>
      <c r="D31" s="80" t="n">
        <f aca="false">Risks!N8</f>
        <v>4.5</v>
      </c>
    </row>
    <row r="32" customFormat="false" ht="15" hidden="false" customHeight="false" outlineLevel="0" collapsed="false">
      <c r="B32" s="79" t="str">
        <f aca="false">Risks!B9</f>
        <v>R04</v>
      </c>
      <c r="C32" s="80" t="n">
        <f aca="false">Risks!J9</f>
        <v>16</v>
      </c>
      <c r="D32" s="80" t="n">
        <f aca="false">Risks!N9</f>
        <v>12.2666666666667</v>
      </c>
    </row>
    <row r="33" customFormat="false" ht="15" hidden="false" customHeight="false" outlineLevel="0" collapsed="false">
      <c r="B33" s="79" t="str">
        <f aca="false">Risks!B10</f>
        <v>R05</v>
      </c>
      <c r="C33" s="80" t="n">
        <f aca="false">Risks!J10</f>
        <v>9</v>
      </c>
      <c r="D33" s="80" t="n">
        <f aca="false">Risks!N10</f>
        <v>5.85</v>
      </c>
    </row>
    <row r="34" customFormat="false" ht="15" hidden="false" customHeight="false" outlineLevel="0" collapsed="false">
      <c r="B34" s="79" t="str">
        <f aca="false">Risks!B11</f>
        <v>R06</v>
      </c>
      <c r="C34" s="80" t="n">
        <f aca="false">Risks!J11</f>
        <v>10</v>
      </c>
      <c r="D34" s="80" t="n">
        <f aca="false">Risks!N11</f>
        <v>6.5</v>
      </c>
    </row>
    <row r="35" customFormat="false" ht="15" hidden="false" customHeight="false" outlineLevel="0" collapsed="false">
      <c r="B35" s="79" t="str">
        <f aca="false">Risks!B12</f>
        <v>R07</v>
      </c>
      <c r="C35" s="80" t="n">
        <f aca="false">Risks!J12</f>
        <v>12</v>
      </c>
      <c r="D35" s="80" t="n">
        <f aca="false">Risks!N12</f>
        <v>6</v>
      </c>
    </row>
    <row r="36" customFormat="false" ht="15" hidden="false" customHeight="false" outlineLevel="0" collapsed="false">
      <c r="B36" s="79" t="str">
        <f aca="false">Risks!B13</f>
        <v>R08</v>
      </c>
      <c r="C36" s="80" t="n">
        <f aca="false">Risks!J13</f>
        <v>20</v>
      </c>
      <c r="D36" s="80" t="n">
        <f aca="false">Risks!N13</f>
        <v>18</v>
      </c>
    </row>
    <row r="37" customFormat="false" ht="15" hidden="false" customHeight="false" outlineLevel="0" collapsed="false">
      <c r="B37" s="79" t="str">
        <f aca="false">Risks!B14</f>
        <v>R09</v>
      </c>
      <c r="C37" s="80" t="n">
        <f aca="false">Risks!J14</f>
        <v>12</v>
      </c>
      <c r="D37" s="80" t="n">
        <f aca="false">Risks!N14</f>
        <v>10.8</v>
      </c>
    </row>
    <row r="38" customFormat="false" ht="15" hidden="false" customHeight="false" outlineLevel="0" collapsed="false">
      <c r="B38" s="79" t="str">
        <f aca="false">Risks!B15</f>
        <v>R10</v>
      </c>
      <c r="C38" s="80" t="n">
        <f aca="false">Risks!J15</f>
        <v>12</v>
      </c>
      <c r="D38" s="80" t="n">
        <f aca="false">Risks!N15</f>
        <v>6</v>
      </c>
    </row>
    <row r="39" customFormat="false" ht="15" hidden="false" customHeight="false" outlineLevel="0" collapsed="false">
      <c r="B39" s="79" t="str">
        <f aca="false">Risks!B16</f>
        <v>R11</v>
      </c>
      <c r="C39" s="80" t="n">
        <f aca="false">Risks!J16</f>
        <v>8</v>
      </c>
      <c r="D39" s="80" t="n">
        <f aca="false">Risks!N16</f>
        <v>4</v>
      </c>
    </row>
    <row r="40" customFormat="false" ht="15" hidden="false" customHeight="false" outlineLevel="0" collapsed="false">
      <c r="B40" s="79" t="str">
        <f aca="false">Risks!B17</f>
        <v>R12</v>
      </c>
      <c r="C40" s="80" t="n">
        <f aca="false">Risks!J17</f>
        <v>15</v>
      </c>
      <c r="D40" s="80" t="n">
        <f aca="false">Risks!N17</f>
        <v>12.75</v>
      </c>
    </row>
    <row r="41" customFormat="false" ht="15" hidden="false" customHeight="false" outlineLevel="0" collapsed="false">
      <c r="B41" s="79" t="str">
        <f aca="false">Risks!B18</f>
        <v>R13</v>
      </c>
      <c r="C41" s="80" t="n">
        <f aca="false">Risks!J18</f>
        <v>12</v>
      </c>
      <c r="D41" s="80" t="n">
        <f aca="false">Risks!N18</f>
        <v>10.8</v>
      </c>
    </row>
    <row r="42" customFormat="false" ht="15" hidden="false" customHeight="false" outlineLevel="0" collapsed="false">
      <c r="B42" s="79" t="str">
        <f aca="false">Risks!B19</f>
        <v>R14</v>
      </c>
      <c r="C42" s="80" t="n">
        <f aca="false">Risks!J19</f>
        <v>16</v>
      </c>
      <c r="D42" s="80" t="n">
        <f aca="false">Risks!N19</f>
        <v>14.4</v>
      </c>
    </row>
    <row r="43" customFormat="false" ht="15" hidden="false" customHeight="false" outlineLevel="0" collapsed="false">
      <c r="B43" s="79" t="str">
        <f aca="false">Risks!B20</f>
        <v>R15</v>
      </c>
      <c r="C43" s="80" t="n">
        <f aca="false">Risks!J20</f>
        <v>12</v>
      </c>
      <c r="D43" s="80" t="n">
        <f aca="false">Risks!N20</f>
        <v>6</v>
      </c>
    </row>
    <row r="44" customFormat="false" ht="15" hidden="false" customHeight="false" outlineLevel="0" collapsed="false">
      <c r="B44" s="79" t="str">
        <f aca="false">Risks!B21</f>
        <v>R16</v>
      </c>
      <c r="C44" s="80" t="n">
        <f aca="false">Risks!J21</f>
        <v>9</v>
      </c>
      <c r="D44" s="80" t="n">
        <f aca="false">Risks!N21</f>
        <v>4.5</v>
      </c>
    </row>
    <row r="47" customFormat="false" ht="15" hidden="false" customHeight="false" outlineLevel="0" collapsed="false">
      <c r="B47" s="76" t="s">
        <v>417</v>
      </c>
      <c r="C47" s="45" t="s">
        <v>411</v>
      </c>
    </row>
    <row r="48" customFormat="false" ht="15" hidden="false" customHeight="false" outlineLevel="0" collapsed="false">
      <c r="B48" s="67" t="s">
        <v>317</v>
      </c>
      <c r="C48" s="77" t="n">
        <f aca="false">COUNTIF(Fnd_Status,B48)</f>
        <v>4</v>
      </c>
    </row>
    <row r="49" customFormat="false" ht="15" hidden="false" customHeight="false" outlineLevel="0" collapsed="false">
      <c r="B49" s="67" t="s">
        <v>303</v>
      </c>
      <c r="C49" s="77" t="n">
        <f aca="false">COUNTIF(Fnd_Status,B49)</f>
        <v>3</v>
      </c>
    </row>
    <row r="50" customFormat="false" ht="15" hidden="false" customHeight="false" outlineLevel="0" collapsed="false">
      <c r="B50" s="67" t="s">
        <v>344</v>
      </c>
      <c r="C50" s="77" t="n">
        <f aca="false">COUNTIF(Fnd_Status,B50)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9BB0"/>
    <pageSetUpPr fitToPage="true"/>
  </sheetPr>
  <dimension ref="A1:Q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16" min="3" style="0" width="24"/>
  </cols>
  <sheetData>
    <row r="1" customFormat="false" ht="24" hidden="false" customHeight="true" outlineLevel="0" collapsed="false">
      <c r="B1" s="17" t="s">
        <v>418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4" customFormat="false" ht="15" hidden="false" customHeight="false" outlineLevel="0" collapsed="false">
      <c r="A4" s="76" t="s">
        <v>419</v>
      </c>
      <c r="C4" s="76" t="s">
        <v>420</v>
      </c>
      <c r="E4" s="76" t="s">
        <v>171</v>
      </c>
      <c r="G4" s="76" t="s">
        <v>172</v>
      </c>
      <c r="I4" s="76" t="s">
        <v>421</v>
      </c>
      <c r="K4" s="76" t="s">
        <v>282</v>
      </c>
      <c r="M4" s="76" t="s">
        <v>422</v>
      </c>
      <c r="O4" s="76" t="s">
        <v>291</v>
      </c>
      <c r="Q4" s="76" t="s">
        <v>112</v>
      </c>
    </row>
    <row r="5" customFormat="false" ht="15" hidden="false" customHeight="false" outlineLevel="0" collapsed="false">
      <c r="A5" s="81" t="s">
        <v>74</v>
      </c>
      <c r="C5" s="81" t="s">
        <v>188</v>
      </c>
      <c r="E5" s="81" t="s">
        <v>189</v>
      </c>
      <c r="G5" s="81" t="s">
        <v>272</v>
      </c>
      <c r="I5" s="81" t="s">
        <v>191</v>
      </c>
      <c r="K5" s="81" t="s">
        <v>341</v>
      </c>
      <c r="M5" s="81" t="s">
        <v>342</v>
      </c>
      <c r="O5" s="81" t="s">
        <v>317</v>
      </c>
      <c r="Q5" s="81" t="s">
        <v>124</v>
      </c>
    </row>
    <row r="6" customFormat="false" ht="15" hidden="false" customHeight="false" outlineLevel="0" collapsed="false">
      <c r="A6" s="81" t="s">
        <v>75</v>
      </c>
      <c r="C6" s="81" t="s">
        <v>201</v>
      </c>
      <c r="E6" s="81" t="s">
        <v>235</v>
      </c>
      <c r="G6" s="81" t="s">
        <v>275</v>
      </c>
      <c r="I6" s="81" t="s">
        <v>203</v>
      </c>
      <c r="K6" s="81" t="s">
        <v>300</v>
      </c>
      <c r="M6" s="81" t="s">
        <v>301</v>
      </c>
      <c r="O6" s="81" t="s">
        <v>303</v>
      </c>
      <c r="Q6" s="81" t="s">
        <v>146</v>
      </c>
    </row>
    <row r="7" customFormat="false" ht="15" hidden="false" customHeight="false" outlineLevel="0" collapsed="false">
      <c r="A7" s="81" t="s">
        <v>245</v>
      </c>
      <c r="E7" s="81" t="s">
        <v>208</v>
      </c>
      <c r="G7" s="81" t="s">
        <v>202</v>
      </c>
      <c r="K7" s="81" t="s">
        <v>309</v>
      </c>
      <c r="O7" s="81" t="s">
        <v>344</v>
      </c>
      <c r="Q7" s="81" t="s">
        <v>128</v>
      </c>
    </row>
    <row r="8" customFormat="false" ht="15" hidden="false" customHeight="false" outlineLevel="0" collapsed="false">
      <c r="G8" s="81" t="s">
        <v>196</v>
      </c>
      <c r="Q8" s="81" t="s">
        <v>161</v>
      </c>
    </row>
    <row r="9" customFormat="false" ht="15" hidden="false" customHeight="false" outlineLevel="0" collapsed="false">
      <c r="G9" s="81" t="s">
        <v>227</v>
      </c>
      <c r="Q9" s="81" t="s">
        <v>139</v>
      </c>
    </row>
    <row r="10" customFormat="false" ht="15" hidden="false" customHeight="false" outlineLevel="0" collapsed="false">
      <c r="G10" s="81" t="s">
        <v>209</v>
      </c>
      <c r="Q10" s="81" t="s">
        <v>134</v>
      </c>
    </row>
    <row r="11" customFormat="false" ht="15" hidden="false" customHeight="false" outlineLevel="0" collapsed="false">
      <c r="G11" s="81" t="s">
        <v>190</v>
      </c>
      <c r="Q11" s="81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24" hidden="false" customHeight="true" outlineLevel="0" collapsed="false">
      <c r="B1" s="17" t="s">
        <v>423</v>
      </c>
    </row>
    <row r="2" customFormat="false" ht="15" hidden="false" customHeight="false" outlineLevel="0" collapsed="false">
      <c r="B2" s="18" t="s">
        <v>27</v>
      </c>
    </row>
    <row r="3" customFormat="false" ht="15" hidden="false" customHeight="false" outlineLevel="0" collapsed="false">
      <c r="B3" s="19" t="str">
        <f aca="false">HYPERLINK("#Cover!A1","◄ Back to Cover")</f>
        <v>◄ Back to Cover</v>
      </c>
    </row>
    <row r="4" customFormat="false" ht="15" hidden="false" customHeight="false" outlineLevel="0" collapsed="false">
      <c r="B4" s="8" t="s">
        <v>424</v>
      </c>
      <c r="C4" s="9" t="str">
        <f aca="false">IF(COUNTIF(D7:D19,"ERROR")=0,"✔ All "&amp;COUNTA(D7:D19)&amp;" integrity checks passed","✖ "&amp;COUNTIF(D7:D19,"ERROR")&amp;" check(s) failing - review the Checks sheet")</f>
        <v>✔ All 13 integrity checks passed</v>
      </c>
      <c r="D4" s="9"/>
      <c r="E4" s="9"/>
    </row>
    <row r="6" customFormat="false" ht="24" hidden="false" customHeight="true" outlineLevel="0" collapsed="false">
      <c r="B6" s="32" t="s">
        <v>425</v>
      </c>
      <c r="C6" s="33" t="s">
        <v>426</v>
      </c>
      <c r="D6" s="33" t="s">
        <v>291</v>
      </c>
      <c r="E6" s="33" t="s">
        <v>427</v>
      </c>
    </row>
    <row r="7" customFormat="false" ht="15" hidden="false" customHeight="false" outlineLevel="0" collapsed="false">
      <c r="B7" s="67" t="s">
        <v>428</v>
      </c>
      <c r="C7" s="82" t="n">
        <f aca="false">SUMPRODUCT(--(COUNTIF(Risk_ID,Ctl_Risk)=0))</f>
        <v>0</v>
      </c>
      <c r="D7" s="39" t="str">
        <f aca="false">IF(ABS(C7)&lt;0.5,"OK","ERROR")</f>
        <v>OK</v>
      </c>
      <c r="E7" s="44" t="s">
        <v>429</v>
      </c>
    </row>
    <row r="8" customFormat="false" ht="15" hidden="false" customHeight="false" outlineLevel="0" collapsed="false">
      <c r="B8" s="67" t="s">
        <v>430</v>
      </c>
      <c r="C8" s="82" t="n">
        <f aca="false">SUMPRODUCT(--(COUNTIF(Ctl_Risk,Risk_ID)=0))</f>
        <v>0</v>
      </c>
      <c r="D8" s="39" t="str">
        <f aca="false">IF(ABS(C8)&lt;0.5,"OK","ERROR")</f>
        <v>OK</v>
      </c>
      <c r="E8" s="44" t="s">
        <v>431</v>
      </c>
    </row>
    <row r="9" customFormat="false" ht="15" hidden="false" customHeight="false" outlineLevel="0" collapsed="false">
      <c r="B9" s="67" t="s">
        <v>432</v>
      </c>
      <c r="C9" s="82" t="n">
        <f aca="false">SUMPRODUCT(--(Ctl_Sample&gt;Ctl_Pop))</f>
        <v>0</v>
      </c>
      <c r="D9" s="39" t="str">
        <f aca="false">IF(ABS(C9)&lt;0.5,"OK","ERROR")</f>
        <v>OK</v>
      </c>
      <c r="E9" s="44" t="s">
        <v>433</v>
      </c>
    </row>
    <row r="10" customFormat="false" ht="15" hidden="false" customHeight="false" outlineLevel="0" collapsed="false">
      <c r="B10" s="67" t="s">
        <v>434</v>
      </c>
      <c r="C10" s="82" t="n">
        <f aca="false">SUMPRODUCT(--(Ctl_Exc&gt;Ctl_Sample))</f>
        <v>0</v>
      </c>
      <c r="D10" s="39" t="str">
        <f aca="false">IF(ABS(C10)&lt;0.5,"OK","ERROR")</f>
        <v>OK</v>
      </c>
      <c r="E10" s="44" t="s">
        <v>435</v>
      </c>
    </row>
    <row r="11" customFormat="false" ht="15" hidden="false" customHeight="false" outlineLevel="0" collapsed="false">
      <c r="B11" s="67" t="s">
        <v>436</v>
      </c>
      <c r="C11" s="82" t="n">
        <f aca="false">SUM(Chart_Data!C6:C9)-COUNTA(Ctl_ID)</f>
        <v>0</v>
      </c>
      <c r="D11" s="39" t="str">
        <f aca="false">IF(ABS(C11)&lt;0.5,"OK","ERROR")</f>
        <v>OK</v>
      </c>
      <c r="E11" s="44" t="s">
        <v>437</v>
      </c>
    </row>
    <row r="12" customFormat="false" ht="15" hidden="false" customHeight="false" outlineLevel="0" collapsed="false">
      <c r="B12" s="67" t="s">
        <v>438</v>
      </c>
      <c r="C12" s="82" t="n">
        <f aca="false">SUM(Chart_Data!C12:C14)-COUNTA(Fnd_ID)</f>
        <v>0</v>
      </c>
      <c r="D12" s="39" t="str">
        <f aca="false">IF(ABS(C12)&lt;0.5,"OK","ERROR")</f>
        <v>OK</v>
      </c>
      <c r="E12" s="44" t="s">
        <v>439</v>
      </c>
    </row>
    <row r="13" customFormat="false" ht="15" hidden="false" customHeight="false" outlineLevel="0" collapsed="false">
      <c r="B13" s="67" t="s">
        <v>440</v>
      </c>
      <c r="C13" s="82" t="n">
        <f aca="false">Process_Steps!F15-COUNTA(Ctl_ID)</f>
        <v>0</v>
      </c>
      <c r="D13" s="39" t="str">
        <f aca="false">IF(ABS(C13)&lt;0.5,"OK","ERROR")</f>
        <v>OK</v>
      </c>
      <c r="E13" s="44" t="s">
        <v>441</v>
      </c>
    </row>
    <row r="14" customFormat="false" ht="15" hidden="false" customHeight="false" outlineLevel="0" collapsed="false">
      <c r="B14" s="67" t="s">
        <v>442</v>
      </c>
      <c r="C14" s="82" t="n">
        <f aca="false">Process_Steps!E15-COUNTA(Risk_ID)</f>
        <v>0</v>
      </c>
      <c r="D14" s="39" t="str">
        <f aca="false">IF(ABS(C14)&lt;0.5,"OK","ERROR")</f>
        <v>OK</v>
      </c>
      <c r="E14" s="44" t="s">
        <v>443</v>
      </c>
    </row>
    <row r="15" customFormat="false" ht="15" hidden="false" customHeight="false" outlineLevel="0" collapsed="false">
      <c r="B15" s="67" t="s">
        <v>444</v>
      </c>
      <c r="C15" s="82" t="n">
        <f aca="false">COUNTIF(Risk_L,"&gt;5")+COUNTIF(Risk_L,"&lt;1")+COUNTIF(Risk_I,"&gt;5")+COUNTIF(Risk_I,"&lt;1")</f>
        <v>0</v>
      </c>
      <c r="D15" s="39" t="str">
        <f aca="false">IF(ABS(C15)&lt;0.5,"OK","ERROR")</f>
        <v>OK</v>
      </c>
      <c r="E15" s="44" t="s">
        <v>445</v>
      </c>
    </row>
    <row r="16" customFormat="false" ht="15" hidden="false" customHeight="false" outlineLevel="0" collapsed="false">
      <c r="B16" s="67" t="s">
        <v>446</v>
      </c>
      <c r="C16" s="82" t="n">
        <f aca="false">SUMPRODUCT(--(Risk_Res&gt;Risk_Inh))</f>
        <v>0</v>
      </c>
      <c r="D16" s="39" t="str">
        <f aca="false">IF(ABS(C16)&lt;0.5,"OK","ERROR")</f>
        <v>OK</v>
      </c>
      <c r="E16" s="44" t="s">
        <v>447</v>
      </c>
    </row>
    <row r="17" customFormat="false" ht="15" hidden="false" customHeight="false" outlineLevel="0" collapsed="false">
      <c r="B17" s="67" t="s">
        <v>448</v>
      </c>
      <c r="C17" s="82" t="n">
        <f aca="false">SUMPRODUCT(--(WEEKDAY(Fnd_Due,2)&gt;5))</f>
        <v>0</v>
      </c>
      <c r="D17" s="39" t="str">
        <f aca="false">IF(ABS(C17)&lt;0.5,"OK","ERROR")</f>
        <v>OK</v>
      </c>
      <c r="E17" s="44" t="s">
        <v>449</v>
      </c>
    </row>
    <row r="18" customFormat="false" ht="15" hidden="false" customHeight="false" outlineLevel="0" collapsed="false">
      <c r="B18" s="67" t="s">
        <v>450</v>
      </c>
      <c r="C18" s="82" t="n">
        <f aca="false">SUM(Chart_Data!C48:C50)-COUNTA(Fnd_ID)</f>
        <v>0</v>
      </c>
      <c r="D18" s="39" t="str">
        <f aca="false">IF(ABS(C18)&lt;0.5,"OK","ERROR")</f>
        <v>OK</v>
      </c>
      <c r="E18" s="44" t="s">
        <v>451</v>
      </c>
    </row>
    <row r="19" customFormat="false" ht="15" hidden="false" customHeight="false" outlineLevel="0" collapsed="false">
      <c r="B19" s="67" t="s">
        <v>452</v>
      </c>
      <c r="C19" s="82" t="n">
        <f aca="false">Materiality-Inputs!C11*Mat_Pct</f>
        <v>0</v>
      </c>
      <c r="D19" s="39" t="str">
        <f aca="false">IF(ABS(C19)&lt;0.5,"OK","ERROR")</f>
        <v>OK</v>
      </c>
      <c r="E19" s="44" t="s">
        <v>453</v>
      </c>
    </row>
  </sheetData>
  <mergeCells count="1">
    <mergeCell ref="C4:E4"/>
  </mergeCells>
  <conditionalFormatting sqref="D7:D1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"ERROR"</formula>
    </cfRule>
  </conditionalFormatting>
  <conditionalFormatting sqref="C4">
    <cfRule type="expression" priority="4" aboveAverage="0" equalAverage="0" bottom="0" percent="0" rank="0" text="" dxfId="0">
      <formula>LEFT(C4,1)="✔"</formula>
    </cfRule>
    <cfRule type="expression" priority="5" aboveAverage="0" equalAverage="0" bottom="0" percent="0" rank="0" text="" dxfId="1">
      <formula>LEFT(C4,1)="✖"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2026-10-07T05:49:41Z</dcterms:created>
  <dc:creator>openpyxl</dc:creator>
  <dc:description/>
  <dc:language>en-US</dc:language>
  <cp:lastModifiedBy/>
  <dcterms:modified xsi:type="dcterms:W3CDTF">2026-10-07T05:49:45Z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