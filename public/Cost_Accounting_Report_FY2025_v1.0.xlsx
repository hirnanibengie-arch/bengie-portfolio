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ocumentation" sheetId="2" state="visible" r:id="rId4"/>
    <sheet name="Dashboard" sheetId="3" state="visible" r:id="rId5"/>
    <sheet name="Product_Costing" sheetId="4" state="visible" r:id="rId6"/>
    <sheet name="ABC_Allocation" sheetId="5" state="visible" r:id="rId7"/>
    <sheet name="CVP_BreakEven" sheetId="6" state="visible" r:id="rId8"/>
    <sheet name="Cost_Behaviour" sheetId="7" state="visible" r:id="rId9"/>
    <sheet name="Sensitivity" sheetId="8" state="visible" r:id="rId10"/>
    <sheet name="Inputs" sheetId="9" state="visible" r:id="rId11"/>
    <sheet name="FS_Data" sheetId="10" state="visible" r:id="rId12"/>
    <sheet name="Data_Sales" sheetId="11" state="visible" r:id="rId13"/>
    <sheet name="Data_Expenses" sheetId="12" state="visible" r:id="rId14"/>
    <sheet name="Chart_Data" sheetId="13" state="visible" r:id="rId15"/>
    <sheet name="Checks" sheetId="14" state="visible" r:id="rId16"/>
  </sheets>
  <definedNames>
    <definedName function="false" hidden="true" localSheetId="11" name="_xlnm._FilterDatabase" vbProcedure="false">Data_Expenses!$A$4:$H$472</definedName>
    <definedName function="false" hidden="true" localSheetId="10" name="_xlnm._FilterDatabase" vbProcedure="false">Data_Sales!$A$4:$J$436</definedName>
    <definedName function="false" hidden="false" name="Cost_Year" vbProcedure="false">Inputs!$C$6</definedName>
    <definedName function="false" hidden="false" name="E_Amt" vbProcedure="false">Data_Expenses!$G$5:$G$472</definedName>
    <definedName function="false" hidden="false" name="E_Beh" vbProcedure="false">Data_Expenses!$F$5:$F$472</definedName>
    <definedName function="false" hidden="false" name="E_Func" vbProcedure="false">Data_Expenses!$E$5:$E$472</definedName>
    <definedName function="false" hidden="false" name="E_Line" vbProcedure="false">Data_Expenses!$D$5:$D$472</definedName>
    <definedName function="false" hidden="false" name="E_Month" vbProcedure="false">Data_Expenses!$C$5:$C$472</definedName>
    <definedName function="false" hidden="false" name="E_Year" vbProcedure="false">Data_Expenses!$B$5:$B$472</definedName>
    <definedName function="false" hidden="false" name="Model_Status" vbProcedure="false">Checks!$C$5</definedName>
    <definedName function="false" hidden="false" name="P1_COGS" vbProcedure="false">FS_Data!$E$8</definedName>
    <definedName function="false" hidden="false" name="P1_OP" vbProcedure="false">FS_Data!$E$10</definedName>
    <definedName function="false" hidden="false" name="P1_Opex" vbProcedure="false">FS_Data!$E$9</definedName>
    <definedName function="false" hidden="false" name="P1_Sales" vbProcedure="false">FS_Data!$E$7</definedName>
    <definedName function="false" hidden="false" name="S_Cat" vbProcedure="false">Data_Sales!$F$5:$F$436</definedName>
    <definedName function="false" hidden="false" name="S_COGS" vbProcedure="false">Data_Sales!$H$5:$H$436</definedName>
    <definedName function="false" hidden="false" name="S_Month" vbProcedure="false">Data_Sales!$C$5:$C$436</definedName>
    <definedName function="false" hidden="false" name="S_Region" vbProcedure="false">Data_Sales!$E$5:$E$436</definedName>
    <definedName function="false" hidden="false" name="S_Sales" vbProcedure="false">Data_Sales!$G$5:$G$436</definedName>
    <definedName function="false" hidden="false" name="S_Year" vbProcedure="false">Data_Sales!$B$5:$B$436</definedName>
    <definedName function="false" hidden="false" name="Target_OP" vbProcedure="false">Inputs!$C$7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<sst xmlns="http://schemas.openxmlformats.org/spreadsheetml/2006/main" count="4107" uniqueCount="1246">
  <si>
    <t xml:space="preserve">PORTFOLIO PROJECT 04</t>
  </si>
  <si>
    <t xml:space="preserve">Cost Accounting Report</t>
  </si>
  <si>
    <t xml:space="preserve">Sampaguita Foods &amp; Distribution Corporation (SFDC)</t>
  </si>
  <si>
    <t xml:space="preserve">Activity-based product costing, break-even and CVP analysis for FY2025, reconciled to the Project 1 financial statements</t>
  </si>
  <si>
    <t xml:space="preserve">Prepared by Bengie Hirnani  |  Version 1.0  |  PHP in thousands (unless otherwise stated)</t>
  </si>
  <si>
    <t xml:space="preserve">Model status</t>
  </si>
  <si>
    <t xml:space="preserve">Scope</t>
  </si>
  <si>
    <t xml:space="preserve">Product-category costing with activity-based and traditional allocation side by side; per-case unit economics; contribution margin, break-even, margin of safety, operating leverage and target-profit analysis; cost-behaviour regression; what-if grids; interactive dashboard. A Word report (separate file) presents the findings.</t>
  </si>
  <si>
    <t xml:space="preserve">Data notice</t>
  </si>
  <si>
    <t xml:space="preserve">The company, drivers and volumes are fictional. Sales, costs and profit tie to the Project 1 workbook (control totals on Checks). Cost-driver data are illustrative management inputs.</t>
  </si>
  <si>
    <t xml:space="preserve">NAVIGATION - click a button to jump to a sheet</t>
  </si>
  <si>
    <t xml:space="preserve">DASHBOARD</t>
  </si>
  <si>
    <t xml:space="preserve">KPI cards, insights and four charts</t>
  </si>
  <si>
    <t xml:space="preserve">COSTING AND CVP</t>
  </si>
  <si>
    <t xml:space="preserve">Gross profit, ABC and traditional operating profit, per-case economics</t>
  </si>
  <si>
    <t xml:space="preserve">Cost drivers and allocation of every cost pool</t>
  </si>
  <si>
    <t xml:space="preserve">Contribution margin, break-even, margin of safety, target profit, Project 1 reconciliation</t>
  </si>
  <si>
    <t xml:space="preserve">High-low and regression tests of fixed/variable classification</t>
  </si>
  <si>
    <t xml:space="preserve">Scenario analysis and two sensitivity grids</t>
  </si>
  <si>
    <t xml:space="preserve">DATA AND CONTROLS</t>
  </si>
  <si>
    <t xml:space="preserve">Volumes, driver data and parameters</t>
  </si>
  <si>
    <t xml:space="preserve">Project 1 control totals</t>
  </si>
  <si>
    <t xml:space="preserve">Monthly sales ledger (Project 1)</t>
  </si>
  <si>
    <t xml:space="preserve">Monthly expense ledger (Project 1)</t>
  </si>
  <si>
    <t xml:space="preserve">Helper tables for charts</t>
  </si>
  <si>
    <t xml:space="preserve">Model integrity checks</t>
  </si>
  <si>
    <t xml:space="preserve">Purpose, method, conventions</t>
  </si>
  <si>
    <t xml:space="preserve">Cost Accounting Documentation</t>
  </si>
  <si>
    <t xml:space="preserve">Sampaguita Foods &amp; Distribution Corporation (SFDC)  |  Documentation</t>
  </si>
  <si>
    <t xml:space="preserve">1. PURPOSE</t>
  </si>
  <si>
    <t xml:space="preserve">Objective</t>
  </si>
  <si>
    <t xml:space="preserve">Show how a distributor can move from a single profit figure to product-category profitability, using activity-based costing, and use cost-volume-profit analysis to answer break-even and target-profit questions.</t>
  </si>
  <si>
    <t xml:space="preserve">Link to Project 1</t>
  </si>
  <si>
    <t xml:space="preserve">Net sales, cost of sales and operating expenses come from the Project 1 ledgers. Total operating profit of PHP 58.7 million and the Project 1 break-even (PHP 686.9 million) are reproduced exactly.</t>
  </si>
  <si>
    <t xml:space="preserve">2. METHOD</t>
  </si>
  <si>
    <t xml:space="preserve">Costing</t>
  </si>
  <si>
    <t xml:space="preserve">Cost of sales is traced directly to categories from the sales ledger. Operating costs (13 ledger lines plus depreciation by asset class) are pooled and allocated with the driver named on ABC_Allocation. Traditional costing spreads the same total on net sales.</t>
  </si>
  <si>
    <t xml:space="preserve">CVP</t>
  </si>
  <si>
    <t xml:space="preserve">Variable costs = cost of sales plus the four variable expense lines of the Project 1 chart of accounts (commissions, advertising, freight, bad debts). Fixed costs = all other expenses plus depreciation. Break-even = fixed costs / contribution margin ratio.</t>
  </si>
  <si>
    <t xml:space="preserve">Mix</t>
  </si>
  <si>
    <t xml:space="preserve">Category break-even at the current sales mix = company break-even x category share of net sales. Stand-alone break-even uses each category's own allocated fixed costs.</t>
  </si>
  <si>
    <t xml:space="preserve">3. CONVENTIONS</t>
  </si>
  <si>
    <t xml:space="preserve">Colours</t>
  </si>
  <si>
    <t xml:space="preserve">Blue = input; black = same-sheet formula; green = link to another sheet; yellow fill = key assumption.</t>
  </si>
  <si>
    <t xml:space="preserve">Units</t>
  </si>
  <si>
    <t xml:space="preserve">PHP '000 unless stated; cases in thousands; per-case figures in PHP.</t>
  </si>
  <si>
    <t xml:space="preserve">4. LIMITATIONS</t>
  </si>
  <si>
    <t xml:space="preserve">Driver data</t>
  </si>
  <si>
    <t xml:space="preserve">Cases, cube, pallet, order-line, promotion and credit-sales data are fictional. In practice they come from the WMS, order system and promotion calendar.</t>
  </si>
  <si>
    <t xml:space="preserve">Behaviour</t>
  </si>
  <si>
    <t xml:space="preserve">Fixed/variable classification is binary; semi-variable costs are tested on Cost_Behaviour but not split in the CVP. Fixed costs are assumed fixed within the relevant range.</t>
  </si>
  <si>
    <t xml:space="preserve">Joint effects</t>
  </si>
  <si>
    <t xml:space="preserve">Category stand-alone break-even ignores shared-cost relief if a category is dropped; do not read it as a drop decision on its own.</t>
  </si>
  <si>
    <t xml:space="preserve">5. HOW TO UPDATE</t>
  </si>
  <si>
    <t xml:space="preserve">Drivers</t>
  </si>
  <si>
    <t xml:space="preserve">Edit blue cells on Inputs or choose another driver in column E of ABC_Allocation; confirm Checks stay green.</t>
  </si>
  <si>
    <t xml:space="preserve">Year</t>
  </si>
  <si>
    <t xml:space="preserve">Change Inputs!C6 and refresh the volume and driver data for that year.</t>
  </si>
  <si>
    <t xml:space="preserve">Cost Accounting Dashboard</t>
  </si>
  <si>
    <t xml:space="preserve">Sampaguita Foods &amp; Distribution Corporation (SFDC)  |  PHP in thousands (unless otherwise stated)  |  FY2025</t>
  </si>
  <si>
    <t xml:space="preserve">Model integrity</t>
  </si>
  <si>
    <t xml:space="preserve">NET SALES</t>
  </si>
  <si>
    <t xml:space="preserve">OPERATING PROFIT</t>
  </si>
  <si>
    <t xml:space="preserve">BREAK-EVEN NET SALES</t>
  </si>
  <si>
    <t xml:space="preserve">MARGIN OF SAFETY</t>
  </si>
  <si>
    <t xml:space="preserve">CONTRIBUTION MARGIN RATIO</t>
  </si>
  <si>
    <t xml:space="preserve">OPERATING LEVERAGE</t>
  </si>
  <si>
    <t xml:space="preserve">BEST CATEGORY (ABC MARGIN)</t>
  </si>
  <si>
    <t xml:space="preserve">WEAKEST CATEGORY (ABC MARGIN)</t>
  </si>
  <si>
    <t xml:space="preserve">KEY INSIGHTS</t>
  </si>
  <si>
    <t xml:space="preserve">Product Costing by Category</t>
  </si>
  <si>
    <t xml:space="preserve">Sampaguita Foods &amp; Distribution Corporation (SFDC)  |  PHP in thousands unless stated | activity-based vs traditional (sales-based) allocation</t>
  </si>
  <si>
    <t xml:space="preserve">Line</t>
  </si>
  <si>
    <t xml:space="preserve">Packaged Food</t>
  </si>
  <si>
    <t xml:space="preserve">Beverages</t>
  </si>
  <si>
    <t xml:space="preserve">Household &amp; Personal Care</t>
  </si>
  <si>
    <t xml:space="preserve">Fresh &amp; Frozen</t>
  </si>
  <si>
    <t xml:space="preserve">Total</t>
  </si>
  <si>
    <t xml:space="preserve">A. VOLUME AND GROSS PROFIT</t>
  </si>
  <si>
    <t xml:space="preserve">Cases sold ('000)</t>
  </si>
  <si>
    <t xml:space="preserve">Net sales</t>
  </si>
  <si>
    <t xml:space="preserve">Cost of sales (merchandise cost)</t>
  </si>
  <si>
    <t xml:space="preserve">Gross profit</t>
  </si>
  <si>
    <t xml:space="preserve">Gross margin %</t>
  </si>
  <si>
    <t xml:space="preserve">B. ACTIVITY-BASED OPERATING COSTS</t>
  </si>
  <si>
    <t xml:space="preserve">Variable selling costs (commissions, promotions, freight)</t>
  </si>
  <si>
    <t xml:space="preserve">Fixed selling &amp; distribution (warehouse, logistics staff)</t>
  </si>
  <si>
    <t xml:space="preserve">General &amp; administrative</t>
  </si>
  <si>
    <t xml:space="preserve">Depreciation</t>
  </si>
  <si>
    <t xml:space="preserve">Total operating expenses (ABC)</t>
  </si>
  <si>
    <t xml:space="preserve">Operating profit (ABC)</t>
  </si>
  <si>
    <t xml:space="preserve">Operating margin % (ABC)</t>
  </si>
  <si>
    <t xml:space="preserve">C. TRADITIONAL ALLOCATION (ALL OPERATING COSTS SPREAD ON NET SALES)</t>
  </si>
  <si>
    <t xml:space="preserve">Operating expenses allocated on net sales</t>
  </si>
  <si>
    <t xml:space="preserve">Operating profit (traditional)</t>
  </si>
  <si>
    <t xml:space="preserve">Operating margin % (traditional)</t>
  </si>
  <si>
    <t xml:space="preserve">Costing distortion: ABC less traditional profit</t>
  </si>
  <si>
    <t xml:space="preserve">Distortion as % of ABC operating profit</t>
  </si>
  <si>
    <t xml:space="preserve">D. UNIT ECONOMICS (PHP PER CASE)</t>
  </si>
  <si>
    <t xml:space="preserve">Selling price per case</t>
  </si>
  <si>
    <t xml:space="preserve">Cost of sales per case</t>
  </si>
  <si>
    <t xml:space="preserve">Gross profit per case</t>
  </si>
  <si>
    <t xml:space="preserve">Operating cost per case (ABC)</t>
  </si>
  <si>
    <t xml:space="preserve">Full cost per case (ABC)</t>
  </si>
  <si>
    <t xml:space="preserve">Operating profit per case (ABC)</t>
  </si>
  <si>
    <t xml:space="preserve">Operating profit per case (traditional)</t>
  </si>
  <si>
    <t xml:space="preserve">Rank by ABC operating margin (1 = best)</t>
  </si>
  <si>
    <t xml:space="preserve">Reading the table: traditional costing assumes every peso of sales consumes the same overhead. ABC traces overhead to what each category actually uses (cube, pallet space, order lines, promotion and credit exposure), so bulky, order-intensive and cold-chain categories carry more cost per peso of sales. A positive distortion means traditional costing under-states that category's profit; a negative one means it over-states it.</t>
  </si>
  <si>
    <t xml:space="preserve">Activity-Based Cost Allocation</t>
  </si>
  <si>
    <t xml:space="preserve">Sampaguita Foods &amp; Distribution Corporation (SFDC)  |  PHP in thousands | every operating cost pool is assigned to product categories through a cost driver</t>
  </si>
  <si>
    <t xml:space="preserve">A. COST DRIVER QUANTITIES BY CATEGORY</t>
  </si>
  <si>
    <t xml:space="preserve">Driver</t>
  </si>
  <si>
    <t xml:space="preserve">Unit</t>
  </si>
  <si>
    <t xml:space="preserve">Household &amp; PC</t>
  </si>
  <si>
    <t xml:space="preserve">PHP '000</t>
  </si>
  <si>
    <t xml:space="preserve">Promotion share</t>
  </si>
  <si>
    <t xml:space="preserve">% share</t>
  </si>
  <si>
    <t xml:space="preserve">Delivery cube</t>
  </si>
  <si>
    <t xml:space="preserve">'000 m³</t>
  </si>
  <si>
    <t xml:space="preserve">Pallet positions</t>
  </si>
  <si>
    <t xml:space="preserve">Order lines</t>
  </si>
  <si>
    <t xml:space="preserve">'000 lines</t>
  </si>
  <si>
    <t xml:space="preserve">Credit sales</t>
  </si>
  <si>
    <t xml:space="preserve">B. COST POOLS AND ALLOCATION TO PRODUCT CATEGORIES</t>
  </si>
  <si>
    <t xml:space="preserve">Cost pool</t>
  </si>
  <si>
    <t xml:space="preserve">Function</t>
  </si>
  <si>
    <t xml:space="preserve">Pool cost</t>
  </si>
  <si>
    <t xml:space="preserve">Cost per driver unit</t>
  </si>
  <si>
    <t xml:space="preserve">Allocation check</t>
  </si>
  <si>
    <t xml:space="preserve">Sales commissions &amp; incentives</t>
  </si>
  <si>
    <t xml:space="preserve">Selling &amp; Distribution</t>
  </si>
  <si>
    <t xml:space="preserve">Variable</t>
  </si>
  <si>
    <t xml:space="preserve">Advertising &amp; promotions</t>
  </si>
  <si>
    <t xml:space="preserve">Freight &amp; delivery</t>
  </si>
  <si>
    <t xml:space="preserve">Warehouse rent &amp; utilities</t>
  </si>
  <si>
    <t xml:space="preserve">Fixed</t>
  </si>
  <si>
    <t xml:space="preserve">Selling &amp; logistics staff costs</t>
  </si>
  <si>
    <t xml:space="preserve">Salaries &amp; wages (G&amp;A)</t>
  </si>
  <si>
    <t xml:space="preserve">General &amp; Administrative</t>
  </si>
  <si>
    <t xml:space="preserve">Employee benefits &amp; contributions</t>
  </si>
  <si>
    <t xml:space="preserve">Professional fees</t>
  </si>
  <si>
    <t xml:space="preserve">Office rent &amp; utilities</t>
  </si>
  <si>
    <t xml:space="preserve">Repairs &amp; maintenance</t>
  </si>
  <si>
    <t xml:space="preserve">Taxes, licenses &amp; insurance</t>
  </si>
  <si>
    <t xml:space="preserve">Communication, IT &amp; supplies</t>
  </si>
  <si>
    <t xml:space="preserve">Bad debts &amp; credit losses</t>
  </si>
  <si>
    <t xml:space="preserve">Depreciation - Buildings &amp; warehouse improvements</t>
  </si>
  <si>
    <t xml:space="preserve">Depreciation - Warehouse equipment &amp; racking</t>
  </si>
  <si>
    <t xml:space="preserve">Depreciation - Delivery vehicles</t>
  </si>
  <si>
    <t xml:space="preserve">Depreciation - Office furniture &amp; IT equipment</t>
  </si>
  <si>
    <t xml:space="preserve">Total operating costs</t>
  </si>
  <si>
    <t xml:space="preserve">Method: each pool is spread over the categories in proportion to the driver quantity chosen in column E (blue, change the driver name to re-assign). Variable/fixed behaviour follows the Project 1 chart-of-accounts mapping. Depreciation is split by asset class and follows the activity that uses the asset (warehouse assets by pallet positions, vehicles by delivery cube, office/IT by sales).</t>
  </si>
  <si>
    <t xml:space="preserve">Cost-Volume-Profit and Break-Even Analysis</t>
  </si>
  <si>
    <t xml:space="preserve">Sampaguita Foods &amp; Distribution Corporation (SFDC)  |  PHP in thousands unless stated | contribution margin approach, reconciled to Project 1</t>
  </si>
  <si>
    <t xml:space="preserve">A. CONTRIBUTION MARGIN STATEMENT</t>
  </si>
  <si>
    <t xml:space="preserve">Variable cost of sales</t>
  </si>
  <si>
    <t xml:space="preserve">Variable operating expenses</t>
  </si>
  <si>
    <t xml:space="preserve">Contribution margin</t>
  </si>
  <si>
    <t xml:space="preserve">Contribution margin ratio</t>
  </si>
  <si>
    <t xml:space="preserve">Fixed operating expenses (excluding depreciation)</t>
  </si>
  <si>
    <t xml:space="preserve">Depreciation (fixed)</t>
  </si>
  <si>
    <t xml:space="preserve">Total fixed costs</t>
  </si>
  <si>
    <t xml:space="preserve">Operating profit</t>
  </si>
  <si>
    <t xml:space="preserve">B. BREAK-EVEN ANALYSIS</t>
  </si>
  <si>
    <t xml:space="preserve">Stand-alone break-even net sales (category's own fixed costs)</t>
  </si>
  <si>
    <t xml:space="preserve">n/a</t>
  </si>
  <si>
    <t xml:space="preserve">Each category carries a share of fixed costs by activity. Categories with a stand-alone break-even above actual sales do not cover their own fixed costs.</t>
  </si>
  <si>
    <t xml:space="preserve">Break-even net sales at current sales mix</t>
  </si>
  <si>
    <t xml:space="preserve">Company break-even net sales (total fixed costs / blended CM ratio)</t>
  </si>
  <si>
    <t xml:space="preserve">Break-even cases ('000) at current mix</t>
  </si>
  <si>
    <t xml:space="preserve">Break-even as % of actual net sales</t>
  </si>
  <si>
    <t xml:space="preserve">Margin of safety (PHP '000)</t>
  </si>
  <si>
    <t xml:space="preserve">Margin of safety %</t>
  </si>
  <si>
    <t xml:space="preserve">Degree of operating leverage (CM / operating profit)</t>
  </si>
  <si>
    <t xml:space="preserve">C. TARGET PROFIT ANALYSIS</t>
  </si>
  <si>
    <t xml:space="preserve">Target operating profit (Inputs)</t>
  </si>
  <si>
    <t xml:space="preserve">Required net sales = (fixed costs + target profit) / blended CM ratio</t>
  </si>
  <si>
    <t xml:space="preserve">Increase over actual net sales</t>
  </si>
  <si>
    <t xml:space="preserve">Required cases ('000) at average price</t>
  </si>
  <si>
    <t xml:space="preserve">D. RECONCILIATION TO PROJECT 1 (EXPENSE ANALYSIS, SECTION C)</t>
  </si>
  <si>
    <t xml:space="preserve">Item</t>
  </si>
  <si>
    <t xml:space="preserve">This model</t>
  </si>
  <si>
    <t xml:space="preserve">Project 1</t>
  </si>
  <si>
    <t xml:space="preserve">Difference</t>
  </si>
  <si>
    <t xml:space="preserve">Fixed operating expenses</t>
  </si>
  <si>
    <t xml:space="preserve">Break-even net sales</t>
  </si>
  <si>
    <t xml:space="preserve">Degree of operating leverage</t>
  </si>
  <si>
    <t xml:space="preserve">Cost Behaviour: High-Low and Regression</t>
  </si>
  <si>
    <t xml:space="preserve">Sampaguita Foods &amp; Distribution Corporation (SFDC)  |  PHP in thousands | tests the fixed/variable classification against 12 months of data</t>
  </si>
  <si>
    <t xml:space="preserve">A. MONTHLY COST MATRIX (FROM THE LEDGERS)</t>
  </si>
  <si>
    <t xml:space="preserve">Expense line</t>
  </si>
  <si>
    <t xml:space="preserve">Project 1 behaviour</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</si>
  <si>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</si>
  <si>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</si>
  <si>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</si>
  <si>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</si>
  <si>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</si>
  <si>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</si>
  <si>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</si>
  <si>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</si>
  <si>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</si>
  <si>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</si>
  <si>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</si>
  <si>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</si>
  <si>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Slope (% of sales)</t>
  </si>
  <si>
    <t xml:space="preserve">R²</t>
  </si>
  <si>
    <t xml:space="preserve">Regression says</t>
  </si>
  <si>
    <t xml:space="preserve">Month number</t>
  </si>
  <si>
    <t xml:space="preserve">Total ledger operating expenses</t>
  </si>
  <si>
    <t xml:space="preserve">B. HIGH-LOW METHOD ON TOTAL LEDGER OPERATING EXPENSES</t>
  </si>
  <si>
    <t xml:space="preserve">High month (highest net sales)</t>
  </si>
  <si>
    <t xml:space="preserve">Net sales - high</t>
  </si>
  <si>
    <t xml:space="preserve">Total expenses - high</t>
  </si>
  <si>
    <t xml:space="preserve">Low month (lowest net sales)</t>
  </si>
  <si>
    <t xml:space="preserve">Net sales - low</t>
  </si>
  <si>
    <t xml:space="preserve">Total expenses - low</t>
  </si>
  <si>
    <t xml:space="preserve">Variable cost rate (% of net sales)</t>
  </si>
  <si>
    <t xml:space="preserve">Implied monthly fixed cost</t>
  </si>
  <si>
    <t xml:space="preserve">Regression: variable rate / intercept</t>
  </si>
  <si>
    <t xml:space="preserve">Project 1 classification: variable rate / monthly fixed</t>
  </si>
  <si>
    <t xml:space="preserve">Interpretation: the ledger-based high-low and regression estimates are statistical and noisy (12 points, seasonal promotions, inflation during the year). They support - rather than replace - the accounting classification used in the CVP analysis. A line marked 'review classification' behaves differently from its label and should be examined before relying on break-even figures.</t>
  </si>
  <si>
    <t xml:space="preserve">What-If and Sensitivity Analysis</t>
  </si>
  <si>
    <t xml:space="preserve">Sampaguita Foods &amp; Distribution Corporation (SFDC)  |  PHP in thousands | change the yellow cells to test scenarios</t>
  </si>
  <si>
    <t xml:space="preserve">A. SCENARIO INPUTS</t>
  </si>
  <si>
    <t xml:space="preserve">Selling price change</t>
  </si>
  <si>
    <t xml:space="preserve">Volume change</t>
  </si>
  <si>
    <t xml:space="preserve">Cost of sales per unit change</t>
  </si>
  <si>
    <t xml:space="preserve">Variable operating expense per unit change</t>
  </si>
  <si>
    <t xml:space="preserve">Fixed cost change</t>
  </si>
  <si>
    <t xml:space="preserve">Base case</t>
  </si>
  <si>
    <t xml:space="preserve">Scenario</t>
  </si>
  <si>
    <t xml:space="preserve">Change</t>
  </si>
  <si>
    <t xml:space="preserve">Change %</t>
  </si>
  <si>
    <t xml:space="preserve">Fixed costs (incl. depreciation)</t>
  </si>
  <si>
    <t xml:space="preserve">B. OPERATING PROFIT - VOLUME CHANGE (ROWS) x PRICE CHANGE (COLUMNS)</t>
  </si>
  <si>
    <t xml:space="preserve">Volume change  \  Price change</t>
  </si>
  <si>
    <t xml:space="preserve">C. BREAK-EVEN NET SALES - FIXED COST CHANGE (ROWS) x VARIABLE COST CHANGE (COLUMNS)</t>
  </si>
  <si>
    <t xml:space="preserve">Fixed cost change  \  Variable cost change</t>
  </si>
  <si>
    <t xml:space="preserve">Section B shades profits at or above the base case green. Section C reads: break-even net sales if fixed costs and the variable cost ratio change by the percentages shown. A 5% rise in variable costs lifts break-even sharply because the contribution margin ratio is thin (about 20%).</t>
  </si>
  <si>
    <t xml:space="preserve">Inputs and Cost Driver Data</t>
  </si>
  <si>
    <t xml:space="preserve">Sampaguita Foods &amp; Distribution Corporation (SFDC)  |  Blue = input, yellow fill = key assumption (fictional operating data)</t>
  </si>
  <si>
    <t xml:space="preserve">1. GENERAL PARAMETERS</t>
  </si>
  <si>
    <t xml:space="preserve">Costing year (ledger year)</t>
  </si>
  <si>
    <t xml:space="preserve">Cost-driver volumes below are FY2025 data; update them if you change the year.</t>
  </si>
  <si>
    <t xml:space="preserve">Target operating profit (PHP '000)</t>
  </si>
  <si>
    <t xml:space="preserve">2. VOLUME AND ACTIVITY DRIVERS BY PRODUCT CATEGORY (FY2025)</t>
  </si>
  <si>
    <t xml:space="preserve">Product category</t>
  </si>
  <si>
    <t xml:space="preserve">Cube factor (m³ per case)</t>
  </si>
  <si>
    <t xml:space="preserve">Promotion share (%)</t>
  </si>
  <si>
    <t xml:space="preserve">Pallet positions share (%)</t>
  </si>
  <si>
    <t xml:space="preserve">Order lines processed ('000)</t>
  </si>
  <si>
    <t xml:space="preserve">Credit sales share (%)</t>
  </si>
  <si>
    <t xml:space="preserve">Basis</t>
  </si>
  <si>
    <t xml:space="preserve">Largest category; steady case sizes</t>
  </si>
  <si>
    <t xml:space="preserve">Heavy, bulky cases (cube 1.3) and high volume</t>
  </si>
  <si>
    <t xml:space="preserve">Bulky, low-density cartons (cube 1.5)</t>
  </si>
  <si>
    <t xml:space="preserve">Cold-chain space and many small orders</t>
  </si>
  <si>
    <t xml:space="preserve">Cases, cube factors, promotion and pallet shares, order lines and credit-sales shares are fictional management data (warehouse management system, promotion calendar and order system extracts in a real engagement). Shares must total 100% (see Checks).</t>
  </si>
  <si>
    <t xml:space="preserve">3. ACTIVITY DRIVERS AVAILABLE FOR COST POOLS</t>
  </si>
  <si>
    <t xml:space="preserve">Revenue-based (also used for the traditional allocation)</t>
  </si>
  <si>
    <t xml:space="preserve">Share of campaign spend by category</t>
  </si>
  <si>
    <t xml:space="preserve">Cases delivered x cube factor</t>
  </si>
  <si>
    <t xml:space="preserve">Share of warehouse pallet positions used</t>
  </si>
  <si>
    <t xml:space="preserve">Order lines processed by the logistics team</t>
  </si>
  <si>
    <t xml:space="preserve">Net sales x credit-sales share</t>
  </si>
  <si>
    <t xml:space="preserve">FS Data - Control Totals from Project 1</t>
  </si>
  <si>
    <t xml:space="preserve">Sampaguita Foods &amp; Distribution Corporation (SFDC)  |  PHP in thousands</t>
  </si>
  <si>
    <t xml:space="preserve">Blue = copied from the Project 1 workbook. Used for reconciliation checks and for depreciation by asset class; all other figures are rebuilt from the ledgers.</t>
  </si>
  <si>
    <t xml:space="preserve">2023</t>
  </si>
  <si>
    <t xml:space="preserve">2024</t>
  </si>
  <si>
    <t xml:space="preserve">2025</t>
  </si>
  <si>
    <t xml:space="preserve">Source (Project 1)</t>
  </si>
  <si>
    <t xml:space="preserve">Income_Statement</t>
  </si>
  <si>
    <t xml:space="preserve">Cost of sales</t>
  </si>
  <si>
    <t xml:space="preserve">Total operating expenses (selling, G&amp;A and depreciation)</t>
  </si>
  <si>
    <t xml:space="preserve">Income_Statement memo</t>
  </si>
  <si>
    <t xml:space="preserve">Project 1 cost behaviour and break-even (Expense_Analysis, section C, FY2025)</t>
  </si>
  <si>
    <t xml:space="preserve">Expense_Analysis</t>
  </si>
  <si>
    <t xml:space="preserve">Margin of safety (%)</t>
  </si>
  <si>
    <t xml:space="preserve">Depreciation by asset class, FY2025 (Schedules, section A)</t>
  </si>
  <si>
    <t xml:space="preserve">Buildings &amp; warehouse improvements</t>
  </si>
  <si>
    <t xml:space="preserve">Schedules, depreciation for the year</t>
  </si>
  <si>
    <t xml:space="preserve">Warehouse equipment &amp; racking</t>
  </si>
  <si>
    <t xml:space="preserve">Delivery vehicles</t>
  </si>
  <si>
    <t xml:space="preserve">Office furniture &amp; IT equipment</t>
  </si>
  <si>
    <t xml:space="preserve">Total depreciation</t>
  </si>
  <si>
    <t xml:space="preserve">Data - Monthly Sales Ledger (from Project 1)</t>
  </si>
  <si>
    <t xml:space="preserve">Month-end net sales and cost of sales by product category and region. Blue = ledger input (fictional data, copied unchanged from the Project 1 workbook, sheet Data_Sales).</t>
  </si>
  <si>
    <t xml:space="preserve">Month-end</t>
  </si>
  <si>
    <t xml:space="preserve">Month</t>
  </si>
  <si>
    <t xml:space="preserve">Quarter</t>
  </si>
  <si>
    <t xml:space="preserve">Region</t>
  </si>
  <si>
    <t xml:space="preserve">Category</t>
  </si>
  <si>
    <t xml:space="preserve">Record ID</t>
  </si>
  <si>
    <t xml:space="preserve">Q1</t>
  </si>
  <si>
    <t xml:space="preserve">Luzon</t>
  </si>
  <si>
    <t xml:space="preserve">S202301-LUZ-PAC</t>
  </si>
  <si>
    <t xml:space="preserve">Visayas</t>
  </si>
  <si>
    <t xml:space="preserve">S202301-VIS-PAC</t>
  </si>
  <si>
    <t xml:space="preserve">Mindanao</t>
  </si>
  <si>
    <t xml:space="preserve">S202301-MIN-PAC</t>
  </si>
  <si>
    <t xml:space="preserve">S202301-LUZ-BEV</t>
  </si>
  <si>
    <t xml:space="preserve">S202301-VIS-BEV</t>
  </si>
  <si>
    <t xml:space="preserve">S202301-MIN-BEV</t>
  </si>
  <si>
    <t xml:space="preserve">S202301-LUZ-HOU</t>
  </si>
  <si>
    <t xml:space="preserve">S202301-VIS-HOU</t>
  </si>
  <si>
    <t xml:space="preserve">S202301-MIN-HOU</t>
  </si>
  <si>
    <t xml:space="preserve">S202301-LUZ-FRE</t>
  </si>
  <si>
    <t xml:space="preserve">S202301-VIS-FRE</t>
  </si>
  <si>
    <t xml:space="preserve">S202301-MIN-FRE</t>
  </si>
  <si>
    <t xml:space="preserve">S202302-LUZ-PAC</t>
  </si>
  <si>
    <t xml:space="preserve">S202302-VIS-PAC</t>
  </si>
  <si>
    <t xml:space="preserve">S202302-MIN-PAC</t>
  </si>
  <si>
    <t xml:space="preserve">S202302-LUZ-BEV</t>
  </si>
  <si>
    <t xml:space="preserve">S202302-VIS-BEV</t>
  </si>
  <si>
    <t xml:space="preserve">S202302-MIN-BEV</t>
  </si>
  <si>
    <t xml:space="preserve">S202302-LUZ-HOU</t>
  </si>
  <si>
    <t xml:space="preserve">S202302-VIS-HOU</t>
  </si>
  <si>
    <t xml:space="preserve">S202302-MIN-HOU</t>
  </si>
  <si>
    <t xml:space="preserve">S202302-LUZ-FRE</t>
  </si>
  <si>
    <t xml:space="preserve">S202302-VIS-FRE</t>
  </si>
  <si>
    <t xml:space="preserve">S202302-MIN-FRE</t>
  </si>
  <si>
    <t xml:space="preserve">S202303-LUZ-PAC</t>
  </si>
  <si>
    <t xml:space="preserve">S202303-VIS-PAC</t>
  </si>
  <si>
    <t xml:space="preserve">S202303-MIN-PAC</t>
  </si>
  <si>
    <t xml:space="preserve">S202303-LUZ-BEV</t>
  </si>
  <si>
    <t xml:space="preserve">S202303-VIS-BEV</t>
  </si>
  <si>
    <t xml:space="preserve">S202303-MIN-BEV</t>
  </si>
  <si>
    <t xml:space="preserve">S202303-LUZ-HOU</t>
  </si>
  <si>
    <t xml:space="preserve">S202303-VIS-HOU</t>
  </si>
  <si>
    <t xml:space="preserve">S202303-MIN-HOU</t>
  </si>
  <si>
    <t xml:space="preserve">S202303-LUZ-FRE</t>
  </si>
  <si>
    <t xml:space="preserve">S202303-VIS-FRE</t>
  </si>
  <si>
    <t xml:space="preserve">S202303-MIN-FRE</t>
  </si>
  <si>
    <t xml:space="preserve">Q2</t>
  </si>
  <si>
    <t xml:space="preserve">S202304-LUZ-PAC</t>
  </si>
  <si>
    <t xml:space="preserve">S202304-VIS-PAC</t>
  </si>
  <si>
    <t xml:space="preserve">S202304-MIN-PAC</t>
  </si>
  <si>
    <t xml:space="preserve">S202304-LUZ-BEV</t>
  </si>
  <si>
    <t xml:space="preserve">S202304-VIS-BEV</t>
  </si>
  <si>
    <t xml:space="preserve">S202304-MIN-BEV</t>
  </si>
  <si>
    <t xml:space="preserve">S202304-LUZ-HOU</t>
  </si>
  <si>
    <t xml:space="preserve">S202304-VIS-HOU</t>
  </si>
  <si>
    <t xml:space="preserve">S202304-MIN-HOU</t>
  </si>
  <si>
    <t xml:space="preserve">S202304-LUZ-FRE</t>
  </si>
  <si>
    <t xml:space="preserve">S202304-VIS-FRE</t>
  </si>
  <si>
    <t xml:space="preserve">S202304-MIN-FRE</t>
  </si>
  <si>
    <t xml:space="preserve">S202305-LUZ-PAC</t>
  </si>
  <si>
    <t xml:space="preserve">S202305-VIS-PAC</t>
  </si>
  <si>
    <t xml:space="preserve">S202305-MIN-PAC</t>
  </si>
  <si>
    <t xml:space="preserve">S202305-LUZ-BEV</t>
  </si>
  <si>
    <t xml:space="preserve">S202305-VIS-BEV</t>
  </si>
  <si>
    <t xml:space="preserve">S202305-MIN-BEV</t>
  </si>
  <si>
    <t xml:space="preserve">S202305-LUZ-HOU</t>
  </si>
  <si>
    <t xml:space="preserve">S202305-VIS-HOU</t>
  </si>
  <si>
    <t xml:space="preserve">S202305-MIN-HOU</t>
  </si>
  <si>
    <t xml:space="preserve">S202305-LUZ-FRE</t>
  </si>
  <si>
    <t xml:space="preserve">S202305-VIS-FRE</t>
  </si>
  <si>
    <t xml:space="preserve">S202305-MIN-FRE</t>
  </si>
  <si>
    <t xml:space="preserve">S202306-LUZ-PAC</t>
  </si>
  <si>
    <t xml:space="preserve">S202306-VIS-PAC</t>
  </si>
  <si>
    <t xml:space="preserve">S202306-MIN-PAC</t>
  </si>
  <si>
    <t xml:space="preserve">S202306-LUZ-BEV</t>
  </si>
  <si>
    <t xml:space="preserve">S202306-VIS-BEV</t>
  </si>
  <si>
    <t xml:space="preserve">S202306-MIN-BEV</t>
  </si>
  <si>
    <t xml:space="preserve">S202306-LUZ-HOU</t>
  </si>
  <si>
    <t xml:space="preserve">S202306-VIS-HOU</t>
  </si>
  <si>
    <t xml:space="preserve">S202306-MIN-HOU</t>
  </si>
  <si>
    <t xml:space="preserve">S202306-LUZ-FRE</t>
  </si>
  <si>
    <t xml:space="preserve">S202306-VIS-FRE</t>
  </si>
  <si>
    <t xml:space="preserve">S202306-MIN-FRE</t>
  </si>
  <si>
    <t xml:space="preserve">Q3</t>
  </si>
  <si>
    <t xml:space="preserve">S202307-LUZ-PAC</t>
  </si>
  <si>
    <t xml:space="preserve">S202307-VIS-PAC</t>
  </si>
  <si>
    <t xml:space="preserve">S202307-MIN-PAC</t>
  </si>
  <si>
    <t xml:space="preserve">S202307-LUZ-BEV</t>
  </si>
  <si>
    <t xml:space="preserve">S202307-VIS-BEV</t>
  </si>
  <si>
    <t xml:space="preserve">S202307-MIN-BEV</t>
  </si>
  <si>
    <t xml:space="preserve">S202307-LUZ-HOU</t>
  </si>
  <si>
    <t xml:space="preserve">S202307-VIS-HOU</t>
  </si>
  <si>
    <t xml:space="preserve">S202307-MIN-HOU</t>
  </si>
  <si>
    <t xml:space="preserve">S202307-LUZ-FRE</t>
  </si>
  <si>
    <t xml:space="preserve">S202307-VIS-FRE</t>
  </si>
  <si>
    <t xml:space="preserve">S202307-MIN-FRE</t>
  </si>
  <si>
    <t xml:space="preserve">S202308-LUZ-PAC</t>
  </si>
  <si>
    <t xml:space="preserve">S202308-VIS-PAC</t>
  </si>
  <si>
    <t xml:space="preserve">S202308-MIN-PAC</t>
  </si>
  <si>
    <t xml:space="preserve">S202308-LUZ-BEV</t>
  </si>
  <si>
    <t xml:space="preserve">S202308-VIS-BEV</t>
  </si>
  <si>
    <t xml:space="preserve">S202308-MIN-BEV</t>
  </si>
  <si>
    <t xml:space="preserve">S202308-LUZ-HOU</t>
  </si>
  <si>
    <t xml:space="preserve">S202308-VIS-HOU</t>
  </si>
  <si>
    <t xml:space="preserve">S202308-MIN-HOU</t>
  </si>
  <si>
    <t xml:space="preserve">S202308-LUZ-FRE</t>
  </si>
  <si>
    <t xml:space="preserve">S202308-VIS-FRE</t>
  </si>
  <si>
    <t xml:space="preserve">S202308-MIN-FRE</t>
  </si>
  <si>
    <t xml:space="preserve">S202309-LUZ-PAC</t>
  </si>
  <si>
    <t xml:space="preserve">S202309-VIS-PAC</t>
  </si>
  <si>
    <t xml:space="preserve">S202309-MIN-PAC</t>
  </si>
  <si>
    <t xml:space="preserve">S202309-LUZ-BEV</t>
  </si>
  <si>
    <t xml:space="preserve">S202309-VIS-BEV</t>
  </si>
  <si>
    <t xml:space="preserve">S202309-MIN-BEV</t>
  </si>
  <si>
    <t xml:space="preserve">S202309-LUZ-HOU</t>
  </si>
  <si>
    <t xml:space="preserve">S202309-VIS-HOU</t>
  </si>
  <si>
    <t xml:space="preserve">S202309-MIN-HOU</t>
  </si>
  <si>
    <t xml:space="preserve">S202309-LUZ-FRE</t>
  </si>
  <si>
    <t xml:space="preserve">S202309-VIS-FRE</t>
  </si>
  <si>
    <t xml:space="preserve">S202309-MIN-FRE</t>
  </si>
  <si>
    <t xml:space="preserve">Q4</t>
  </si>
  <si>
    <t xml:space="preserve">S202310-LUZ-PAC</t>
  </si>
  <si>
    <t xml:space="preserve">S202310-VIS-PAC</t>
  </si>
  <si>
    <t xml:space="preserve">S202310-MIN-PAC</t>
  </si>
  <si>
    <t xml:space="preserve">S202310-LUZ-BEV</t>
  </si>
  <si>
    <t xml:space="preserve">S202310-VIS-BEV</t>
  </si>
  <si>
    <t xml:space="preserve">S202310-MIN-BEV</t>
  </si>
  <si>
    <t xml:space="preserve">S202310-LUZ-HOU</t>
  </si>
  <si>
    <t xml:space="preserve">S202310-VIS-HOU</t>
  </si>
  <si>
    <t xml:space="preserve">S202310-MIN-HOU</t>
  </si>
  <si>
    <t xml:space="preserve">S202310-LUZ-FRE</t>
  </si>
  <si>
    <t xml:space="preserve">S202310-VIS-FRE</t>
  </si>
  <si>
    <t xml:space="preserve">S202310-MIN-FRE</t>
  </si>
  <si>
    <t xml:space="preserve">S202311-LUZ-PAC</t>
  </si>
  <si>
    <t xml:space="preserve">S202311-VIS-PAC</t>
  </si>
  <si>
    <t xml:space="preserve">S202311-MIN-PAC</t>
  </si>
  <si>
    <t xml:space="preserve">S202311-LUZ-BEV</t>
  </si>
  <si>
    <t xml:space="preserve">S202311-VIS-BEV</t>
  </si>
  <si>
    <t xml:space="preserve">S202311-MIN-BEV</t>
  </si>
  <si>
    <t xml:space="preserve">S202311-LUZ-HOU</t>
  </si>
  <si>
    <t xml:space="preserve">S202311-VIS-HOU</t>
  </si>
  <si>
    <t xml:space="preserve">S202311-MIN-HOU</t>
  </si>
  <si>
    <t xml:space="preserve">S202311-LUZ-FRE</t>
  </si>
  <si>
    <t xml:space="preserve">S202311-VIS-FRE</t>
  </si>
  <si>
    <t xml:space="preserve">S202311-MIN-FRE</t>
  </si>
  <si>
    <t xml:space="preserve">S202312-LUZ-PAC</t>
  </si>
  <si>
    <t xml:space="preserve">S202312-VIS-PAC</t>
  </si>
  <si>
    <t xml:space="preserve">S202312-MIN-PAC</t>
  </si>
  <si>
    <t xml:space="preserve">S202312-LUZ-BEV</t>
  </si>
  <si>
    <t xml:space="preserve">S202312-VIS-BEV</t>
  </si>
  <si>
    <t xml:space="preserve">S202312-MIN-BEV</t>
  </si>
  <si>
    <t xml:space="preserve">S202312-LUZ-HOU</t>
  </si>
  <si>
    <t xml:space="preserve">S202312-VIS-HOU</t>
  </si>
  <si>
    <t xml:space="preserve">S202312-MIN-HOU</t>
  </si>
  <si>
    <t xml:space="preserve">S202312-LUZ-FRE</t>
  </si>
  <si>
    <t xml:space="preserve">S202312-VIS-FRE</t>
  </si>
  <si>
    <t xml:space="preserve">S202312-MIN-FRE</t>
  </si>
  <si>
    <t xml:space="preserve">S202401-LUZ-PAC</t>
  </si>
  <si>
    <t xml:space="preserve">S202401-VIS-PAC</t>
  </si>
  <si>
    <t xml:space="preserve">S202401-MIN-PAC</t>
  </si>
  <si>
    <t xml:space="preserve">S202401-LUZ-BEV</t>
  </si>
  <si>
    <t xml:space="preserve">S202401-VIS-BEV</t>
  </si>
  <si>
    <t xml:space="preserve">S202401-MIN-BEV</t>
  </si>
  <si>
    <t xml:space="preserve">S202401-LUZ-HOU</t>
  </si>
  <si>
    <t xml:space="preserve">S202401-VIS-HOU</t>
  </si>
  <si>
    <t xml:space="preserve">S202401-MIN-HOU</t>
  </si>
  <si>
    <t xml:space="preserve">S202401-LUZ-FRE</t>
  </si>
  <si>
    <t xml:space="preserve">S202401-VIS-FRE</t>
  </si>
  <si>
    <t xml:space="preserve">S202401-MIN-FRE</t>
  </si>
  <si>
    <t xml:space="preserve">S202402-LUZ-PAC</t>
  </si>
  <si>
    <t xml:space="preserve">S202402-VIS-PAC</t>
  </si>
  <si>
    <t xml:space="preserve">S202402-MIN-PAC</t>
  </si>
  <si>
    <t xml:space="preserve">S202402-LUZ-BEV</t>
  </si>
  <si>
    <t xml:space="preserve">S202402-VIS-BEV</t>
  </si>
  <si>
    <t xml:space="preserve">S202402-MIN-BEV</t>
  </si>
  <si>
    <t xml:space="preserve">S202402-LUZ-HOU</t>
  </si>
  <si>
    <t xml:space="preserve">S202402-VIS-HOU</t>
  </si>
  <si>
    <t xml:space="preserve">S202402-MIN-HOU</t>
  </si>
  <si>
    <t xml:space="preserve">S202402-LUZ-FRE</t>
  </si>
  <si>
    <t xml:space="preserve">S202402-VIS-FRE</t>
  </si>
  <si>
    <t xml:space="preserve">S202402-MIN-FRE</t>
  </si>
  <si>
    <t xml:space="preserve">S202403-LUZ-PAC</t>
  </si>
  <si>
    <t xml:space="preserve">S202403-VIS-PAC</t>
  </si>
  <si>
    <t xml:space="preserve">S202403-MIN-PAC</t>
  </si>
  <si>
    <t xml:space="preserve">S202403-LUZ-BEV</t>
  </si>
  <si>
    <t xml:space="preserve">S202403-VIS-BEV</t>
  </si>
  <si>
    <t xml:space="preserve">S202403-MIN-BEV</t>
  </si>
  <si>
    <t xml:space="preserve">S202403-LUZ-HOU</t>
  </si>
  <si>
    <t xml:space="preserve">S202403-VIS-HOU</t>
  </si>
  <si>
    <t xml:space="preserve">S202403-MIN-HOU</t>
  </si>
  <si>
    <t xml:space="preserve">S202403-LUZ-FRE</t>
  </si>
  <si>
    <t xml:space="preserve">S202403-VIS-FRE</t>
  </si>
  <si>
    <t xml:space="preserve">S202403-MIN-FRE</t>
  </si>
  <si>
    <t xml:space="preserve">S202404-LUZ-PAC</t>
  </si>
  <si>
    <t xml:space="preserve">S202404-VIS-PAC</t>
  </si>
  <si>
    <t xml:space="preserve">S202404-MIN-PAC</t>
  </si>
  <si>
    <t xml:space="preserve">S202404-LUZ-BEV</t>
  </si>
  <si>
    <t xml:space="preserve">S202404-VIS-BEV</t>
  </si>
  <si>
    <t xml:space="preserve">S202404-MIN-BEV</t>
  </si>
  <si>
    <t xml:space="preserve">S202404-LUZ-HOU</t>
  </si>
  <si>
    <t xml:space="preserve">S202404-VIS-HOU</t>
  </si>
  <si>
    <t xml:space="preserve">S202404-MIN-HOU</t>
  </si>
  <si>
    <t xml:space="preserve">S202404-LUZ-FRE</t>
  </si>
  <si>
    <t xml:space="preserve">S202404-VIS-FRE</t>
  </si>
  <si>
    <t xml:space="preserve">S202404-MIN-FRE</t>
  </si>
  <si>
    <t xml:space="preserve">S202405-LUZ-PAC</t>
  </si>
  <si>
    <t xml:space="preserve">S202405-VIS-PAC</t>
  </si>
  <si>
    <t xml:space="preserve">S202405-MIN-PAC</t>
  </si>
  <si>
    <t xml:space="preserve">S202405-LUZ-BEV</t>
  </si>
  <si>
    <t xml:space="preserve">S202405-VIS-BEV</t>
  </si>
  <si>
    <t xml:space="preserve">S202405-MIN-BEV</t>
  </si>
  <si>
    <t xml:space="preserve">S202405-LUZ-HOU</t>
  </si>
  <si>
    <t xml:space="preserve">S202405-VIS-HOU</t>
  </si>
  <si>
    <t xml:space="preserve">S202405-MIN-HOU</t>
  </si>
  <si>
    <t xml:space="preserve">S202405-LUZ-FRE</t>
  </si>
  <si>
    <t xml:space="preserve">S202405-VIS-FRE</t>
  </si>
  <si>
    <t xml:space="preserve">S202405-MIN-FRE</t>
  </si>
  <si>
    <t xml:space="preserve">S202406-LUZ-PAC</t>
  </si>
  <si>
    <t xml:space="preserve">S202406-VIS-PAC</t>
  </si>
  <si>
    <t xml:space="preserve">S202406-MIN-PAC</t>
  </si>
  <si>
    <t xml:space="preserve">S202406-LUZ-BEV</t>
  </si>
  <si>
    <t xml:space="preserve">S202406-VIS-BEV</t>
  </si>
  <si>
    <t xml:space="preserve">S202406-MIN-BEV</t>
  </si>
  <si>
    <t xml:space="preserve">S202406-LUZ-HOU</t>
  </si>
  <si>
    <t xml:space="preserve">S202406-VIS-HOU</t>
  </si>
  <si>
    <t xml:space="preserve">S202406-MIN-HOU</t>
  </si>
  <si>
    <t xml:space="preserve">S202406-LUZ-FRE</t>
  </si>
  <si>
    <t xml:space="preserve">S202406-VIS-FRE</t>
  </si>
  <si>
    <t xml:space="preserve">S202406-MIN-FRE</t>
  </si>
  <si>
    <t xml:space="preserve">S202407-LUZ-PAC</t>
  </si>
  <si>
    <t xml:space="preserve">S202407-VIS-PAC</t>
  </si>
  <si>
    <t xml:space="preserve">S202407-MIN-PAC</t>
  </si>
  <si>
    <t xml:space="preserve">S202407-LUZ-BEV</t>
  </si>
  <si>
    <t xml:space="preserve">S202407-VIS-BEV</t>
  </si>
  <si>
    <t xml:space="preserve">S202407-MIN-BEV</t>
  </si>
  <si>
    <t xml:space="preserve">S202407-LUZ-HOU</t>
  </si>
  <si>
    <t xml:space="preserve">S202407-VIS-HOU</t>
  </si>
  <si>
    <t xml:space="preserve">S202407-MIN-HOU</t>
  </si>
  <si>
    <t xml:space="preserve">S202407-LUZ-FRE</t>
  </si>
  <si>
    <t xml:space="preserve">S202407-VIS-FRE</t>
  </si>
  <si>
    <t xml:space="preserve">S202407-MIN-FRE</t>
  </si>
  <si>
    <t xml:space="preserve">S202408-LUZ-PAC</t>
  </si>
  <si>
    <t xml:space="preserve">S202408-VIS-PAC</t>
  </si>
  <si>
    <t xml:space="preserve">S202408-MIN-PAC</t>
  </si>
  <si>
    <t xml:space="preserve">S202408-LUZ-BEV</t>
  </si>
  <si>
    <t xml:space="preserve">S202408-VIS-BEV</t>
  </si>
  <si>
    <t xml:space="preserve">S202408-MIN-BEV</t>
  </si>
  <si>
    <t xml:space="preserve">S202408-LUZ-HOU</t>
  </si>
  <si>
    <t xml:space="preserve">S202408-VIS-HOU</t>
  </si>
  <si>
    <t xml:space="preserve">S202408-MIN-HOU</t>
  </si>
  <si>
    <t xml:space="preserve">S202408-LUZ-FRE</t>
  </si>
  <si>
    <t xml:space="preserve">S202408-VIS-FRE</t>
  </si>
  <si>
    <t xml:space="preserve">S202408-MIN-FRE</t>
  </si>
  <si>
    <t xml:space="preserve">S202409-LUZ-PAC</t>
  </si>
  <si>
    <t xml:space="preserve">S202409-VIS-PAC</t>
  </si>
  <si>
    <t xml:space="preserve">S202409-MIN-PAC</t>
  </si>
  <si>
    <t xml:space="preserve">S202409-LUZ-BEV</t>
  </si>
  <si>
    <t xml:space="preserve">S202409-VIS-BEV</t>
  </si>
  <si>
    <t xml:space="preserve">S202409-MIN-BEV</t>
  </si>
  <si>
    <t xml:space="preserve">S202409-LUZ-HOU</t>
  </si>
  <si>
    <t xml:space="preserve">S202409-VIS-HOU</t>
  </si>
  <si>
    <t xml:space="preserve">S202409-MIN-HOU</t>
  </si>
  <si>
    <t xml:space="preserve">S202409-LUZ-FRE</t>
  </si>
  <si>
    <t xml:space="preserve">S202409-VIS-FRE</t>
  </si>
  <si>
    <t xml:space="preserve">S202409-MIN-FRE</t>
  </si>
  <si>
    <t xml:space="preserve">S202410-LUZ-PAC</t>
  </si>
  <si>
    <t xml:space="preserve">S202410-VIS-PAC</t>
  </si>
  <si>
    <t xml:space="preserve">S202410-MIN-PAC</t>
  </si>
  <si>
    <t xml:space="preserve">S202410-LUZ-BEV</t>
  </si>
  <si>
    <t xml:space="preserve">S202410-VIS-BEV</t>
  </si>
  <si>
    <t xml:space="preserve">S202410-MIN-BEV</t>
  </si>
  <si>
    <t xml:space="preserve">S202410-LUZ-HOU</t>
  </si>
  <si>
    <t xml:space="preserve">S202410-VIS-HOU</t>
  </si>
  <si>
    <t xml:space="preserve">S202410-MIN-HOU</t>
  </si>
  <si>
    <t xml:space="preserve">S202410-LUZ-FRE</t>
  </si>
  <si>
    <t xml:space="preserve">S202410-VIS-FRE</t>
  </si>
  <si>
    <t xml:space="preserve">S202410-MIN-FRE</t>
  </si>
  <si>
    <t xml:space="preserve">S202411-LUZ-PAC</t>
  </si>
  <si>
    <t xml:space="preserve">S202411-VIS-PAC</t>
  </si>
  <si>
    <t xml:space="preserve">S202411-MIN-PAC</t>
  </si>
  <si>
    <t xml:space="preserve">S202411-LUZ-BEV</t>
  </si>
  <si>
    <t xml:space="preserve">S202411-VIS-BEV</t>
  </si>
  <si>
    <t xml:space="preserve">S202411-MIN-BEV</t>
  </si>
  <si>
    <t xml:space="preserve">S202411-LUZ-HOU</t>
  </si>
  <si>
    <t xml:space="preserve">S202411-VIS-HOU</t>
  </si>
  <si>
    <t xml:space="preserve">S202411-MIN-HOU</t>
  </si>
  <si>
    <t xml:space="preserve">S202411-LUZ-FRE</t>
  </si>
  <si>
    <t xml:space="preserve">S202411-VIS-FRE</t>
  </si>
  <si>
    <t xml:space="preserve">S202411-MIN-FRE</t>
  </si>
  <si>
    <t xml:space="preserve">S202412-LUZ-PAC</t>
  </si>
  <si>
    <t xml:space="preserve">S202412-VIS-PAC</t>
  </si>
  <si>
    <t xml:space="preserve">S202412-MIN-PAC</t>
  </si>
  <si>
    <t xml:space="preserve">S202412-LUZ-BEV</t>
  </si>
  <si>
    <t xml:space="preserve">S202412-VIS-BEV</t>
  </si>
  <si>
    <t xml:space="preserve">S202412-MIN-BEV</t>
  </si>
  <si>
    <t xml:space="preserve">S202412-LUZ-HOU</t>
  </si>
  <si>
    <t xml:space="preserve">S202412-VIS-HOU</t>
  </si>
  <si>
    <t xml:space="preserve">S202412-MIN-HOU</t>
  </si>
  <si>
    <t xml:space="preserve">S202412-LUZ-FRE</t>
  </si>
  <si>
    <t xml:space="preserve">S202412-VIS-FRE</t>
  </si>
  <si>
    <t xml:space="preserve">S202412-MIN-FRE</t>
  </si>
  <si>
    <t xml:space="preserve">S202501-LUZ-PAC</t>
  </si>
  <si>
    <t xml:space="preserve">S202501-VIS-PAC</t>
  </si>
  <si>
    <t xml:space="preserve">S202501-MIN-PAC</t>
  </si>
  <si>
    <t xml:space="preserve">S202501-LUZ-BEV</t>
  </si>
  <si>
    <t xml:space="preserve">S202501-VIS-BEV</t>
  </si>
  <si>
    <t xml:space="preserve">S202501-MIN-BEV</t>
  </si>
  <si>
    <t xml:space="preserve">S202501-LUZ-HOU</t>
  </si>
  <si>
    <t xml:space="preserve">S202501-VIS-HOU</t>
  </si>
  <si>
    <t xml:space="preserve">S202501-MIN-HOU</t>
  </si>
  <si>
    <t xml:space="preserve">S202501-LUZ-FRE</t>
  </si>
  <si>
    <t xml:space="preserve">S202501-VIS-FRE</t>
  </si>
  <si>
    <t xml:space="preserve">S202501-MIN-FRE</t>
  </si>
  <si>
    <t xml:space="preserve">S202502-LUZ-PAC</t>
  </si>
  <si>
    <t xml:space="preserve">S202502-VIS-PAC</t>
  </si>
  <si>
    <t xml:space="preserve">S202502-MIN-PAC</t>
  </si>
  <si>
    <t xml:space="preserve">S202502-LUZ-BEV</t>
  </si>
  <si>
    <t xml:space="preserve">S202502-VIS-BEV</t>
  </si>
  <si>
    <t xml:space="preserve">S202502-MIN-BEV</t>
  </si>
  <si>
    <t xml:space="preserve">S202502-LUZ-HOU</t>
  </si>
  <si>
    <t xml:space="preserve">S202502-VIS-HOU</t>
  </si>
  <si>
    <t xml:space="preserve">S202502-MIN-HOU</t>
  </si>
  <si>
    <t xml:space="preserve">S202502-LUZ-FRE</t>
  </si>
  <si>
    <t xml:space="preserve">S202502-VIS-FRE</t>
  </si>
  <si>
    <t xml:space="preserve">S202502-MIN-FRE</t>
  </si>
  <si>
    <t xml:space="preserve">S202503-LUZ-PAC</t>
  </si>
  <si>
    <t xml:space="preserve">S202503-VIS-PAC</t>
  </si>
  <si>
    <t xml:space="preserve">S202503-MIN-PAC</t>
  </si>
  <si>
    <t xml:space="preserve">S202503-LUZ-BEV</t>
  </si>
  <si>
    <t xml:space="preserve">S202503-VIS-BEV</t>
  </si>
  <si>
    <t xml:space="preserve">S202503-MIN-BEV</t>
  </si>
  <si>
    <t xml:space="preserve">S202503-LUZ-HOU</t>
  </si>
  <si>
    <t xml:space="preserve">S202503-VIS-HOU</t>
  </si>
  <si>
    <t xml:space="preserve">S202503-MIN-HOU</t>
  </si>
  <si>
    <t xml:space="preserve">S202503-LUZ-FRE</t>
  </si>
  <si>
    <t xml:space="preserve">S202503-VIS-FRE</t>
  </si>
  <si>
    <t xml:space="preserve">S202503-MIN-FRE</t>
  </si>
  <si>
    <t xml:space="preserve">S202504-LUZ-PAC</t>
  </si>
  <si>
    <t xml:space="preserve">S202504-VIS-PAC</t>
  </si>
  <si>
    <t xml:space="preserve">S202504-MIN-PAC</t>
  </si>
  <si>
    <t xml:space="preserve">S202504-LUZ-BEV</t>
  </si>
  <si>
    <t xml:space="preserve">S202504-VIS-BEV</t>
  </si>
  <si>
    <t xml:space="preserve">S202504-MIN-BEV</t>
  </si>
  <si>
    <t xml:space="preserve">S202504-LUZ-HOU</t>
  </si>
  <si>
    <t xml:space="preserve">S202504-VIS-HOU</t>
  </si>
  <si>
    <t xml:space="preserve">S202504-MIN-HOU</t>
  </si>
  <si>
    <t xml:space="preserve">S202504-LUZ-FRE</t>
  </si>
  <si>
    <t xml:space="preserve">S202504-VIS-FRE</t>
  </si>
  <si>
    <t xml:space="preserve">S202504-MIN-FRE</t>
  </si>
  <si>
    <t xml:space="preserve">S202505-LUZ-PAC</t>
  </si>
  <si>
    <t xml:space="preserve">S202505-VIS-PAC</t>
  </si>
  <si>
    <t xml:space="preserve">S202505-MIN-PAC</t>
  </si>
  <si>
    <t xml:space="preserve">S202505-LUZ-BEV</t>
  </si>
  <si>
    <t xml:space="preserve">S202505-VIS-BEV</t>
  </si>
  <si>
    <t xml:space="preserve">S202505-MIN-BEV</t>
  </si>
  <si>
    <t xml:space="preserve">S202505-LUZ-HOU</t>
  </si>
  <si>
    <t xml:space="preserve">S202505-VIS-HOU</t>
  </si>
  <si>
    <t xml:space="preserve">S202505-MIN-HOU</t>
  </si>
  <si>
    <t xml:space="preserve">S202505-LUZ-FRE</t>
  </si>
  <si>
    <t xml:space="preserve">S202505-VIS-FRE</t>
  </si>
  <si>
    <t xml:space="preserve">S202505-MIN-FRE</t>
  </si>
  <si>
    <t xml:space="preserve">S202506-LUZ-PAC</t>
  </si>
  <si>
    <t xml:space="preserve">S202506-VIS-PAC</t>
  </si>
  <si>
    <t xml:space="preserve">S202506-MIN-PAC</t>
  </si>
  <si>
    <t xml:space="preserve">S202506-LUZ-BEV</t>
  </si>
  <si>
    <t xml:space="preserve">S202506-VIS-BEV</t>
  </si>
  <si>
    <t xml:space="preserve">S202506-MIN-BEV</t>
  </si>
  <si>
    <t xml:space="preserve">S202506-LUZ-HOU</t>
  </si>
  <si>
    <t xml:space="preserve">S202506-VIS-HOU</t>
  </si>
  <si>
    <t xml:space="preserve">S202506-MIN-HOU</t>
  </si>
  <si>
    <t xml:space="preserve">S202506-LUZ-FRE</t>
  </si>
  <si>
    <t xml:space="preserve">S202506-VIS-FRE</t>
  </si>
  <si>
    <t xml:space="preserve">S202506-MIN-FRE</t>
  </si>
  <si>
    <t xml:space="preserve">S202507-LUZ-PAC</t>
  </si>
  <si>
    <t xml:space="preserve">S202507-VIS-PAC</t>
  </si>
  <si>
    <t xml:space="preserve">S202507-MIN-PAC</t>
  </si>
  <si>
    <t xml:space="preserve">S202507-LUZ-BEV</t>
  </si>
  <si>
    <t xml:space="preserve">S202507-VIS-BEV</t>
  </si>
  <si>
    <t xml:space="preserve">S202507-MIN-BEV</t>
  </si>
  <si>
    <t xml:space="preserve">S202507-LUZ-HOU</t>
  </si>
  <si>
    <t xml:space="preserve">S202507-VIS-HOU</t>
  </si>
  <si>
    <t xml:space="preserve">S202507-MIN-HOU</t>
  </si>
  <si>
    <t xml:space="preserve">S202507-LUZ-FRE</t>
  </si>
  <si>
    <t xml:space="preserve">S202507-VIS-FRE</t>
  </si>
  <si>
    <t xml:space="preserve">S202507-MIN-FRE</t>
  </si>
  <si>
    <t xml:space="preserve">S202508-LUZ-PAC</t>
  </si>
  <si>
    <t xml:space="preserve">S202508-VIS-PAC</t>
  </si>
  <si>
    <t xml:space="preserve">S202508-MIN-PAC</t>
  </si>
  <si>
    <t xml:space="preserve">S202508-LUZ-BEV</t>
  </si>
  <si>
    <t xml:space="preserve">S202508-VIS-BEV</t>
  </si>
  <si>
    <t xml:space="preserve">S202508-MIN-BEV</t>
  </si>
  <si>
    <t xml:space="preserve">S202508-LUZ-HOU</t>
  </si>
  <si>
    <t xml:space="preserve">S202508-VIS-HOU</t>
  </si>
  <si>
    <t xml:space="preserve">S202508-MIN-HOU</t>
  </si>
  <si>
    <t xml:space="preserve">S202508-LUZ-FRE</t>
  </si>
  <si>
    <t xml:space="preserve">S202508-VIS-FRE</t>
  </si>
  <si>
    <t xml:space="preserve">S202508-MIN-FRE</t>
  </si>
  <si>
    <t xml:space="preserve">S202509-LUZ-PAC</t>
  </si>
  <si>
    <t xml:space="preserve">S202509-VIS-PAC</t>
  </si>
  <si>
    <t xml:space="preserve">S202509-MIN-PAC</t>
  </si>
  <si>
    <t xml:space="preserve">S202509-LUZ-BEV</t>
  </si>
  <si>
    <t xml:space="preserve">S202509-VIS-BEV</t>
  </si>
  <si>
    <t xml:space="preserve">S202509-MIN-BEV</t>
  </si>
  <si>
    <t xml:space="preserve">S202509-LUZ-HOU</t>
  </si>
  <si>
    <t xml:space="preserve">S202509-VIS-HOU</t>
  </si>
  <si>
    <t xml:space="preserve">S202509-MIN-HOU</t>
  </si>
  <si>
    <t xml:space="preserve">S202509-LUZ-FRE</t>
  </si>
  <si>
    <t xml:space="preserve">S202509-VIS-FRE</t>
  </si>
  <si>
    <t xml:space="preserve">S202509-MIN-FRE</t>
  </si>
  <si>
    <t xml:space="preserve">S202510-LUZ-PAC</t>
  </si>
  <si>
    <t xml:space="preserve">S202510-VIS-PAC</t>
  </si>
  <si>
    <t xml:space="preserve">S202510-MIN-PAC</t>
  </si>
  <si>
    <t xml:space="preserve">S202510-LUZ-BEV</t>
  </si>
  <si>
    <t xml:space="preserve">S202510-VIS-BEV</t>
  </si>
  <si>
    <t xml:space="preserve">S202510-MIN-BEV</t>
  </si>
  <si>
    <t xml:space="preserve">S202510-LUZ-HOU</t>
  </si>
  <si>
    <t xml:space="preserve">S202510-VIS-HOU</t>
  </si>
  <si>
    <t xml:space="preserve">S202510-MIN-HOU</t>
  </si>
  <si>
    <t xml:space="preserve">S202510-LUZ-FRE</t>
  </si>
  <si>
    <t xml:space="preserve">S202510-VIS-FRE</t>
  </si>
  <si>
    <t xml:space="preserve">S202510-MIN-FRE</t>
  </si>
  <si>
    <t xml:space="preserve">S202511-LUZ-PAC</t>
  </si>
  <si>
    <t xml:space="preserve">S202511-VIS-PAC</t>
  </si>
  <si>
    <t xml:space="preserve">S202511-MIN-PAC</t>
  </si>
  <si>
    <t xml:space="preserve">S202511-LUZ-BEV</t>
  </si>
  <si>
    <t xml:space="preserve">S202511-VIS-BEV</t>
  </si>
  <si>
    <t xml:space="preserve">S202511-MIN-BEV</t>
  </si>
  <si>
    <t xml:space="preserve">S202511-LUZ-HOU</t>
  </si>
  <si>
    <t xml:space="preserve">S202511-VIS-HOU</t>
  </si>
  <si>
    <t xml:space="preserve">S202511-MIN-HOU</t>
  </si>
  <si>
    <t xml:space="preserve">S202511-LUZ-FRE</t>
  </si>
  <si>
    <t xml:space="preserve">S202511-VIS-FRE</t>
  </si>
  <si>
    <t xml:space="preserve">S202511-MIN-FRE</t>
  </si>
  <si>
    <t xml:space="preserve">S202512-LUZ-PAC</t>
  </si>
  <si>
    <t xml:space="preserve">S202512-VIS-PAC</t>
  </si>
  <si>
    <t xml:space="preserve">S202512-MIN-PAC</t>
  </si>
  <si>
    <t xml:space="preserve">S202512-LUZ-BEV</t>
  </si>
  <si>
    <t xml:space="preserve">S202512-VIS-BEV</t>
  </si>
  <si>
    <t xml:space="preserve">S202512-MIN-BEV</t>
  </si>
  <si>
    <t xml:space="preserve">S202512-LUZ-HOU</t>
  </si>
  <si>
    <t xml:space="preserve">S202512-VIS-HOU</t>
  </si>
  <si>
    <t xml:space="preserve">S202512-MIN-HOU</t>
  </si>
  <si>
    <t xml:space="preserve">S202512-LUZ-FRE</t>
  </si>
  <si>
    <t xml:space="preserve">S202512-VIS-FRE</t>
  </si>
  <si>
    <t xml:space="preserve">S202512-MIN-FRE</t>
  </si>
  <si>
    <t xml:space="preserve">Data - Monthly Operating Expense Ledger (from Project 1)</t>
  </si>
  <si>
    <t xml:space="preserve">Month-end operating expenses by expense line (excludes depreciation, which comes from the PPE schedule). Copied unchanged from Project 1, sheet Data_Expenses.</t>
  </si>
  <si>
    <t xml:space="preserve">Amount</t>
  </si>
  <si>
    <t xml:space="preserve">E202301-6101</t>
  </si>
  <si>
    <t xml:space="preserve">E202301-6102</t>
  </si>
  <si>
    <t xml:space="preserve">E202301-6103</t>
  </si>
  <si>
    <t xml:space="preserve">E202301-6104</t>
  </si>
  <si>
    <t xml:space="preserve">E202301-6105</t>
  </si>
  <si>
    <t xml:space="preserve">E202301-6201</t>
  </si>
  <si>
    <t xml:space="preserve">E202301-6202</t>
  </si>
  <si>
    <t xml:space="preserve">E202301-6203</t>
  </si>
  <si>
    <t xml:space="preserve">E202301-6204</t>
  </si>
  <si>
    <t xml:space="preserve">E202301-6205</t>
  </si>
  <si>
    <t xml:space="preserve">E202301-6206</t>
  </si>
  <si>
    <t xml:space="preserve">E202301-6207</t>
  </si>
  <si>
    <t xml:space="preserve">E202301-6208</t>
  </si>
  <si>
    <t xml:space="preserve">E202302-6101</t>
  </si>
  <si>
    <t xml:space="preserve">E202302-6102</t>
  </si>
  <si>
    <t xml:space="preserve">E202302-6103</t>
  </si>
  <si>
    <t xml:space="preserve">E202302-6104</t>
  </si>
  <si>
    <t xml:space="preserve">E202302-6105</t>
  </si>
  <si>
    <t xml:space="preserve">E202302-6201</t>
  </si>
  <si>
    <t xml:space="preserve">E202302-6202</t>
  </si>
  <si>
    <t xml:space="preserve">E202302-6203</t>
  </si>
  <si>
    <t xml:space="preserve">E202302-6204</t>
  </si>
  <si>
    <t xml:space="preserve">E202302-6205</t>
  </si>
  <si>
    <t xml:space="preserve">E202302-6206</t>
  </si>
  <si>
    <t xml:space="preserve">E202302-6207</t>
  </si>
  <si>
    <t xml:space="preserve">E202302-6208</t>
  </si>
  <si>
    <t xml:space="preserve">E202303-6101</t>
  </si>
  <si>
    <t xml:space="preserve">E202303-6102</t>
  </si>
  <si>
    <t xml:space="preserve">E202303-6103</t>
  </si>
  <si>
    <t xml:space="preserve">E202303-6104</t>
  </si>
  <si>
    <t xml:space="preserve">E202303-6105</t>
  </si>
  <si>
    <t xml:space="preserve">E202303-6201</t>
  </si>
  <si>
    <t xml:space="preserve">E202303-6202</t>
  </si>
  <si>
    <t xml:space="preserve">E202303-6203</t>
  </si>
  <si>
    <t xml:space="preserve">E202303-6204</t>
  </si>
  <si>
    <t xml:space="preserve">E202303-6205</t>
  </si>
  <si>
    <t xml:space="preserve">E202303-6206</t>
  </si>
  <si>
    <t xml:space="preserve">E202303-6207</t>
  </si>
  <si>
    <t xml:space="preserve">E202303-6208</t>
  </si>
  <si>
    <t xml:space="preserve">E202304-6101</t>
  </si>
  <si>
    <t xml:space="preserve">E202304-6102</t>
  </si>
  <si>
    <t xml:space="preserve">E202304-6103</t>
  </si>
  <si>
    <t xml:space="preserve">E202304-6104</t>
  </si>
  <si>
    <t xml:space="preserve">E202304-6105</t>
  </si>
  <si>
    <t xml:space="preserve">E202304-6201</t>
  </si>
  <si>
    <t xml:space="preserve">E202304-6202</t>
  </si>
  <si>
    <t xml:space="preserve">E202304-6203</t>
  </si>
  <si>
    <t xml:space="preserve">E202304-6204</t>
  </si>
  <si>
    <t xml:space="preserve">E202304-6205</t>
  </si>
  <si>
    <t xml:space="preserve">E202304-6206</t>
  </si>
  <si>
    <t xml:space="preserve">E202304-6207</t>
  </si>
  <si>
    <t xml:space="preserve">E202304-6208</t>
  </si>
  <si>
    <t xml:space="preserve">E202305-6101</t>
  </si>
  <si>
    <t xml:space="preserve">E202305-6102</t>
  </si>
  <si>
    <t xml:space="preserve">E202305-6103</t>
  </si>
  <si>
    <t xml:space="preserve">E202305-6104</t>
  </si>
  <si>
    <t xml:space="preserve">E202305-6105</t>
  </si>
  <si>
    <t xml:space="preserve">E202305-6201</t>
  </si>
  <si>
    <t xml:space="preserve">E202305-6202</t>
  </si>
  <si>
    <t xml:space="preserve">E202305-6203</t>
  </si>
  <si>
    <t xml:space="preserve">E202305-6204</t>
  </si>
  <si>
    <t xml:space="preserve">E202305-6205</t>
  </si>
  <si>
    <t xml:space="preserve">E202305-6206</t>
  </si>
  <si>
    <t xml:space="preserve">E202305-6207</t>
  </si>
  <si>
    <t xml:space="preserve">E202305-6208</t>
  </si>
  <si>
    <t xml:space="preserve">E202306-6101</t>
  </si>
  <si>
    <t xml:space="preserve">E202306-6102</t>
  </si>
  <si>
    <t xml:space="preserve">E202306-6103</t>
  </si>
  <si>
    <t xml:space="preserve">E202306-6104</t>
  </si>
  <si>
    <t xml:space="preserve">E202306-6105</t>
  </si>
  <si>
    <t xml:space="preserve">E202306-6201</t>
  </si>
  <si>
    <t xml:space="preserve">E202306-6202</t>
  </si>
  <si>
    <t xml:space="preserve">E202306-6203</t>
  </si>
  <si>
    <t xml:space="preserve">E202306-6204</t>
  </si>
  <si>
    <t xml:space="preserve">E202306-6205</t>
  </si>
  <si>
    <t xml:space="preserve">E202306-6206</t>
  </si>
  <si>
    <t xml:space="preserve">E202306-6207</t>
  </si>
  <si>
    <t xml:space="preserve">E202306-6208</t>
  </si>
  <si>
    <t xml:space="preserve">E202307-6101</t>
  </si>
  <si>
    <t xml:space="preserve">E202307-6102</t>
  </si>
  <si>
    <t xml:space="preserve">E202307-6103</t>
  </si>
  <si>
    <t xml:space="preserve">E202307-6104</t>
  </si>
  <si>
    <t xml:space="preserve">E202307-6105</t>
  </si>
  <si>
    <t xml:space="preserve">E202307-6201</t>
  </si>
  <si>
    <t xml:space="preserve">E202307-6202</t>
  </si>
  <si>
    <t xml:space="preserve">E202307-6203</t>
  </si>
  <si>
    <t xml:space="preserve">E202307-6204</t>
  </si>
  <si>
    <t xml:space="preserve">E202307-6205</t>
  </si>
  <si>
    <t xml:space="preserve">E202307-6206</t>
  </si>
  <si>
    <t xml:space="preserve">E202307-6207</t>
  </si>
  <si>
    <t xml:space="preserve">E202307-6208</t>
  </si>
  <si>
    <t xml:space="preserve">E202308-6101</t>
  </si>
  <si>
    <t xml:space="preserve">E202308-6102</t>
  </si>
  <si>
    <t xml:space="preserve">E202308-6103</t>
  </si>
  <si>
    <t xml:space="preserve">E202308-6104</t>
  </si>
  <si>
    <t xml:space="preserve">E202308-6105</t>
  </si>
  <si>
    <t xml:space="preserve">E202308-6201</t>
  </si>
  <si>
    <t xml:space="preserve">E202308-6202</t>
  </si>
  <si>
    <t xml:space="preserve">E202308-6203</t>
  </si>
  <si>
    <t xml:space="preserve">E202308-6204</t>
  </si>
  <si>
    <t xml:space="preserve">E202308-6205</t>
  </si>
  <si>
    <t xml:space="preserve">E202308-6206</t>
  </si>
  <si>
    <t xml:space="preserve">E202308-6207</t>
  </si>
  <si>
    <t xml:space="preserve">E202308-6208</t>
  </si>
  <si>
    <t xml:space="preserve">E202309-6101</t>
  </si>
  <si>
    <t xml:space="preserve">E202309-6102</t>
  </si>
  <si>
    <t xml:space="preserve">E202309-6103</t>
  </si>
  <si>
    <t xml:space="preserve">E202309-6104</t>
  </si>
  <si>
    <t xml:space="preserve">E202309-6105</t>
  </si>
  <si>
    <t xml:space="preserve">E202309-6201</t>
  </si>
  <si>
    <t xml:space="preserve">E202309-6202</t>
  </si>
  <si>
    <t xml:space="preserve">E202309-6203</t>
  </si>
  <si>
    <t xml:space="preserve">E202309-6204</t>
  </si>
  <si>
    <t xml:space="preserve">E202309-6205</t>
  </si>
  <si>
    <t xml:space="preserve">E202309-6206</t>
  </si>
  <si>
    <t xml:space="preserve">E202309-6207</t>
  </si>
  <si>
    <t xml:space="preserve">E202309-6208</t>
  </si>
  <si>
    <t xml:space="preserve">E202310-6101</t>
  </si>
  <si>
    <t xml:space="preserve">E202310-6102</t>
  </si>
  <si>
    <t xml:space="preserve">E202310-6103</t>
  </si>
  <si>
    <t xml:space="preserve">E202310-6104</t>
  </si>
  <si>
    <t xml:space="preserve">E202310-6105</t>
  </si>
  <si>
    <t xml:space="preserve">E202310-6201</t>
  </si>
  <si>
    <t xml:space="preserve">E202310-6202</t>
  </si>
  <si>
    <t xml:space="preserve">E202310-6203</t>
  </si>
  <si>
    <t xml:space="preserve">E202310-6204</t>
  </si>
  <si>
    <t xml:space="preserve">E202310-6205</t>
  </si>
  <si>
    <t xml:space="preserve">E202310-6206</t>
  </si>
  <si>
    <t xml:space="preserve">E202310-6207</t>
  </si>
  <si>
    <t xml:space="preserve">E202310-6208</t>
  </si>
  <si>
    <t xml:space="preserve">E202311-6101</t>
  </si>
  <si>
    <t xml:space="preserve">E202311-6102</t>
  </si>
  <si>
    <t xml:space="preserve">E202311-6103</t>
  </si>
  <si>
    <t xml:space="preserve">E202311-6104</t>
  </si>
  <si>
    <t xml:space="preserve">E202311-6105</t>
  </si>
  <si>
    <t xml:space="preserve">E202311-6201</t>
  </si>
  <si>
    <t xml:space="preserve">E202311-6202</t>
  </si>
  <si>
    <t xml:space="preserve">E202311-6203</t>
  </si>
  <si>
    <t xml:space="preserve">E202311-6204</t>
  </si>
  <si>
    <t xml:space="preserve">E202311-6205</t>
  </si>
  <si>
    <t xml:space="preserve">E202311-6206</t>
  </si>
  <si>
    <t xml:space="preserve">E202311-6207</t>
  </si>
  <si>
    <t xml:space="preserve">E202311-6208</t>
  </si>
  <si>
    <t xml:space="preserve">E202312-6101</t>
  </si>
  <si>
    <t xml:space="preserve">E202312-6102</t>
  </si>
  <si>
    <t xml:space="preserve">E202312-6103</t>
  </si>
  <si>
    <t xml:space="preserve">E202312-6104</t>
  </si>
  <si>
    <t xml:space="preserve">E202312-6105</t>
  </si>
  <si>
    <t xml:space="preserve">E202312-6201</t>
  </si>
  <si>
    <t xml:space="preserve">E202312-6202</t>
  </si>
  <si>
    <t xml:space="preserve">E202312-6203</t>
  </si>
  <si>
    <t xml:space="preserve">E202312-6204</t>
  </si>
  <si>
    <t xml:space="preserve">E202312-6205</t>
  </si>
  <si>
    <t xml:space="preserve">E202312-6206</t>
  </si>
  <si>
    <t xml:space="preserve">E202312-6207</t>
  </si>
  <si>
    <t xml:space="preserve">E202312-6208</t>
  </si>
  <si>
    <t xml:space="preserve">E202401-6101</t>
  </si>
  <si>
    <t xml:space="preserve">E202401-6102</t>
  </si>
  <si>
    <t xml:space="preserve">E202401-6103</t>
  </si>
  <si>
    <t xml:space="preserve">E202401-6104</t>
  </si>
  <si>
    <t xml:space="preserve">E202401-6105</t>
  </si>
  <si>
    <t xml:space="preserve">E202401-6201</t>
  </si>
  <si>
    <t xml:space="preserve">E202401-6202</t>
  </si>
  <si>
    <t xml:space="preserve">E202401-6203</t>
  </si>
  <si>
    <t xml:space="preserve">E202401-6204</t>
  </si>
  <si>
    <t xml:space="preserve">E202401-6205</t>
  </si>
  <si>
    <t xml:space="preserve">E202401-6206</t>
  </si>
  <si>
    <t xml:space="preserve">E202401-6207</t>
  </si>
  <si>
    <t xml:space="preserve">E202401-6208</t>
  </si>
  <si>
    <t xml:space="preserve">E202402-6101</t>
  </si>
  <si>
    <t xml:space="preserve">E202402-6102</t>
  </si>
  <si>
    <t xml:space="preserve">E202402-6103</t>
  </si>
  <si>
    <t xml:space="preserve">E202402-6104</t>
  </si>
  <si>
    <t xml:space="preserve">E202402-6105</t>
  </si>
  <si>
    <t xml:space="preserve">E202402-6201</t>
  </si>
  <si>
    <t xml:space="preserve">E202402-6202</t>
  </si>
  <si>
    <t xml:space="preserve">E202402-6203</t>
  </si>
  <si>
    <t xml:space="preserve">E202402-6204</t>
  </si>
  <si>
    <t xml:space="preserve">E202402-6205</t>
  </si>
  <si>
    <t xml:space="preserve">E202402-6206</t>
  </si>
  <si>
    <t xml:space="preserve">E202402-6207</t>
  </si>
  <si>
    <t xml:space="preserve">E202402-6208</t>
  </si>
  <si>
    <t xml:space="preserve">E202403-6101</t>
  </si>
  <si>
    <t xml:space="preserve">E202403-6102</t>
  </si>
  <si>
    <t xml:space="preserve">E202403-6103</t>
  </si>
  <si>
    <t xml:space="preserve">E202403-6104</t>
  </si>
  <si>
    <t xml:space="preserve">E202403-6105</t>
  </si>
  <si>
    <t xml:space="preserve">E202403-6201</t>
  </si>
  <si>
    <t xml:space="preserve">E202403-6202</t>
  </si>
  <si>
    <t xml:space="preserve">E202403-6203</t>
  </si>
  <si>
    <t xml:space="preserve">E202403-6204</t>
  </si>
  <si>
    <t xml:space="preserve">E202403-6205</t>
  </si>
  <si>
    <t xml:space="preserve">E202403-6206</t>
  </si>
  <si>
    <t xml:space="preserve">E202403-6207</t>
  </si>
  <si>
    <t xml:space="preserve">E202403-6208</t>
  </si>
  <si>
    <t xml:space="preserve">E202404-6101</t>
  </si>
  <si>
    <t xml:space="preserve">E202404-6102</t>
  </si>
  <si>
    <t xml:space="preserve">E202404-6103</t>
  </si>
  <si>
    <t xml:space="preserve">E202404-6104</t>
  </si>
  <si>
    <t xml:space="preserve">E202404-6105</t>
  </si>
  <si>
    <t xml:space="preserve">E202404-6201</t>
  </si>
  <si>
    <t xml:space="preserve">E202404-6202</t>
  </si>
  <si>
    <t xml:space="preserve">E202404-6203</t>
  </si>
  <si>
    <t xml:space="preserve">E202404-6204</t>
  </si>
  <si>
    <t xml:space="preserve">E202404-6205</t>
  </si>
  <si>
    <t xml:space="preserve">E202404-6206</t>
  </si>
  <si>
    <t xml:space="preserve">E202404-6207</t>
  </si>
  <si>
    <t xml:space="preserve">E202404-6208</t>
  </si>
  <si>
    <t xml:space="preserve">E202405-6101</t>
  </si>
  <si>
    <t xml:space="preserve">E202405-6102</t>
  </si>
  <si>
    <t xml:space="preserve">E202405-6103</t>
  </si>
  <si>
    <t xml:space="preserve">E202405-6104</t>
  </si>
  <si>
    <t xml:space="preserve">E202405-6105</t>
  </si>
  <si>
    <t xml:space="preserve">E202405-6201</t>
  </si>
  <si>
    <t xml:space="preserve">E202405-6202</t>
  </si>
  <si>
    <t xml:space="preserve">E202405-6203</t>
  </si>
  <si>
    <t xml:space="preserve">E202405-6204</t>
  </si>
  <si>
    <t xml:space="preserve">E202405-6205</t>
  </si>
  <si>
    <t xml:space="preserve">E202405-6206</t>
  </si>
  <si>
    <t xml:space="preserve">E202405-6207</t>
  </si>
  <si>
    <t xml:space="preserve">E202405-6208</t>
  </si>
  <si>
    <t xml:space="preserve">E202406-6101</t>
  </si>
  <si>
    <t xml:space="preserve">E202406-6102</t>
  </si>
  <si>
    <t xml:space="preserve">E202406-6103</t>
  </si>
  <si>
    <t xml:space="preserve">E202406-6104</t>
  </si>
  <si>
    <t xml:space="preserve">E202406-6105</t>
  </si>
  <si>
    <t xml:space="preserve">E202406-6201</t>
  </si>
  <si>
    <t xml:space="preserve">E202406-6202</t>
  </si>
  <si>
    <t xml:space="preserve">E202406-6203</t>
  </si>
  <si>
    <t xml:space="preserve">E202406-6204</t>
  </si>
  <si>
    <t xml:space="preserve">E202406-6205</t>
  </si>
  <si>
    <t xml:space="preserve">E202406-6206</t>
  </si>
  <si>
    <t xml:space="preserve">E202406-6207</t>
  </si>
  <si>
    <t xml:space="preserve">E202406-6208</t>
  </si>
  <si>
    <t xml:space="preserve">E202407-6101</t>
  </si>
  <si>
    <t xml:space="preserve">E202407-6102</t>
  </si>
  <si>
    <t xml:space="preserve">E202407-6103</t>
  </si>
  <si>
    <t xml:space="preserve">E202407-6104</t>
  </si>
  <si>
    <t xml:space="preserve">E202407-6105</t>
  </si>
  <si>
    <t xml:space="preserve">E202407-6201</t>
  </si>
  <si>
    <t xml:space="preserve">E202407-6202</t>
  </si>
  <si>
    <t xml:space="preserve">E202407-6203</t>
  </si>
  <si>
    <t xml:space="preserve">E202407-6204</t>
  </si>
  <si>
    <t xml:space="preserve">E202407-6205</t>
  </si>
  <si>
    <t xml:space="preserve">E202407-6206</t>
  </si>
  <si>
    <t xml:space="preserve">E202407-6207</t>
  </si>
  <si>
    <t xml:space="preserve">E202407-6208</t>
  </si>
  <si>
    <t xml:space="preserve">E202408-6101</t>
  </si>
  <si>
    <t xml:space="preserve">E202408-6102</t>
  </si>
  <si>
    <t xml:space="preserve">E202408-6103</t>
  </si>
  <si>
    <t xml:space="preserve">E202408-6104</t>
  </si>
  <si>
    <t xml:space="preserve">E202408-6105</t>
  </si>
  <si>
    <t xml:space="preserve">E202408-6201</t>
  </si>
  <si>
    <t xml:space="preserve">E202408-6202</t>
  </si>
  <si>
    <t xml:space="preserve">E202408-6203</t>
  </si>
  <si>
    <t xml:space="preserve">E202408-6204</t>
  </si>
  <si>
    <t xml:space="preserve">E202408-6205</t>
  </si>
  <si>
    <t xml:space="preserve">E202408-6206</t>
  </si>
  <si>
    <t xml:space="preserve">E202408-6207</t>
  </si>
  <si>
    <t xml:space="preserve">E202408-6208</t>
  </si>
  <si>
    <t xml:space="preserve">E202409-6101</t>
  </si>
  <si>
    <t xml:space="preserve">E202409-6102</t>
  </si>
  <si>
    <t xml:space="preserve">E202409-6103</t>
  </si>
  <si>
    <t xml:space="preserve">E202409-6104</t>
  </si>
  <si>
    <t xml:space="preserve">E202409-6105</t>
  </si>
  <si>
    <t xml:space="preserve">E202409-6201</t>
  </si>
  <si>
    <t xml:space="preserve">E202409-6202</t>
  </si>
  <si>
    <t xml:space="preserve">E202409-6203</t>
  </si>
  <si>
    <t xml:space="preserve">E202409-6204</t>
  </si>
  <si>
    <t xml:space="preserve">E202409-6205</t>
  </si>
  <si>
    <t xml:space="preserve">E202409-6206</t>
  </si>
  <si>
    <t xml:space="preserve">E202409-6207</t>
  </si>
  <si>
    <t xml:space="preserve">E202409-6208</t>
  </si>
  <si>
    <t xml:space="preserve">E202410-6101</t>
  </si>
  <si>
    <t xml:space="preserve">E202410-6102</t>
  </si>
  <si>
    <t xml:space="preserve">E202410-6103</t>
  </si>
  <si>
    <t xml:space="preserve">E202410-6104</t>
  </si>
  <si>
    <t xml:space="preserve">E202410-6105</t>
  </si>
  <si>
    <t xml:space="preserve">E202410-6201</t>
  </si>
  <si>
    <t xml:space="preserve">E202410-6202</t>
  </si>
  <si>
    <t xml:space="preserve">E202410-6203</t>
  </si>
  <si>
    <t xml:space="preserve">E202410-6204</t>
  </si>
  <si>
    <t xml:space="preserve">E202410-6205</t>
  </si>
  <si>
    <t xml:space="preserve">E202410-6206</t>
  </si>
  <si>
    <t xml:space="preserve">E202410-6207</t>
  </si>
  <si>
    <t xml:space="preserve">E202410-6208</t>
  </si>
  <si>
    <t xml:space="preserve">E202411-6101</t>
  </si>
  <si>
    <t xml:space="preserve">E202411-6102</t>
  </si>
  <si>
    <t xml:space="preserve">E202411-6103</t>
  </si>
  <si>
    <t xml:space="preserve">E202411-6104</t>
  </si>
  <si>
    <t xml:space="preserve">E202411-6105</t>
  </si>
  <si>
    <t xml:space="preserve">E202411-6201</t>
  </si>
  <si>
    <t xml:space="preserve">E202411-6202</t>
  </si>
  <si>
    <t xml:space="preserve">E202411-6203</t>
  </si>
  <si>
    <t xml:space="preserve">E202411-6204</t>
  </si>
  <si>
    <t xml:space="preserve">E202411-6205</t>
  </si>
  <si>
    <t xml:space="preserve">E202411-6206</t>
  </si>
  <si>
    <t xml:space="preserve">E202411-6207</t>
  </si>
  <si>
    <t xml:space="preserve">E202411-6208</t>
  </si>
  <si>
    <t xml:space="preserve">E202412-6101</t>
  </si>
  <si>
    <t xml:space="preserve">E202412-6102</t>
  </si>
  <si>
    <t xml:space="preserve">E202412-6103</t>
  </si>
  <si>
    <t xml:space="preserve">E202412-6104</t>
  </si>
  <si>
    <t xml:space="preserve">E202412-6105</t>
  </si>
  <si>
    <t xml:space="preserve">E202412-6201</t>
  </si>
  <si>
    <t xml:space="preserve">E202412-6202</t>
  </si>
  <si>
    <t xml:space="preserve">E202412-6203</t>
  </si>
  <si>
    <t xml:space="preserve">E202412-6204</t>
  </si>
  <si>
    <t xml:space="preserve">E202412-6205</t>
  </si>
  <si>
    <t xml:space="preserve">E202412-6206</t>
  </si>
  <si>
    <t xml:space="preserve">E202412-6207</t>
  </si>
  <si>
    <t xml:space="preserve">E202412-6208</t>
  </si>
  <si>
    <t xml:space="preserve">E202501-6101</t>
  </si>
  <si>
    <t xml:space="preserve">E202501-6102</t>
  </si>
  <si>
    <t xml:space="preserve">E202501-6103</t>
  </si>
  <si>
    <t xml:space="preserve">E202501-6104</t>
  </si>
  <si>
    <t xml:space="preserve">E202501-6105</t>
  </si>
  <si>
    <t xml:space="preserve">E202501-6201</t>
  </si>
  <si>
    <t xml:space="preserve">E202501-6202</t>
  </si>
  <si>
    <t xml:space="preserve">E202501-6203</t>
  </si>
  <si>
    <t xml:space="preserve">E202501-6204</t>
  </si>
  <si>
    <t xml:space="preserve">E202501-6205</t>
  </si>
  <si>
    <t xml:space="preserve">E202501-6206</t>
  </si>
  <si>
    <t xml:space="preserve">E202501-6207</t>
  </si>
  <si>
    <t xml:space="preserve">E202501-6208</t>
  </si>
  <si>
    <t xml:space="preserve">E202502-6101</t>
  </si>
  <si>
    <t xml:space="preserve">E202502-6102</t>
  </si>
  <si>
    <t xml:space="preserve">E202502-6103</t>
  </si>
  <si>
    <t xml:space="preserve">E202502-6104</t>
  </si>
  <si>
    <t xml:space="preserve">E202502-6105</t>
  </si>
  <si>
    <t xml:space="preserve">E202502-6201</t>
  </si>
  <si>
    <t xml:space="preserve">E202502-6202</t>
  </si>
  <si>
    <t xml:space="preserve">E202502-6203</t>
  </si>
  <si>
    <t xml:space="preserve">E202502-6204</t>
  </si>
  <si>
    <t xml:space="preserve">E202502-6205</t>
  </si>
  <si>
    <t xml:space="preserve">E202502-6206</t>
  </si>
  <si>
    <t xml:space="preserve">E202502-6207</t>
  </si>
  <si>
    <t xml:space="preserve">E202502-6208</t>
  </si>
  <si>
    <t xml:space="preserve">E202503-6101</t>
  </si>
  <si>
    <t xml:space="preserve">E202503-6102</t>
  </si>
  <si>
    <t xml:space="preserve">E202503-6103</t>
  </si>
  <si>
    <t xml:space="preserve">E202503-6104</t>
  </si>
  <si>
    <t xml:space="preserve">E202503-6105</t>
  </si>
  <si>
    <t xml:space="preserve">E202503-6201</t>
  </si>
  <si>
    <t xml:space="preserve">E202503-6202</t>
  </si>
  <si>
    <t xml:space="preserve">E202503-6203</t>
  </si>
  <si>
    <t xml:space="preserve">E202503-6204</t>
  </si>
  <si>
    <t xml:space="preserve">E202503-6205</t>
  </si>
  <si>
    <t xml:space="preserve">E202503-6206</t>
  </si>
  <si>
    <t xml:space="preserve">E202503-6207</t>
  </si>
  <si>
    <t xml:space="preserve">E202503-6208</t>
  </si>
  <si>
    <t xml:space="preserve">E202504-6101</t>
  </si>
  <si>
    <t xml:space="preserve">E202504-6102</t>
  </si>
  <si>
    <t xml:space="preserve">E202504-6103</t>
  </si>
  <si>
    <t xml:space="preserve">E202504-6104</t>
  </si>
  <si>
    <t xml:space="preserve">E202504-6105</t>
  </si>
  <si>
    <t xml:space="preserve">E202504-6201</t>
  </si>
  <si>
    <t xml:space="preserve">E202504-6202</t>
  </si>
  <si>
    <t xml:space="preserve">E202504-6203</t>
  </si>
  <si>
    <t xml:space="preserve">E202504-6204</t>
  </si>
  <si>
    <t xml:space="preserve">E202504-6205</t>
  </si>
  <si>
    <t xml:space="preserve">E202504-6206</t>
  </si>
  <si>
    <t xml:space="preserve">E202504-6207</t>
  </si>
  <si>
    <t xml:space="preserve">E202504-6208</t>
  </si>
  <si>
    <t xml:space="preserve">E202505-6101</t>
  </si>
  <si>
    <t xml:space="preserve">E202505-6102</t>
  </si>
  <si>
    <t xml:space="preserve">E202505-6103</t>
  </si>
  <si>
    <t xml:space="preserve">E202505-6104</t>
  </si>
  <si>
    <t xml:space="preserve">E202505-6105</t>
  </si>
  <si>
    <t xml:space="preserve">E202505-6201</t>
  </si>
  <si>
    <t xml:space="preserve">E202505-6202</t>
  </si>
  <si>
    <t xml:space="preserve">E202505-6203</t>
  </si>
  <si>
    <t xml:space="preserve">E202505-6204</t>
  </si>
  <si>
    <t xml:space="preserve">E202505-6205</t>
  </si>
  <si>
    <t xml:space="preserve">E202505-6206</t>
  </si>
  <si>
    <t xml:space="preserve">E202505-6207</t>
  </si>
  <si>
    <t xml:space="preserve">E202505-6208</t>
  </si>
  <si>
    <t xml:space="preserve">E202506-6101</t>
  </si>
  <si>
    <t xml:space="preserve">E202506-6102</t>
  </si>
  <si>
    <t xml:space="preserve">E202506-6103</t>
  </si>
  <si>
    <t xml:space="preserve">E202506-6104</t>
  </si>
  <si>
    <t xml:space="preserve">E202506-6105</t>
  </si>
  <si>
    <t xml:space="preserve">E202506-6201</t>
  </si>
  <si>
    <t xml:space="preserve">E202506-6202</t>
  </si>
  <si>
    <t xml:space="preserve">E202506-6203</t>
  </si>
  <si>
    <t xml:space="preserve">E202506-6204</t>
  </si>
  <si>
    <t xml:space="preserve">E202506-6205</t>
  </si>
  <si>
    <t xml:space="preserve">E202506-6206</t>
  </si>
  <si>
    <t xml:space="preserve">E202506-6207</t>
  </si>
  <si>
    <t xml:space="preserve">E202506-6208</t>
  </si>
  <si>
    <t xml:space="preserve">E202507-6101</t>
  </si>
  <si>
    <t xml:space="preserve">E202507-6102</t>
  </si>
  <si>
    <t xml:space="preserve">E202507-6103</t>
  </si>
  <si>
    <t xml:space="preserve">E202507-6104</t>
  </si>
  <si>
    <t xml:space="preserve">E202507-6105</t>
  </si>
  <si>
    <t xml:space="preserve">E202507-6201</t>
  </si>
  <si>
    <t xml:space="preserve">E202507-6202</t>
  </si>
  <si>
    <t xml:space="preserve">E202507-6203</t>
  </si>
  <si>
    <t xml:space="preserve">E202507-6204</t>
  </si>
  <si>
    <t xml:space="preserve">E202507-6205</t>
  </si>
  <si>
    <t xml:space="preserve">E202507-6206</t>
  </si>
  <si>
    <t xml:space="preserve">E202507-6207</t>
  </si>
  <si>
    <t xml:space="preserve">E202507-6208</t>
  </si>
  <si>
    <t xml:space="preserve">E202508-6101</t>
  </si>
  <si>
    <t xml:space="preserve">E202508-6102</t>
  </si>
  <si>
    <t xml:space="preserve">E202508-6103</t>
  </si>
  <si>
    <t xml:space="preserve">E202508-6104</t>
  </si>
  <si>
    <t xml:space="preserve">E202508-6105</t>
  </si>
  <si>
    <t xml:space="preserve">E202508-6201</t>
  </si>
  <si>
    <t xml:space="preserve">E202508-6202</t>
  </si>
  <si>
    <t xml:space="preserve">E202508-6203</t>
  </si>
  <si>
    <t xml:space="preserve">E202508-6204</t>
  </si>
  <si>
    <t xml:space="preserve">E202508-6205</t>
  </si>
  <si>
    <t xml:space="preserve">E202508-6206</t>
  </si>
  <si>
    <t xml:space="preserve">E202508-6207</t>
  </si>
  <si>
    <t xml:space="preserve">E202508-6208</t>
  </si>
  <si>
    <t xml:space="preserve">E202509-6101</t>
  </si>
  <si>
    <t xml:space="preserve">E202509-6102</t>
  </si>
  <si>
    <t xml:space="preserve">E202509-6103</t>
  </si>
  <si>
    <t xml:space="preserve">E202509-6104</t>
  </si>
  <si>
    <t xml:space="preserve">E202509-6105</t>
  </si>
  <si>
    <t xml:space="preserve">E202509-6201</t>
  </si>
  <si>
    <t xml:space="preserve">E202509-6202</t>
  </si>
  <si>
    <t xml:space="preserve">E202509-6203</t>
  </si>
  <si>
    <t xml:space="preserve">E202509-6204</t>
  </si>
  <si>
    <t xml:space="preserve">E202509-6205</t>
  </si>
  <si>
    <t xml:space="preserve">E202509-6206</t>
  </si>
  <si>
    <t xml:space="preserve">E202509-6207</t>
  </si>
  <si>
    <t xml:space="preserve">E202509-6208</t>
  </si>
  <si>
    <t xml:space="preserve">E202510-6101</t>
  </si>
  <si>
    <t xml:space="preserve">E202510-6102</t>
  </si>
  <si>
    <t xml:space="preserve">E202510-6103</t>
  </si>
  <si>
    <t xml:space="preserve">E202510-6104</t>
  </si>
  <si>
    <t xml:space="preserve">E202510-6105</t>
  </si>
  <si>
    <t xml:space="preserve">E202510-6201</t>
  </si>
  <si>
    <t xml:space="preserve">E202510-6202</t>
  </si>
  <si>
    <t xml:space="preserve">E202510-6203</t>
  </si>
  <si>
    <t xml:space="preserve">E202510-6204</t>
  </si>
  <si>
    <t xml:space="preserve">E202510-6205</t>
  </si>
  <si>
    <t xml:space="preserve">E202510-6206</t>
  </si>
  <si>
    <t xml:space="preserve">E202510-6207</t>
  </si>
  <si>
    <t xml:space="preserve">E202510-6208</t>
  </si>
  <si>
    <t xml:space="preserve">E202511-6101</t>
  </si>
  <si>
    <t xml:space="preserve">E202511-6102</t>
  </si>
  <si>
    <t xml:space="preserve">E202511-6103</t>
  </si>
  <si>
    <t xml:space="preserve">E202511-6104</t>
  </si>
  <si>
    <t xml:space="preserve">E202511-6105</t>
  </si>
  <si>
    <t xml:space="preserve">E202511-6201</t>
  </si>
  <si>
    <t xml:space="preserve">E202511-6202</t>
  </si>
  <si>
    <t xml:space="preserve">E202511-6203</t>
  </si>
  <si>
    <t xml:space="preserve">E202511-6204</t>
  </si>
  <si>
    <t xml:space="preserve">E202511-6205</t>
  </si>
  <si>
    <t xml:space="preserve">E202511-6206</t>
  </si>
  <si>
    <t xml:space="preserve">E202511-6207</t>
  </si>
  <si>
    <t xml:space="preserve">E202511-6208</t>
  </si>
  <si>
    <t xml:space="preserve">E202512-6101</t>
  </si>
  <si>
    <t xml:space="preserve">E202512-6102</t>
  </si>
  <si>
    <t xml:space="preserve">E202512-6103</t>
  </si>
  <si>
    <t xml:space="preserve">E202512-6104</t>
  </si>
  <si>
    <t xml:space="preserve">E202512-6105</t>
  </si>
  <si>
    <t xml:space="preserve">E202512-6201</t>
  </si>
  <si>
    <t xml:space="preserve">E202512-6202</t>
  </si>
  <si>
    <t xml:space="preserve">E202512-6203</t>
  </si>
  <si>
    <t xml:space="preserve">E202512-6204</t>
  </si>
  <si>
    <t xml:space="preserve">E202512-6205</t>
  </si>
  <si>
    <t xml:space="preserve">E202512-6206</t>
  </si>
  <si>
    <t xml:space="preserve">E202512-6207</t>
  </si>
  <si>
    <t xml:space="preserve">E202512-6208</t>
  </si>
  <si>
    <t xml:space="preserve">Chart Data</t>
  </si>
  <si>
    <t xml:space="preserve">Sampaguita Foods &amp; Distribution Corporation (SFDC)  |  Helper tables feeding the Dashboard charts</t>
  </si>
  <si>
    <t xml:space="preserve">Operating margin (ABC)</t>
  </si>
  <si>
    <t xml:space="preserve">Operating margin (traditional)</t>
  </si>
  <si>
    <t xml:space="preserve">Cost of sales / case</t>
  </si>
  <si>
    <t xml:space="preserve">Operating cost / case (ABC)</t>
  </si>
  <si>
    <t xml:space="preserve">Operating profit / case (ABC)</t>
  </si>
  <si>
    <t xml:space="preserve">Sales as % of actual</t>
  </si>
  <si>
    <t xml:space="preserve">Total costs</t>
  </si>
  <si>
    <t xml:space="preserve">Actual net sales</t>
  </si>
  <si>
    <t xml:space="preserve">Break-even (mix basis)</t>
  </si>
  <si>
    <t xml:space="preserve">Best category (ABC margin)</t>
  </si>
  <si>
    <t xml:space="preserve">Weakest category (ABC margin)</t>
  </si>
  <si>
    <t xml:space="preserve">Largest costing distortion</t>
  </si>
  <si>
    <t xml:space="preserve">Distortion sign: ABC profit minus traditional</t>
  </si>
  <si>
    <t xml:space="preserve">Model Integrity Checks</t>
  </si>
  <si>
    <t xml:space="preserve">Sampaguita Foods &amp; Distribution Corporation (SFDC)  |  Every check compares two independently derived figures</t>
  </si>
  <si>
    <t xml:space="preserve">Status</t>
  </si>
  <si>
    <t xml:space="preserve">#</t>
  </si>
  <si>
    <t xml:space="preserve">Check</t>
  </si>
  <si>
    <t xml:space="preserve">Tolerance</t>
  </si>
  <si>
    <t xml:space="preserve">Result</t>
  </si>
  <si>
    <t xml:space="preserve">Net sales by category = Project 1 net sales</t>
  </si>
  <si>
    <t xml:space="preserve">Cost of sales by category = Project 1 cost of sales</t>
  </si>
  <si>
    <t xml:space="preserve">Total operating expenses allocated (ABC) = Project 1 total operating expenses</t>
  </si>
  <si>
    <t xml:space="preserve">Total operating expenses allocated (traditional) = Project 1</t>
  </si>
  <si>
    <t xml:space="preserve">Operating profit (ABC) = Project 1 operating profit</t>
  </si>
  <si>
    <t xml:space="preserve">Operating profit (traditional) = Project 1 operating profit</t>
  </si>
  <si>
    <t xml:space="preserve">Every cost pool is fully allocated (sum of allocation differences)</t>
  </si>
  <si>
    <t xml:space="preserve">Depreciation pools = Project 1 depreciation</t>
  </si>
  <si>
    <t xml:space="preserve">Promotion share totals 100%</t>
  </si>
  <si>
    <t xml:space="preserve">Pallet-position share totals 100%</t>
  </si>
  <si>
    <t xml:space="preserve">Contribution margin = Project 1 contribution margin</t>
  </si>
  <si>
    <t xml:space="preserve">Variable operating expenses = Project 1</t>
  </si>
  <si>
    <t xml:space="preserve">Fixed operating expenses (excl. depreciation) = Project 1</t>
  </si>
  <si>
    <t xml:space="preserve">Break-even net sales = Project 1</t>
  </si>
  <si>
    <t xml:space="preserve">Margin of safety % = Project 1</t>
  </si>
  <si>
    <t xml:space="preserve">Degree of operating leverage = Project 1</t>
  </si>
  <si>
    <t xml:space="preserve">Category break-evens (mix basis) add to company break-even</t>
  </si>
  <si>
    <t xml:space="preserve">CVP operating profit = Product costing operating profit</t>
  </si>
  <si>
    <t xml:space="preserve">Sensitivity base case operating profit = CVP operating profit</t>
  </si>
  <si>
    <t xml:space="preserve">Ledger sales for the year = Project 1 net sales</t>
  </si>
</sst>
</file>

<file path=xl/styles.xml><?xml version="1.0" encoding="utf-8"?>
<styleSheet xmlns="http://schemas.openxmlformats.org/spreadsheetml/2006/main">
  <numFmts count="15">
    <numFmt numFmtId="164" formatCode="General"/>
    <numFmt numFmtId="165" formatCode="#,##0;\(#,##0\);\-"/>
    <numFmt numFmtId="166" formatCode="0.0%;\(0.0%\);\-"/>
    <numFmt numFmtId="167" formatCode="0.00\x"/>
    <numFmt numFmtId="168" formatCode="@"/>
    <numFmt numFmtId="169" formatCode="#,##0.0;\(#,##0.0\);\-"/>
    <numFmt numFmtId="170" formatCode="0"/>
    <numFmt numFmtId="171" formatCode="0.0000"/>
    <numFmt numFmtId="172" formatCode="#,##0.00;\(#,##0.00\);\-"/>
    <numFmt numFmtId="173" formatCode="0.00%;\(0.00%\);\-"/>
    <numFmt numFmtId="174" formatCode="0.0000%"/>
    <numFmt numFmtId="175" formatCode="0.000"/>
    <numFmt numFmtId="176" formatCode="0.00"/>
    <numFmt numFmtId="177" formatCode="dd\-mmm\-yyyy"/>
    <numFmt numFmtId="178" formatCode="0%"/>
  </numFmts>
  <fonts count="32">
    <font>
      <sz val="11"/>
      <color theme="1"/>
      <name val="Calibri"/>
      <family val="2"/>
      <charset val="1"/>
    </font>
    <font>
      <sz val="10"/>
      <name val="Arial"/>
      <family val="0"/>
    </font>
    <font>
      <sz val="10"/>
      <name val="Arial"/>
      <family val="0"/>
    </font>
    <font>
      <sz val="10"/>
      <name val="Arial"/>
      <family val="0"/>
    </font>
    <font>
      <b val="true"/>
      <sz val="10"/>
      <color rgb="FFC9A227"/>
      <name val="Arial"/>
      <family val="0"/>
      <charset val="1"/>
    </font>
    <font>
      <b val="true"/>
      <sz val="26"/>
      <color rgb="FFFFFFFF"/>
      <name val="Arial"/>
      <family val="0"/>
      <charset val="1"/>
    </font>
    <font>
      <sz val="13"/>
      <color rgb="FFFFFFFF"/>
      <name val="Arial"/>
      <family val="0"/>
      <charset val="1"/>
    </font>
    <font>
      <sz val="10"/>
      <color rgb="FFD5DEEA"/>
      <name val="Arial"/>
      <family val="0"/>
      <charset val="1"/>
    </font>
    <font>
      <sz val="9"/>
      <color rgb="FFD5DEEA"/>
      <name val="Arial"/>
      <family val="0"/>
      <charset val="1"/>
    </font>
    <font>
      <b val="true"/>
      <sz val="10"/>
      <color rgb="FF000000"/>
      <name val="Arial"/>
      <family val="0"/>
      <charset val="1"/>
    </font>
    <font>
      <sz val="9"/>
      <color rgb="FF000000"/>
      <name val="Arial"/>
      <family val="0"/>
      <charset val="1"/>
    </font>
    <font>
      <sz val="9"/>
      <color rgb="FF595959"/>
      <name val="Arial"/>
      <family val="0"/>
      <charset val="1"/>
    </font>
    <font>
      <b val="true"/>
      <sz val="10"/>
      <color rgb="FF0B1F3A"/>
      <name val="Arial"/>
      <family val="0"/>
      <charset val="1"/>
    </font>
    <font>
      <b val="true"/>
      <sz val="9"/>
      <color rgb="FFC9A227"/>
      <name val="Arial"/>
      <family val="0"/>
      <charset val="1"/>
    </font>
    <font>
      <b val="true"/>
      <sz val="10"/>
      <color rgb="FF0563C1"/>
      <name val="Arial"/>
      <family val="0"/>
      <charset val="1"/>
    </font>
    <font>
      <b val="true"/>
      <sz val="16"/>
      <color rgb="FF0B1F3A"/>
      <name val="Arial"/>
      <family val="0"/>
      <charset val="1"/>
    </font>
    <font>
      <sz val="9"/>
      <color rgb="FF0563C1"/>
      <name val="Arial"/>
      <family val="0"/>
      <charset val="1"/>
    </font>
    <font>
      <b val="true"/>
      <sz val="10"/>
      <color rgb="FFFFFFFF"/>
      <name val="Arial"/>
      <family val="0"/>
      <charset val="1"/>
    </font>
    <font>
      <b val="true"/>
      <sz val="8"/>
      <color rgb="FF595959"/>
      <name val="Arial"/>
      <family val="0"/>
      <charset val="1"/>
    </font>
    <font>
      <b val="true"/>
      <sz val="18"/>
      <color rgb="FF000000"/>
      <name val="Calibri"/>
      <family val="2"/>
    </font>
    <font>
      <sz val="10"/>
      <color rgb="FF000000"/>
      <name val="Calibri"/>
      <family val="2"/>
    </font>
    <font>
      <b val="true"/>
      <sz val="9"/>
      <color rgb="FF0B1F3A"/>
      <name val="Arial"/>
      <family val="0"/>
      <charset val="1"/>
    </font>
    <font>
      <sz val="10"/>
      <color rgb="FF000000"/>
      <name val="Arial"/>
      <family val="0"/>
      <charset val="1"/>
    </font>
    <font>
      <sz val="10"/>
      <color rgb="FF008000"/>
      <name val="Arial"/>
      <family val="0"/>
      <charset val="1"/>
    </font>
    <font>
      <i val="true"/>
      <sz val="8"/>
      <color rgb="FF595959"/>
      <name val="Arial"/>
      <family val="0"/>
      <charset val="1"/>
    </font>
    <font>
      <sz val="9"/>
      <color rgb="FF0000FF"/>
      <name val="Arial"/>
      <family val="0"/>
      <charset val="1"/>
    </font>
    <font>
      <sz val="10"/>
      <color rgb="FF595959"/>
      <name val="Arial"/>
      <family val="0"/>
      <charset val="1"/>
    </font>
    <font>
      <sz val="8"/>
      <color rgb="FF595959"/>
      <name val="Arial"/>
      <family val="0"/>
      <charset val="1"/>
    </font>
    <font>
      <b val="true"/>
      <sz val="10"/>
      <color rgb="FF008000"/>
      <name val="Arial"/>
      <family val="0"/>
      <charset val="1"/>
    </font>
    <font>
      <sz val="10"/>
      <color rgb="FF0000FF"/>
      <name val="Arial"/>
      <family val="0"/>
      <charset val="1"/>
    </font>
    <font>
      <b val="true"/>
      <sz val="10"/>
      <color rgb="FF0000FF"/>
      <name val="Arial"/>
      <family val="0"/>
      <charset val="1"/>
    </font>
    <font>
      <b val="true"/>
      <sz val="14"/>
      <color rgb="FF0B1F3A"/>
      <name val="Arial"/>
      <family val="0"/>
      <charset val="1"/>
    </font>
  </fonts>
  <fills count="6">
    <fill>
      <patternFill patternType="none"/>
    </fill>
    <fill>
      <patternFill patternType="gray125"/>
    </fill>
    <fill>
      <patternFill patternType="solid">
        <fgColor rgb="FF0B1F3A"/>
        <bgColor rgb="FF333333"/>
      </patternFill>
    </fill>
    <fill>
      <patternFill patternType="solid">
        <fgColor rgb="FFEEF2F7"/>
        <bgColor rgb="FFE2F0D9"/>
      </patternFill>
    </fill>
    <fill>
      <patternFill patternType="solid">
        <fgColor rgb="FFD5DEEA"/>
        <bgColor rgb="FFD9D9D9"/>
      </patternFill>
    </fill>
    <fill>
      <patternFill patternType="solid">
        <fgColor rgb="FFFFF4CC"/>
        <bgColor rgb="FFFFE0E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0B1F3A"/>
      </bottom>
      <diagonal/>
    </border>
    <border diagonalUp="false" diagonalDown="false">
      <left/>
      <right/>
      <top style="thin">
        <color rgb="FFBFBFBF"/>
      </top>
      <bottom style="double">
        <color rgb="FF0B1F3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3"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true" applyAlignment="true" applyProtection="false">
      <alignment horizontal="center" vertical="center" textRotation="0" wrapText="false" indent="0" shrinkToFit="false"/>
      <protection locked="true" hidden="false"/>
    </xf>
    <xf numFmtId="165" fontId="15" fillId="3" borderId="0" xfId="0" applyFont="true" applyBorder="true" applyAlignment="true" applyProtection="false">
      <alignment horizontal="center" vertical="center" textRotation="0" wrapText="false" indent="0" shrinkToFit="false"/>
      <protection locked="true" hidden="false"/>
    </xf>
    <xf numFmtId="166" fontId="15"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center" vertical="center" textRotation="0" wrapText="false" indent="0" shrinkToFit="false"/>
      <protection locked="true" hidden="false"/>
    </xf>
    <xf numFmtId="167" fontId="15" fillId="3" borderId="0" xfId="0" applyFont="true" applyBorder="true" applyAlignment="true" applyProtection="false">
      <alignment horizontal="center" vertical="center" textRotation="0" wrapText="false" indent="0" shrinkToFit="false"/>
      <protection locked="true" hidden="false"/>
    </xf>
    <xf numFmtId="168" fontId="15" fillId="3"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21" fillId="4" borderId="2" xfId="0" applyFont="true" applyBorder="true" applyAlignment="true" applyProtection="false">
      <alignment horizontal="left" vertical="center" textRotation="0" wrapText="tru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false" indent="1" shrinkToFit="false"/>
      <protection locked="true" hidden="false"/>
    </xf>
    <xf numFmtId="169" fontId="23" fillId="0" borderId="0" xfId="0" applyFont="true" applyBorder="false" applyAlignment="true" applyProtection="false">
      <alignment horizontal="general" vertical="center" textRotation="0" wrapText="false" indent="0" shrinkToFit="false"/>
      <protection locked="true" hidden="false"/>
    </xf>
    <xf numFmtId="169" fontId="9" fillId="0" borderId="0" xfId="0" applyFont="true" applyBorder="false" applyAlignment="true" applyProtection="false">
      <alignment horizontal="general" vertical="center" textRotation="0" wrapText="false" indent="0" shrinkToFit="false"/>
      <protection locked="true" hidden="false"/>
    </xf>
    <xf numFmtId="165" fontId="23" fillId="0" borderId="0" xfId="0" applyFont="true" applyBorder="false" applyAlignment="true" applyProtection="false">
      <alignment horizontal="general" vertical="center" textRotation="0" wrapText="false" indent="0" shrinkToFit="false"/>
      <protection locked="true" hidden="false"/>
    </xf>
    <xf numFmtId="165" fontId="9" fillId="0"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5" fontId="9" fillId="3" borderId="3" xfId="0" applyFont="true" applyBorder="true" applyAlignment="true" applyProtection="false">
      <alignment horizontal="general" vertical="center" textRotation="0" wrapText="false" indent="0" shrinkToFit="false"/>
      <protection locked="true" hidden="false"/>
    </xf>
    <xf numFmtId="166" fontId="22" fillId="0" borderId="0" xfId="0" applyFont="true" applyBorder="false" applyAlignment="true" applyProtection="false">
      <alignment horizontal="general" vertical="center" textRotation="0" wrapText="false" indent="0" shrinkToFit="false"/>
      <protection locked="true" hidden="false"/>
    </xf>
    <xf numFmtId="166" fontId="9" fillId="0" borderId="0" xfId="0" applyFont="true" applyBorder="false" applyAlignment="true" applyProtection="false">
      <alignment horizontal="general" vertical="center" textRotation="0" wrapText="false" indent="0" shrinkToFit="false"/>
      <protection locked="true" hidden="false"/>
    </xf>
    <xf numFmtId="165" fontId="22" fillId="0" borderId="0" xfId="0" applyFont="true" applyBorder="false" applyAlignment="true" applyProtection="false">
      <alignment horizontal="general" vertical="center" textRotation="0" wrapText="false" indent="0" shrinkToFit="false"/>
      <protection locked="true" hidden="false"/>
    </xf>
    <xf numFmtId="169" fontId="22" fillId="0" borderId="0" xfId="0" applyFont="true" applyBorder="false" applyAlignment="true" applyProtection="false">
      <alignment horizontal="general" vertical="center" textRotation="0" wrapText="false" indent="0" shrinkToFit="false"/>
      <protection locked="true" hidden="false"/>
    </xf>
    <xf numFmtId="170" fontId="22"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6" fontId="23"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8" fontId="25" fillId="0" borderId="0" xfId="0" applyFont="true" applyBorder="false" applyAlignment="true" applyProtection="false">
      <alignment horizontal="general"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2" fontId="22" fillId="0"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72" fontId="9" fillId="3" borderId="3" xfId="0" applyFont="true" applyBorder="tru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67" fontId="22" fillId="0" borderId="0" xfId="0" applyFont="true" applyBorder="false" applyAlignment="true" applyProtection="false">
      <alignment horizontal="general" vertical="center" textRotation="0" wrapText="false" indent="0" shrinkToFit="false"/>
      <protection locked="true" hidden="false"/>
    </xf>
    <xf numFmtId="167" fontId="9" fillId="0" borderId="0" xfId="0" applyFont="true" applyBorder="false" applyAlignment="true" applyProtection="false">
      <alignment horizontal="general" vertical="center" textRotation="0" wrapText="false" indent="0" shrinkToFit="false"/>
      <protection locked="true" hidden="false"/>
    </xf>
    <xf numFmtId="173" fontId="22" fillId="0" borderId="0" xfId="0" applyFont="true" applyBorder="false" applyAlignment="true" applyProtection="false">
      <alignment horizontal="general" vertical="center" textRotation="0" wrapText="false" indent="0" shrinkToFit="false"/>
      <protection locked="true" hidden="false"/>
    </xf>
    <xf numFmtId="173" fontId="23" fillId="0" borderId="0" xfId="0" applyFont="true" applyBorder="false" applyAlignment="true" applyProtection="false">
      <alignment horizontal="general" vertical="center" textRotation="0" wrapText="false" indent="0" shrinkToFit="false"/>
      <protection locked="true" hidden="false"/>
    </xf>
    <xf numFmtId="174" fontId="22" fillId="0" borderId="0" xfId="0" applyFont="true" applyBorder="false" applyAlignment="true" applyProtection="false">
      <alignment horizontal="general" vertical="center" textRotation="0" wrapText="false" indent="0" shrinkToFit="false"/>
      <protection locked="true" hidden="false"/>
    </xf>
    <xf numFmtId="175" fontId="22" fillId="0" borderId="0" xfId="0" applyFont="true" applyBorder="false" applyAlignment="true" applyProtection="false">
      <alignment horizontal="general" vertical="center" textRotation="0" wrapText="false" indent="0" shrinkToFit="false"/>
      <protection locked="true" hidden="false"/>
    </xf>
    <xf numFmtId="175" fontId="23"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0" fontId="27" fillId="0" borderId="0" xfId="0" applyFont="true" applyBorder="false" applyAlignment="true" applyProtection="false">
      <alignment horizontal="center" vertical="center" textRotation="0" wrapText="false" indent="0" shrinkToFit="false"/>
      <protection locked="true" hidden="false"/>
    </xf>
    <xf numFmtId="165" fontId="2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76" fontId="22" fillId="0" borderId="0" xfId="0" applyFont="true" applyBorder="false" applyAlignment="true" applyProtection="false">
      <alignment horizontal="general" vertical="center" textRotation="0" wrapText="false" indent="0" shrinkToFit="false"/>
      <protection locked="true" hidden="false"/>
    </xf>
    <xf numFmtId="168" fontId="22" fillId="0" borderId="0" xfId="0" applyFont="true" applyBorder="false" applyAlignment="true" applyProtection="false">
      <alignment horizontal="center" vertical="center" textRotation="0" wrapText="false" indent="0" shrinkToFit="false"/>
      <protection locked="true" hidden="false"/>
    </xf>
    <xf numFmtId="168" fontId="10" fillId="0" borderId="0" xfId="0" applyFont="true" applyBorder="false" applyAlignment="true" applyProtection="false">
      <alignment horizontal="general" vertical="center" textRotation="0" wrapText="false" indent="0" shrinkToFit="false"/>
      <protection locked="true" hidden="false"/>
    </xf>
    <xf numFmtId="173" fontId="9" fillId="3" borderId="3" xfId="0" applyFont="true" applyBorder="true" applyAlignment="true" applyProtection="false">
      <alignment horizontal="general" vertical="center" textRotation="0" wrapText="false" indent="0" shrinkToFit="false"/>
      <protection locked="true" hidden="false"/>
    </xf>
    <xf numFmtId="176" fontId="9" fillId="3" borderId="3" xfId="0" applyFont="true" applyBorder="true" applyAlignment="true" applyProtection="false">
      <alignment horizontal="general" vertical="center" textRotation="0" wrapText="false" indent="0" shrinkToFit="false"/>
      <protection locked="true" hidden="false"/>
    </xf>
    <xf numFmtId="173" fontId="9" fillId="0" borderId="0" xfId="0" applyFont="true" applyBorder="false" applyAlignment="true" applyProtection="false">
      <alignment horizontal="general" vertical="center" textRotation="0" wrapText="false" indent="0" shrinkToFit="false"/>
      <protection locked="true" hidden="false"/>
    </xf>
    <xf numFmtId="166" fontId="29" fillId="5" borderId="0" xfId="0" applyFont="true" applyBorder="false" applyAlignment="true" applyProtection="false">
      <alignment horizontal="general" vertical="center" textRotation="0" wrapText="false" indent="0" shrinkToFit="false"/>
      <protection locked="true" hidden="false"/>
    </xf>
    <xf numFmtId="166" fontId="9" fillId="3" borderId="3" xfId="0" applyFont="true" applyBorder="true" applyAlignment="true" applyProtection="false">
      <alignment horizontal="general" vertical="center" textRotation="0" wrapText="false" indent="0" shrinkToFit="false"/>
      <protection locked="true" hidden="false"/>
    </xf>
    <xf numFmtId="166" fontId="30" fillId="4" borderId="0" xfId="0" applyFont="true" applyBorder="false" applyAlignment="true" applyProtection="false">
      <alignment horizontal="center" vertical="center" textRotation="0" wrapText="false" indent="0" shrinkToFit="false"/>
      <protection locked="true" hidden="false"/>
    </xf>
    <xf numFmtId="166" fontId="30" fillId="4" borderId="0" xfId="0" applyFont="true" applyBorder="false" applyAlignment="true" applyProtection="false">
      <alignment horizontal="right" vertical="center" textRotation="0" wrapText="false" indent="0" shrinkToFit="false"/>
      <protection locked="true" hidden="false"/>
    </xf>
    <xf numFmtId="170" fontId="29" fillId="5" borderId="0" xfId="0" applyFont="true" applyBorder="false" applyAlignment="true" applyProtection="false">
      <alignment horizontal="general" vertical="center" textRotation="0" wrapText="false" indent="0" shrinkToFit="false"/>
      <protection locked="true" hidden="false"/>
    </xf>
    <xf numFmtId="165" fontId="29" fillId="5" borderId="0" xfId="0" applyFont="true" applyBorder="false" applyAlignment="true" applyProtection="false">
      <alignment horizontal="general" vertical="center" textRotation="0" wrapText="false" indent="0" shrinkToFit="false"/>
      <protection locked="true" hidden="false"/>
    </xf>
    <xf numFmtId="169" fontId="29" fillId="5" borderId="0" xfId="0" applyFont="true" applyBorder="false" applyAlignment="true" applyProtection="false">
      <alignment horizontal="general" vertical="center" textRotation="0" wrapText="false" indent="0" shrinkToFit="false"/>
      <protection locked="true" hidden="false"/>
    </xf>
    <xf numFmtId="176" fontId="29" fillId="5" borderId="0" xfId="0" applyFont="true" applyBorder="false" applyAlignment="true" applyProtection="false">
      <alignment horizontal="general" vertical="center" textRotation="0" wrapText="false" indent="0" shrinkToFit="false"/>
      <protection locked="true" hidden="false"/>
    </xf>
    <xf numFmtId="169" fontId="9" fillId="3" borderId="3" xfId="0" applyFont="true" applyBorder="true" applyAlignment="true" applyProtection="false">
      <alignment horizontal="general" vertical="center" textRotation="0" wrapText="false" indent="0" shrinkToFit="false"/>
      <protection locked="true" hidden="false"/>
    </xf>
    <xf numFmtId="165" fontId="29" fillId="0" borderId="0" xfId="0" applyFont="true" applyBorder="false" applyAlignment="true" applyProtection="false">
      <alignment horizontal="general" vertical="center" textRotation="0" wrapText="false" indent="0" shrinkToFit="false"/>
      <protection locked="true" hidden="false"/>
    </xf>
    <xf numFmtId="172" fontId="29" fillId="0" borderId="0" xfId="0" applyFont="true" applyBorder="false" applyAlignment="true" applyProtection="false">
      <alignment horizontal="general" vertical="center" textRotation="0" wrapText="false" indent="0" shrinkToFit="false"/>
      <protection locked="true" hidden="false"/>
    </xf>
    <xf numFmtId="174" fontId="29" fillId="0" borderId="0" xfId="0" applyFont="true" applyBorder="false" applyAlignment="true" applyProtection="false">
      <alignment horizontal="general" vertical="center" textRotation="0" wrapText="false" indent="0" shrinkToFit="false"/>
      <protection locked="true" hidden="false"/>
    </xf>
    <xf numFmtId="171" fontId="29"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77" fontId="29" fillId="0" borderId="0" xfId="0" applyFont="true" applyBorder="false" applyAlignment="true" applyProtection="false">
      <alignment horizontal="general" vertical="center" textRotation="0" wrapText="false" indent="0" shrinkToFit="false"/>
      <protection locked="true" hidden="false"/>
    </xf>
    <xf numFmtId="170" fontId="29" fillId="0" borderId="0" xfId="0" applyFont="true" applyBorder="false" applyAlignment="true" applyProtection="false">
      <alignment horizontal="general" vertical="center" textRotation="0" wrapText="false" indent="0" shrinkToFit="false"/>
      <protection locked="true" hidden="false"/>
    </xf>
    <xf numFmtId="168" fontId="29" fillId="0" borderId="0" xfId="0" applyFont="true" applyBorder="false" applyAlignment="true" applyProtection="false">
      <alignment horizontal="general" vertical="center" textRotation="0" wrapText="false" indent="0" shrinkToFit="false"/>
      <protection locked="true" hidden="false"/>
    </xf>
    <xf numFmtId="178" fontId="29" fillId="0" borderId="0" xfId="0" applyFont="true" applyBorder="false" applyAlignment="true" applyProtection="false">
      <alignment horizontal="general" vertical="center" textRotation="0" wrapText="false" indent="0" shrinkToFit="false"/>
      <protection locked="true" hidden="false"/>
    </xf>
    <xf numFmtId="168" fontId="22"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72" fontId="23"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color rgb="FF9C0006"/>
      </font>
      <fill>
        <patternFill>
          <bgColor rgb="FFFFE0E0"/>
        </patternFill>
      </fill>
    </dxf>
    <dxf>
      <font>
        <name val="Arial"/>
        <charset val="1"/>
        <family val="0"/>
        <color rgb="FF006100"/>
      </font>
      <fill>
        <patternFill>
          <bgColor rgb="FFE2F0D9"/>
        </patternFill>
      </fill>
    </dxf>
    <dxf>
      <fill>
        <patternFill patternType="solid">
          <fgColor rgb="FFD5DEEA"/>
          <bgColor rgb="FF000000"/>
        </patternFill>
      </fill>
    </dxf>
    <dxf>
      <fill>
        <patternFill patternType="solid">
          <bgColor rgb="FF000000"/>
        </patternFill>
      </fill>
    </dxf>
    <dxf>
      <fill>
        <patternFill patternType="solid">
          <fgColor rgb="FF0000FF"/>
          <bgColor rgb="FF000000"/>
        </patternFill>
      </fill>
    </dxf>
    <dxf>
      <fill>
        <patternFill patternType="solid">
          <fgColor rgb="FF0B1F3A"/>
          <bgColor rgb="FF000000"/>
        </patternFill>
      </fill>
    </dxf>
    <dxf>
      <fill>
        <patternFill patternType="solid">
          <fgColor rgb="FF000000"/>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AA8BD"/>
      <rgbColor rgb="FF993366"/>
      <rgbColor rgb="FFFFF4CC"/>
      <rgbColor rgb="FFE2F0D9"/>
      <rgbColor rgb="FF660066"/>
      <rgbColor rgb="FFFF8080"/>
      <rgbColor rgb="FF0563C1"/>
      <rgbColor rgb="FFD5DEEA"/>
      <rgbColor rgb="FF000080"/>
      <rgbColor rgb="FFFF00FF"/>
      <rgbColor rgb="FFFFFF00"/>
      <rgbColor rgb="FF00FFFF"/>
      <rgbColor rgb="FF800080"/>
      <rgbColor rgb="FF800000"/>
      <rgbColor rgb="FF008080"/>
      <rgbColor rgb="FF0000FF"/>
      <rgbColor rgb="FF00CCFF"/>
      <rgbColor rgb="FFEEF2F7"/>
      <rgbColor rgb="FFC6EFCE"/>
      <rgbColor rgb="FFFFE0E0"/>
      <rgbColor rgb="FFD9D9D9"/>
      <rgbColor rgb="FFFF99CC"/>
      <rgbColor rgb="FF7F8FA9"/>
      <rgbColor rgb="FFFFC7CE"/>
      <rgbColor rgb="FF3366FF"/>
      <rgbColor rgb="FF33CCCC"/>
      <rgbColor rgb="FF99CC00"/>
      <rgbColor rgb="FFFFCC00"/>
      <rgbColor rgb="FFC9A227"/>
      <rgbColor rgb="FFFF6600"/>
      <rgbColor rgb="FF595959"/>
      <rgbColor rgb="FF878787"/>
      <rgbColor rgb="FF0B1F3A"/>
      <rgbColor rgb="FF00B050"/>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margin: ABC vs traditional</a:t>
            </a:r>
          </a:p>
        </c:rich>
      </c:tx>
      <c:overlay val="0"/>
      <c:spPr>
        <a:noFill/>
        <a:ln w="0">
          <a:noFill/>
        </a:ln>
      </c:spPr>
    </c:title>
    <c:autoTitleDeleted val="0"/>
    <c:plotArea>
      <c:barChart>
        <c:barDir val="col"/>
        <c:grouping val="clustered"/>
        <c:varyColors val="0"/>
        <c:ser>
          <c:idx val="0"/>
          <c:order val="0"/>
          <c:tx>
            <c:strRef>
              <c:f>Chart_Data!C4</c:f>
              <c:strCache>
                <c:ptCount val="1"/>
                <c:pt idx="0">
                  <c:v>Operating margin (ABC)</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Chart_Data!$B$5:$B$8</c:f>
              <c:strCache>
                <c:ptCount val="4"/>
                <c:pt idx="0">
                  <c:v>Packaged Food</c:v>
                </c:pt>
                <c:pt idx="1">
                  <c:v>Beverages</c:v>
                </c:pt>
                <c:pt idx="2">
                  <c:v>Household &amp; PC</c:v>
                </c:pt>
                <c:pt idx="3">
                  <c:v>Fresh &amp; Frozen</c:v>
                </c:pt>
              </c:strCache>
            </c:strRef>
          </c:cat>
          <c:val>
            <c:numRef>
              <c:f>Chart_Data!$C$5:$C$8</c:f>
              <c:numCache>
                <c:formatCode>0.0%;\(0.0%\);\-</c:formatCode>
                <c:ptCount val="4"/>
                <c:pt idx="0">
                  <c:v>0.0723422589842535</c:v>
                </c:pt>
                <c:pt idx="1">
                  <c:v>0.0695823957945293</c:v>
                </c:pt>
                <c:pt idx="2">
                  <c:v>0.0960893771478762</c:v>
                </c:pt>
                <c:pt idx="3">
                  <c:v>-0.0444886059944089</c:v>
                </c:pt>
              </c:numCache>
            </c:numRef>
          </c:val>
        </c:ser>
        <c:ser>
          <c:idx val="1"/>
          <c:order val="1"/>
          <c:tx>
            <c:strRef>
              <c:f>Chart_Data!D4</c:f>
              <c:strCache>
                <c:ptCount val="1"/>
                <c:pt idx="0">
                  <c:v>Operating margin (traditional)</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Chart_Data!$B$5:$B$8</c:f>
              <c:strCache>
                <c:ptCount val="4"/>
                <c:pt idx="0">
                  <c:v>Packaged Food</c:v>
                </c:pt>
                <c:pt idx="1">
                  <c:v>Beverages</c:v>
                </c:pt>
                <c:pt idx="2">
                  <c:v>Household &amp; PC</c:v>
                </c:pt>
                <c:pt idx="3">
                  <c:v>Fresh &amp; Frozen</c:v>
                </c:pt>
              </c:strCache>
            </c:strRef>
          </c:cat>
          <c:val>
            <c:numRef>
              <c:f>Chart_Data!$D$5:$D$8</c:f>
              <c:numCache>
                <c:formatCode>0.0%;\(0.0%\);\-</c:formatCode>
                <c:ptCount val="4"/>
                <c:pt idx="0">
                  <c:v>0.0539144926467363</c:v>
                </c:pt>
                <c:pt idx="1">
                  <c:v>0.0730550058174895</c:v>
                </c:pt>
                <c:pt idx="2">
                  <c:v>0.103496155236629</c:v>
                </c:pt>
                <c:pt idx="3">
                  <c:v>-0.00697857539082404</c:v>
                </c:pt>
              </c:numCache>
            </c:numRef>
          </c:val>
        </c:ser>
        <c:gapWidth val="150"/>
        <c:overlap val="0"/>
        <c:axId val="80866643"/>
        <c:axId val="5865654"/>
      </c:barChart>
      <c:catAx>
        <c:axId val="8086664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865654"/>
        <c:crosses val="autoZero"/>
        <c:auto val="1"/>
        <c:lblAlgn val="ctr"/>
        <c:lblOffset val="100"/>
        <c:noMultiLvlLbl val="0"/>
      </c:catAx>
      <c:valAx>
        <c:axId val="5865654"/>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6664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build-up per case (PHP)</a:t>
            </a:r>
          </a:p>
        </c:rich>
      </c:tx>
      <c:overlay val="0"/>
      <c:spPr>
        <a:noFill/>
        <a:ln w="0">
          <a:noFill/>
        </a:ln>
      </c:spPr>
    </c:title>
    <c:autoTitleDeleted val="0"/>
    <c:plotArea>
      <c:barChart>
        <c:barDir val="col"/>
        <c:grouping val="stacked"/>
        <c:varyColors val="0"/>
        <c:ser>
          <c:idx val="0"/>
          <c:order val="0"/>
          <c:tx>
            <c:strRef>
              <c:f>Chart_Data!C11</c:f>
              <c:strCache>
                <c:ptCount val="1"/>
                <c:pt idx="0">
                  <c:v>Cost of sales / case</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Chart_Data!$B$12:$B$15</c:f>
              <c:strCache>
                <c:ptCount val="4"/>
                <c:pt idx="0">
                  <c:v>Packaged Food</c:v>
                </c:pt>
                <c:pt idx="1">
                  <c:v>Beverages</c:v>
                </c:pt>
                <c:pt idx="2">
                  <c:v>Household &amp; PC</c:v>
                </c:pt>
                <c:pt idx="3">
                  <c:v>Fresh &amp; Frozen</c:v>
                </c:pt>
              </c:strCache>
            </c:strRef>
          </c:cat>
          <c:val>
            <c:numRef>
              <c:f>Chart_Data!$C$12:$C$15</c:f>
              <c:numCache>
                <c:formatCode>#,##0.0;\(#,##0.0\);\-</c:formatCode>
                <c:ptCount val="4"/>
                <c:pt idx="0">
                  <c:v>485.922033898305</c:v>
                </c:pt>
                <c:pt idx="1">
                  <c:v>328.307692307692</c:v>
                </c:pt>
                <c:pt idx="2">
                  <c:v>426.357142857143</c:v>
                </c:pt>
                <c:pt idx="3">
                  <c:v>644.2125</c:v>
                </c:pt>
              </c:numCache>
            </c:numRef>
          </c:val>
        </c:ser>
        <c:ser>
          <c:idx val="1"/>
          <c:order val="1"/>
          <c:tx>
            <c:strRef>
              <c:f>Chart_Data!D11</c:f>
              <c:strCache>
                <c:ptCount val="1"/>
                <c:pt idx="0">
                  <c:v>Operating cost / case (ABC)</c:v>
                </c:pt>
              </c:strCache>
            </c:strRef>
          </c:tx>
          <c:spPr>
            <a:solidFill>
              <a:srgbClr val="7f8fa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Chart_Data!$B$12:$B$15</c:f>
              <c:strCache>
                <c:ptCount val="4"/>
                <c:pt idx="0">
                  <c:v>Packaged Food</c:v>
                </c:pt>
                <c:pt idx="1">
                  <c:v>Beverages</c:v>
                </c:pt>
                <c:pt idx="2">
                  <c:v>Household &amp; PC</c:v>
                </c:pt>
                <c:pt idx="3">
                  <c:v>Fresh &amp; Frozen</c:v>
                </c:pt>
              </c:strCache>
            </c:strRef>
          </c:cat>
          <c:val>
            <c:numRef>
              <c:f>Chart_Data!$D$12:$D$15</c:f>
              <c:numCache>
                <c:formatCode>#,##0.0;\(#,##0.0\);\-</c:formatCode>
                <c:ptCount val="4"/>
                <c:pt idx="0">
                  <c:v>115.498919518531</c:v>
                </c:pt>
                <c:pt idx="1">
                  <c:v>89.9250406645582</c:v>
                </c:pt>
                <c:pt idx="2">
                  <c:v>124.256784801004</c:v>
                </c:pt>
                <c:pt idx="3">
                  <c:v>186.084133173893</c:v>
                </c:pt>
              </c:numCache>
            </c:numRef>
          </c:val>
        </c:ser>
        <c:ser>
          <c:idx val="2"/>
          <c:order val="2"/>
          <c:tx>
            <c:strRef>
              <c:f>Chart_Data!E11</c:f>
              <c:strCache>
                <c:ptCount val="1"/>
                <c:pt idx="0">
                  <c:v>Operating profit / case (ABC)</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Chart_Data!$B$12:$B$15</c:f>
              <c:strCache>
                <c:ptCount val="4"/>
                <c:pt idx="0">
                  <c:v>Packaged Food</c:v>
                </c:pt>
                <c:pt idx="1">
                  <c:v>Beverages</c:v>
                </c:pt>
                <c:pt idx="2">
                  <c:v>Household &amp; PC</c:v>
                </c:pt>
                <c:pt idx="3">
                  <c:v>Fresh &amp; Frozen</c:v>
                </c:pt>
              </c:strCache>
            </c:strRef>
          </c:cat>
          <c:val>
            <c:numRef>
              <c:f>Chart_Data!$E$12:$E$15</c:f>
              <c:numCache>
                <c:formatCode>#,##0.0;\(#,##0.0\);\-</c:formatCode>
                <c:ptCount val="4"/>
                <c:pt idx="0">
                  <c:v>46.9010804814692</c:v>
                </c:pt>
                <c:pt idx="1">
                  <c:v>31.2780362585187</c:v>
                </c:pt>
                <c:pt idx="2">
                  <c:v>58.5325009132819</c:v>
                </c:pt>
                <c:pt idx="3">
                  <c:v>0</c:v>
                </c:pt>
              </c:numCache>
            </c:numRef>
          </c:val>
        </c:ser>
        <c:gapWidth val="150"/>
        <c:overlap val="100"/>
        <c:axId val="52324984"/>
        <c:axId val="34801191"/>
      </c:barChart>
      <c:catAx>
        <c:axId val="523249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01191"/>
        <c:crosses val="autoZero"/>
        <c:auto val="1"/>
        <c:lblAlgn val="ctr"/>
        <c:lblOffset val="100"/>
        <c:noMultiLvlLbl val="0"/>
      </c:catAx>
      <c:valAx>
        <c:axId val="34801191"/>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2498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CVP chart: revenue vs total cost (PHP '000)</a:t>
            </a:r>
          </a:p>
        </c:rich>
      </c:tx>
      <c:overlay val="0"/>
      <c:spPr>
        <a:noFill/>
        <a:ln w="0">
          <a:noFill/>
        </a:ln>
      </c:spPr>
    </c:title>
    <c:autoTitleDeleted val="0"/>
    <c:plotArea>
      <c:lineChart>
        <c:grouping val="standard"/>
        <c:varyColors val="0"/>
        <c:ser>
          <c:idx val="0"/>
          <c:order val="0"/>
          <c:tx>
            <c:strRef>
              <c:f>Chart_Data!C18</c:f>
              <c:strCache>
                <c:ptCount val="1"/>
                <c:pt idx="0">
                  <c:v>Net sales</c:v>
                </c:pt>
              </c:strCache>
            </c:strRef>
          </c:tx>
          <c:spPr>
            <a:solidFill>
              <a:srgbClr val="0b1f3a"/>
            </a:solidFill>
            <a:ln w="28440">
              <a:solidFill>
                <a:srgbClr val="0b1f3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Chart_Data!$B$19:$B$33</c:f>
              <c:strCache>
                <c:ptCount val="15"/>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strCache>
            </c:strRef>
          </c:cat>
          <c:val>
            <c:numRef>
              <c:f>Chart_Data!$C$19:$C$33</c:f>
              <c:numCache>
                <c:formatCode>#,##0;\(#,##0\);\-</c:formatCode>
                <c:ptCount val="15"/>
                <c:pt idx="0">
                  <c:v>0</c:v>
                </c:pt>
                <c:pt idx="1">
                  <c:v>97244.2</c:v>
                </c:pt>
                <c:pt idx="2">
                  <c:v>194488.4</c:v>
                </c:pt>
                <c:pt idx="3">
                  <c:v>291732.6</c:v>
                </c:pt>
                <c:pt idx="4">
                  <c:v>388976.8</c:v>
                </c:pt>
                <c:pt idx="5">
                  <c:v>486221</c:v>
                </c:pt>
                <c:pt idx="6">
                  <c:v>583465.2</c:v>
                </c:pt>
                <c:pt idx="7">
                  <c:v>680709.4</c:v>
                </c:pt>
                <c:pt idx="8">
                  <c:v>777953.6</c:v>
                </c:pt>
                <c:pt idx="9">
                  <c:v>875197.8</c:v>
                </c:pt>
                <c:pt idx="10">
                  <c:v>972442</c:v>
                </c:pt>
                <c:pt idx="11">
                  <c:v>1069686.2</c:v>
                </c:pt>
                <c:pt idx="12">
                  <c:v>1166930.4</c:v>
                </c:pt>
                <c:pt idx="13">
                  <c:v>1264174.6</c:v>
                </c:pt>
                <c:pt idx="14">
                  <c:v>1361418.8</c:v>
                </c:pt>
              </c:numCache>
            </c:numRef>
          </c:val>
          <c:smooth val="0"/>
        </c:ser>
        <c:ser>
          <c:idx val="1"/>
          <c:order val="1"/>
          <c:tx>
            <c:strRef>
              <c:f>Chart_Data!D18</c:f>
              <c:strCache>
                <c:ptCount val="1"/>
                <c:pt idx="0">
                  <c:v>Total costs</c:v>
                </c:pt>
              </c:strCache>
            </c:strRef>
          </c:tx>
          <c:spPr>
            <a:solidFill>
              <a:srgbClr val="c9a227"/>
            </a:solidFill>
            <a:ln w="28440">
              <a:solidFill>
                <a:srgbClr val="c9a2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Chart_Data!$B$19:$B$33</c:f>
              <c:strCache>
                <c:ptCount val="15"/>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strCache>
            </c:strRef>
          </c:cat>
          <c:val>
            <c:numRef>
              <c:f>Chart_Data!$D$19:$D$33</c:f>
              <c:numCache>
                <c:formatCode>#,##0;\(#,##0\);\-</c:formatCode>
                <c:ptCount val="15"/>
                <c:pt idx="0">
                  <c:v>141297</c:v>
                </c:pt>
                <c:pt idx="1">
                  <c:v>218538.2</c:v>
                </c:pt>
                <c:pt idx="2">
                  <c:v>295779.4</c:v>
                </c:pt>
                <c:pt idx="3">
                  <c:v>373020.6</c:v>
                </c:pt>
                <c:pt idx="4">
                  <c:v>450261.8</c:v>
                </c:pt>
                <c:pt idx="5">
                  <c:v>527503</c:v>
                </c:pt>
                <c:pt idx="6">
                  <c:v>604744.2</c:v>
                </c:pt>
                <c:pt idx="7">
                  <c:v>681985.4</c:v>
                </c:pt>
                <c:pt idx="8">
                  <c:v>759226.6</c:v>
                </c:pt>
                <c:pt idx="9">
                  <c:v>836467.8</c:v>
                </c:pt>
                <c:pt idx="10">
                  <c:v>913709</c:v>
                </c:pt>
                <c:pt idx="11">
                  <c:v>990950.2</c:v>
                </c:pt>
                <c:pt idx="12">
                  <c:v>1068191.4</c:v>
                </c:pt>
                <c:pt idx="13">
                  <c:v>1145432.6</c:v>
                </c:pt>
                <c:pt idx="14">
                  <c:v>1222673.8</c:v>
                </c:pt>
              </c:numCache>
            </c:numRef>
          </c:val>
          <c:smooth val="0"/>
        </c:ser>
        <c:hiLowLines>
          <c:spPr>
            <a:ln w="0">
              <a:noFill/>
            </a:ln>
          </c:spPr>
        </c:hiLowLines>
        <c:marker val="0"/>
        <c:axId val="39823140"/>
        <c:axId val="92845141"/>
      </c:lineChart>
      <c:catAx>
        <c:axId val="39823140"/>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845141"/>
        <c:crosses val="autoZero"/>
        <c:auto val="1"/>
        <c:lblAlgn val="ctr"/>
        <c:lblOffset val="100"/>
        <c:noMultiLvlLbl val="0"/>
      </c:catAx>
      <c:valAx>
        <c:axId val="9284514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231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net sales vs break-even by category</a:t>
            </a:r>
          </a:p>
        </c:rich>
      </c:tx>
      <c:overlay val="0"/>
      <c:spPr>
        <a:noFill/>
        <a:ln w="0">
          <a:noFill/>
        </a:ln>
      </c:spPr>
    </c:title>
    <c:autoTitleDeleted val="0"/>
    <c:plotArea>
      <c:barChart>
        <c:barDir val="col"/>
        <c:grouping val="clustered"/>
        <c:varyColors val="0"/>
        <c:ser>
          <c:idx val="0"/>
          <c:order val="0"/>
          <c:tx>
            <c:strRef>
              <c:f>Chart_Data!C36</c:f>
              <c:strCache>
                <c:ptCount val="1"/>
                <c:pt idx="0">
                  <c:v>Actual net sales</c:v>
                </c:pt>
              </c:strCache>
            </c:strRef>
          </c:tx>
          <c:spPr>
            <a:solidFill>
              <a:srgbClr val="0b1f3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Chart_Data!$B$37:$B$40</c:f>
              <c:strCache>
                <c:ptCount val="4"/>
                <c:pt idx="0">
                  <c:v>Packaged Food</c:v>
                </c:pt>
                <c:pt idx="1">
                  <c:v>Beverages</c:v>
                </c:pt>
                <c:pt idx="2">
                  <c:v>Household &amp; PC</c:v>
                </c:pt>
                <c:pt idx="3">
                  <c:v>Fresh &amp; Frozen</c:v>
                </c:pt>
              </c:strCache>
            </c:strRef>
          </c:cat>
          <c:val>
            <c:numRef>
              <c:f>Chart_Data!$C$37:$C$40</c:f>
              <c:numCache>
                <c:formatCode>#,##0;\(#,##0\);\-</c:formatCode>
                <c:ptCount val="4"/>
                <c:pt idx="0">
                  <c:v>382510</c:v>
                </c:pt>
                <c:pt idx="1">
                  <c:v>292182</c:v>
                </c:pt>
                <c:pt idx="2">
                  <c:v>170561</c:v>
                </c:pt>
                <c:pt idx="3">
                  <c:v>127189</c:v>
                </c:pt>
              </c:numCache>
            </c:numRef>
          </c:val>
        </c:ser>
        <c:ser>
          <c:idx val="1"/>
          <c:order val="1"/>
          <c:tx>
            <c:strRef>
              <c:f>Chart_Data!D36</c:f>
              <c:strCache>
                <c:ptCount val="1"/>
                <c:pt idx="0">
                  <c:v>Break-even (mix basis)</c:v>
                </c:pt>
              </c:strCache>
            </c:strRef>
          </c:tx>
          <c:spPr>
            <a:solidFill>
              <a:srgbClr val="9aa8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Chart_Data!$B$37:$B$40</c:f>
              <c:strCache>
                <c:ptCount val="4"/>
                <c:pt idx="0">
                  <c:v>Packaged Food</c:v>
                </c:pt>
                <c:pt idx="1">
                  <c:v>Beverages</c:v>
                </c:pt>
                <c:pt idx="2">
                  <c:v>Household &amp; PC</c:v>
                </c:pt>
                <c:pt idx="3">
                  <c:v>Fresh &amp; Frozen</c:v>
                </c:pt>
              </c:strCache>
            </c:strRef>
          </c:cat>
          <c:val>
            <c:numRef>
              <c:f>Chart_Data!$D$37:$D$40</c:f>
              <c:numCache>
                <c:formatCode>#,##0;\(#,##0\);\-</c:formatCode>
                <c:ptCount val="4"/>
                <c:pt idx="0">
                  <c:v>270197.047792831</c:v>
                </c:pt>
                <c:pt idx="1">
                  <c:v>206391.241583762</c:v>
                </c:pt>
                <c:pt idx="2">
                  <c:v>120480.715977603</c:v>
                </c:pt>
                <c:pt idx="3">
                  <c:v>89843.6441183823</c:v>
                </c:pt>
              </c:numCache>
            </c:numRef>
          </c:val>
        </c:ser>
        <c:gapWidth val="150"/>
        <c:overlap val="0"/>
        <c:axId val="13583162"/>
        <c:axId val="96513977"/>
      </c:barChart>
      <c:catAx>
        <c:axId val="135831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13977"/>
        <c:crosses val="autoZero"/>
        <c:auto val="1"/>
        <c:lblAlgn val="ctr"/>
        <c:lblOffset val="100"/>
        <c:noMultiLvlLbl val="0"/>
      </c:catAx>
      <c:valAx>
        <c:axId val="9651397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5831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0</xdr:rowOff>
    </xdr:from>
    <xdr:to>
      <xdr:col>6</xdr:col>
      <xdr:colOff>625320</xdr:colOff>
      <xdr:row>35</xdr:row>
      <xdr:rowOff>68400</xdr:rowOff>
    </xdr:to>
    <xdr:graphicFrame>
      <xdr:nvGraphicFramePr>
        <xdr:cNvPr id="0" name="Chart 1"/>
        <xdr:cNvGraphicFramePr/>
      </xdr:nvGraphicFramePr>
      <xdr:xfrm>
        <a:off x="141120" y="4848120"/>
        <a:ext cx="467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12</xdr:col>
      <xdr:colOff>625320</xdr:colOff>
      <xdr:row>35</xdr:row>
      <xdr:rowOff>68400</xdr:rowOff>
    </xdr:to>
    <xdr:graphicFrame>
      <xdr:nvGraphicFramePr>
        <xdr:cNvPr id="1" name="Chart 2"/>
        <xdr:cNvGraphicFramePr/>
      </xdr:nvGraphicFramePr>
      <xdr:xfrm>
        <a:off x="5006520" y="4848120"/>
        <a:ext cx="467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38</xdr:row>
      <xdr:rowOff>0</xdr:rowOff>
    </xdr:from>
    <xdr:to>
      <xdr:col>6</xdr:col>
      <xdr:colOff>625320</xdr:colOff>
      <xdr:row>52</xdr:row>
      <xdr:rowOff>68760</xdr:rowOff>
    </xdr:to>
    <xdr:graphicFrame>
      <xdr:nvGraphicFramePr>
        <xdr:cNvPr id="2" name="Chart 3"/>
        <xdr:cNvGraphicFramePr/>
      </xdr:nvGraphicFramePr>
      <xdr:xfrm>
        <a:off x="141120" y="8086680"/>
        <a:ext cx="4679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38</xdr:row>
      <xdr:rowOff>0</xdr:rowOff>
    </xdr:from>
    <xdr:to>
      <xdr:col>12</xdr:col>
      <xdr:colOff>625320</xdr:colOff>
      <xdr:row>52</xdr:row>
      <xdr:rowOff>68760</xdr:rowOff>
    </xdr:to>
    <xdr:graphicFrame>
      <xdr:nvGraphicFramePr>
        <xdr:cNvPr id="3" name="Chart 4"/>
        <xdr:cNvGraphicFramePr/>
      </xdr:nvGraphicFramePr>
      <xdr:xfrm>
        <a:off x="5006520" y="8086680"/>
        <a:ext cx="4679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1" customFormat="false" ht="15" hidden="false" customHeight="false" outlineLevel="0" collapsed="false">
      <c r="B1" s="1"/>
      <c r="C1" s="1"/>
    </row>
    <row r="2" customFormat="false" ht="15" hidden="false" customHeight="false" outlineLevel="0" collapsed="false">
      <c r="B2" s="2" t="s">
        <v>0</v>
      </c>
      <c r="C2" s="1"/>
    </row>
    <row r="3" customFormat="false" ht="39.75" hidden="false" customHeight="true" outlineLevel="0" collapsed="false">
      <c r="B3" s="3" t="s">
        <v>1</v>
      </c>
      <c r="C3" s="1"/>
    </row>
    <row r="4" customFormat="false" ht="16.15" hidden="false" customHeight="false" outlineLevel="0" collapsed="false">
      <c r="B4" s="4" t="s">
        <v>2</v>
      </c>
      <c r="C4" s="1"/>
    </row>
    <row r="5" customFormat="false" ht="15" hidden="false" customHeight="false" outlineLevel="0" collapsed="false">
      <c r="B5" s="5" t="s">
        <v>3</v>
      </c>
      <c r="C5" s="1"/>
    </row>
    <row r="6" customFormat="false" ht="15" hidden="false" customHeight="false" outlineLevel="0" collapsed="false">
      <c r="B6" s="1"/>
      <c r="C6" s="1"/>
    </row>
    <row r="7" customFormat="false" ht="15" hidden="false" customHeight="false" outlineLevel="0" collapsed="false">
      <c r="B7" s="6" t="s">
        <v>4</v>
      </c>
      <c r="C7" s="1"/>
    </row>
    <row r="8" customFormat="false" ht="15" hidden="false" customHeight="false" outlineLevel="0" collapsed="false">
      <c r="B8" s="1"/>
      <c r="C8" s="1"/>
    </row>
    <row r="10" customFormat="false" ht="15" hidden="false" customHeight="false" outlineLevel="0" collapsed="false">
      <c r="B10" s="7" t="s">
        <v>5</v>
      </c>
      <c r="C10" s="7" t="str">
        <f aca="false">Model_Status</f>
        <v>✔ All 20 integrity checks passed</v>
      </c>
    </row>
    <row r="11" customFormat="false" ht="61.5" hidden="false" customHeight="true" outlineLevel="0" collapsed="false">
      <c r="B11" s="8" t="s">
        <v>6</v>
      </c>
      <c r="C11" s="9" t="s">
        <v>7</v>
      </c>
    </row>
    <row r="12" customFormat="false" ht="39.75" hidden="false" customHeight="true" outlineLevel="0" collapsed="false">
      <c r="B12" s="8" t="s">
        <v>8</v>
      </c>
      <c r="C12" s="10" t="s">
        <v>9</v>
      </c>
    </row>
    <row r="14" customFormat="false" ht="15" hidden="false" customHeight="false" outlineLevel="0" collapsed="false">
      <c r="B14" s="11" t="s">
        <v>10</v>
      </c>
    </row>
    <row r="15" customFormat="false" ht="15" hidden="false" customHeight="false" outlineLevel="0" collapsed="false">
      <c r="B15" s="12" t="s">
        <v>11</v>
      </c>
    </row>
    <row r="16" customFormat="false" ht="15" hidden="false" customHeight="false" outlineLevel="0" collapsed="false">
      <c r="B16" s="13" t="str">
        <f aca="false">HYPERLINK("#Dashboard!A1","Dashboard")</f>
        <v>Dashboard</v>
      </c>
      <c r="C16" s="14" t="s">
        <v>12</v>
      </c>
    </row>
    <row r="18" customFormat="false" ht="15" hidden="false" customHeight="false" outlineLevel="0" collapsed="false">
      <c r="B18" s="12" t="s">
        <v>13</v>
      </c>
    </row>
    <row r="19" customFormat="false" ht="15" hidden="false" customHeight="false" outlineLevel="0" collapsed="false">
      <c r="B19" s="13" t="str">
        <f aca="false">HYPERLINK("#Product_Costing!A1","Product Costing")</f>
        <v>Product Costing</v>
      </c>
      <c r="C19" s="14" t="s">
        <v>14</v>
      </c>
    </row>
    <row r="20" customFormat="false" ht="15" hidden="false" customHeight="false" outlineLevel="0" collapsed="false">
      <c r="B20" s="13" t="str">
        <f aca="false">HYPERLINK("#ABC_Allocation!A1","ABC Allocation")</f>
        <v>ABC Allocation</v>
      </c>
      <c r="C20" s="14" t="s">
        <v>15</v>
      </c>
    </row>
    <row r="21" customFormat="false" ht="15" hidden="false" customHeight="false" outlineLevel="0" collapsed="false">
      <c r="B21" s="13" t="str">
        <f aca="false">HYPERLINK("#CVP_BreakEven!A1","CVP BreakEven")</f>
        <v>CVP BreakEven</v>
      </c>
      <c r="C21" s="14" t="s">
        <v>16</v>
      </c>
    </row>
    <row r="22" customFormat="false" ht="15" hidden="false" customHeight="false" outlineLevel="0" collapsed="false">
      <c r="B22" s="13" t="str">
        <f aca="false">HYPERLINK("#Cost_Behaviour!A1","Cost Behaviour")</f>
        <v>Cost Behaviour</v>
      </c>
      <c r="C22" s="14" t="s">
        <v>17</v>
      </c>
    </row>
    <row r="23" customFormat="false" ht="15" hidden="false" customHeight="false" outlineLevel="0" collapsed="false">
      <c r="B23" s="13" t="str">
        <f aca="false">HYPERLINK("#Sensitivity!A1","Sensitivity")</f>
        <v>Sensitivity</v>
      </c>
      <c r="C23" s="14" t="s">
        <v>18</v>
      </c>
    </row>
    <row r="25" customFormat="false" ht="15" hidden="false" customHeight="false" outlineLevel="0" collapsed="false">
      <c r="B25" s="12" t="s">
        <v>19</v>
      </c>
    </row>
    <row r="26" customFormat="false" ht="15" hidden="false" customHeight="false" outlineLevel="0" collapsed="false">
      <c r="B26" s="13" t="str">
        <f aca="false">HYPERLINK("#Inputs!A1","Inputs")</f>
        <v>Inputs</v>
      </c>
      <c r="C26" s="14" t="s">
        <v>20</v>
      </c>
    </row>
    <row r="27" customFormat="false" ht="15" hidden="false" customHeight="false" outlineLevel="0" collapsed="false">
      <c r="B27" s="13" t="str">
        <f aca="false">HYPERLINK("#FS_Data!A1","FS Data")</f>
        <v>FS Data</v>
      </c>
      <c r="C27" s="14" t="s">
        <v>21</v>
      </c>
    </row>
    <row r="28" customFormat="false" ht="15" hidden="false" customHeight="false" outlineLevel="0" collapsed="false">
      <c r="B28" s="13" t="str">
        <f aca="false">HYPERLINK("#Data_Sales!A1","Data Sales")</f>
        <v>Data Sales</v>
      </c>
      <c r="C28" s="14" t="s">
        <v>22</v>
      </c>
    </row>
    <row r="29" customFormat="false" ht="15" hidden="false" customHeight="false" outlineLevel="0" collapsed="false">
      <c r="B29" s="13" t="str">
        <f aca="false">HYPERLINK("#Data_Expenses!A1","Data Expenses")</f>
        <v>Data Expenses</v>
      </c>
      <c r="C29" s="14" t="s">
        <v>23</v>
      </c>
    </row>
    <row r="30" customFormat="false" ht="15" hidden="false" customHeight="false" outlineLevel="0" collapsed="false">
      <c r="B30" s="13" t="str">
        <f aca="false">HYPERLINK("#Chart_Data!A1","Chart Data")</f>
        <v>Chart Data</v>
      </c>
      <c r="C30" s="14" t="s">
        <v>24</v>
      </c>
    </row>
    <row r="31" customFormat="false" ht="15" hidden="false" customHeight="false" outlineLevel="0" collapsed="false">
      <c r="B31" s="13" t="str">
        <f aca="false">HYPERLINK("#Checks!A1","Checks")</f>
        <v>Checks</v>
      </c>
      <c r="C31" s="14" t="s">
        <v>25</v>
      </c>
    </row>
    <row r="32" customFormat="false" ht="15" hidden="false" customHeight="false" outlineLevel="0" collapsed="false">
      <c r="B32" s="13" t="str">
        <f aca="false">HYPERLINK("#Documentation!A1","Documentation")</f>
        <v>Documentation</v>
      </c>
      <c r="C32" s="14" t="s">
        <v>26</v>
      </c>
    </row>
  </sheetData>
  <conditionalFormatting sqref="C10">
    <cfRule type="expression" priority="2" aboveAverage="0" equalAverage="0" bottom="0" percent="0" rank="0" text="" dxfId="0">
      <formula>LEFT($C$10,1)="✔"</formula>
    </cfRule>
    <cfRule type="expression" priority="3" aboveAverage="0" equalAverage="0" bottom="0" percent="0" rank="0" text="" dxfId="1">
      <formula>LEFT($C$10,1)&lt;&gt;"✔"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B1:C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0"/>
  </cols>
  <sheetData>
    <row r="1" customFormat="false" ht="24" hidden="false" customHeight="true" outlineLevel="0" collapsed="false">
      <c r="B1" s="15" t="s">
        <v>27</v>
      </c>
    </row>
    <row r="2" customFormat="false" ht="15" hidden="false" customHeight="false" outlineLevel="0" collapsed="false">
      <c r="B2" s="14" t="s">
        <v>28</v>
      </c>
    </row>
    <row r="3" customFormat="false" ht="15" hidden="false" customHeight="false" outlineLevel="0" collapsed="false">
      <c r="B3" s="16" t="str">
        <f aca="false">HYPERLINK("#Cover!A1","◄ Back to Cover")</f>
        <v>◄ Back to Cover</v>
      </c>
    </row>
    <row r="5" customFormat="false" ht="18" hidden="false" customHeight="true" outlineLevel="0" collapsed="false">
      <c r="B5" s="17" t="s">
        <v>29</v>
      </c>
      <c r="C5" s="1"/>
    </row>
    <row r="6" customFormat="false" ht="24.75" hidden="false" customHeight="true" outlineLevel="0" collapsed="false">
      <c r="B6" s="8" t="s">
        <v>30</v>
      </c>
      <c r="C6" s="9" t="s">
        <v>31</v>
      </c>
    </row>
    <row r="7" customFormat="false" ht="24.75" hidden="false" customHeight="true" outlineLevel="0" collapsed="false">
      <c r="B7" s="8" t="s">
        <v>32</v>
      </c>
      <c r="C7" s="9" t="s">
        <v>33</v>
      </c>
    </row>
    <row r="9" customFormat="false" ht="18" hidden="false" customHeight="true" outlineLevel="0" collapsed="false">
      <c r="B9" s="17" t="s">
        <v>34</v>
      </c>
      <c r="C9" s="1"/>
    </row>
    <row r="10" customFormat="false" ht="24.75" hidden="false" customHeight="true" outlineLevel="0" collapsed="false">
      <c r="B10" s="8" t="s">
        <v>35</v>
      </c>
      <c r="C10" s="9" t="s">
        <v>36</v>
      </c>
    </row>
    <row r="11" customFormat="false" ht="24.75" hidden="false" customHeight="true" outlineLevel="0" collapsed="false">
      <c r="B11" s="8" t="s">
        <v>37</v>
      </c>
      <c r="C11" s="9" t="s">
        <v>38</v>
      </c>
    </row>
    <row r="12" customFormat="false" ht="24.75" hidden="false" customHeight="true" outlineLevel="0" collapsed="false">
      <c r="B12" s="8" t="s">
        <v>39</v>
      </c>
      <c r="C12" s="9" t="s">
        <v>40</v>
      </c>
    </row>
    <row r="14" customFormat="false" ht="18" hidden="false" customHeight="true" outlineLevel="0" collapsed="false">
      <c r="B14" s="17" t="s">
        <v>41</v>
      </c>
      <c r="C14" s="1"/>
    </row>
    <row r="15" customFormat="false" ht="15" hidden="false" customHeight="true" outlineLevel="0" collapsed="false">
      <c r="B15" s="8" t="s">
        <v>42</v>
      </c>
      <c r="C15" s="9" t="s">
        <v>43</v>
      </c>
    </row>
    <row r="16" customFormat="false" ht="15" hidden="false" customHeight="true" outlineLevel="0" collapsed="false">
      <c r="B16" s="8" t="s">
        <v>44</v>
      </c>
      <c r="C16" s="9" t="s">
        <v>45</v>
      </c>
    </row>
    <row r="18" customFormat="false" ht="18" hidden="false" customHeight="true" outlineLevel="0" collapsed="false">
      <c r="B18" s="17" t="s">
        <v>46</v>
      </c>
      <c r="C18" s="1"/>
    </row>
    <row r="19" customFormat="false" ht="24.75" hidden="false" customHeight="true" outlineLevel="0" collapsed="false">
      <c r="B19" s="8" t="s">
        <v>47</v>
      </c>
      <c r="C19" s="9" t="s">
        <v>48</v>
      </c>
    </row>
    <row r="20" customFormat="false" ht="24.75" hidden="false" customHeight="true" outlineLevel="0" collapsed="false">
      <c r="B20" s="8" t="s">
        <v>49</v>
      </c>
      <c r="C20" s="9" t="s">
        <v>50</v>
      </c>
    </row>
    <row r="21" customFormat="false" ht="15" hidden="false" customHeight="true" outlineLevel="0" collapsed="false">
      <c r="B21" s="8" t="s">
        <v>51</v>
      </c>
      <c r="C21" s="9" t="s">
        <v>52</v>
      </c>
    </row>
    <row r="23" customFormat="false" ht="18" hidden="false" customHeight="true" outlineLevel="0" collapsed="false">
      <c r="B23" s="17" t="s">
        <v>53</v>
      </c>
      <c r="C23" s="1"/>
    </row>
    <row r="24" customFormat="false" ht="15" hidden="false" customHeight="true" outlineLevel="0" collapsed="false">
      <c r="B24" s="8" t="s">
        <v>54</v>
      </c>
      <c r="C24" s="9" t="s">
        <v>55</v>
      </c>
    </row>
    <row r="25" customFormat="false" ht="15" hidden="false" customHeight="true" outlineLevel="0" collapsed="false">
      <c r="B25" s="8" t="s">
        <v>56</v>
      </c>
      <c r="C25" s="9" t="s">
        <v>57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B1:M2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1.5"/>
  </cols>
  <sheetData>
    <row r="1" customFormat="false" ht="24" hidden="false" customHeight="true" outlineLevel="0" collapsed="false">
      <c r="B1" s="15" t="s">
        <v>58</v>
      </c>
    </row>
    <row r="2" customFormat="false" ht="15" hidden="false" customHeight="false" outlineLevel="0" collapsed="false">
      <c r="B2" s="14" t="s">
        <v>59</v>
      </c>
    </row>
    <row r="3" customFormat="false" ht="15" hidden="false" customHeight="false" outlineLevel="0" collapsed="false">
      <c r="B3" s="16" t="str">
        <f aca="false">HYPERLINK("#Cover!A1","◄ Back to Cover")</f>
        <v>◄ Back to Cover</v>
      </c>
    </row>
    <row r="5" customFormat="false" ht="15" hidden="false" customHeight="false" outlineLevel="0" collapsed="false">
      <c r="B5" s="18" t="s">
        <v>60</v>
      </c>
      <c r="C5" s="18"/>
      <c r="D5" s="18" t="str">
        <f aca="false">Model_Status</f>
        <v>✔ All 20 integrity checks passed</v>
      </c>
      <c r="E5" s="18"/>
      <c r="F5" s="18"/>
      <c r="G5" s="18"/>
      <c r="H5" s="18"/>
      <c r="I5" s="18"/>
    </row>
    <row r="7" customFormat="false" ht="15" hidden="false" customHeight="false" outlineLevel="0" collapsed="false">
      <c r="B7" s="19" t="s">
        <v>61</v>
      </c>
      <c r="C7" s="19"/>
      <c r="D7" s="19"/>
      <c r="E7" s="19" t="s">
        <v>62</v>
      </c>
      <c r="F7" s="19"/>
      <c r="G7" s="19"/>
      <c r="H7" s="19" t="s">
        <v>63</v>
      </c>
      <c r="I7" s="19"/>
      <c r="J7" s="19"/>
      <c r="K7" s="19" t="s">
        <v>64</v>
      </c>
      <c r="L7" s="19"/>
      <c r="M7" s="19"/>
    </row>
    <row r="8" customFormat="false" ht="25.5" hidden="false" customHeight="true" outlineLevel="0" collapsed="false">
      <c r="B8" s="20" t="n">
        <f aca="false">CVP_BreakEven!G7</f>
        <v>972442</v>
      </c>
      <c r="C8" s="20"/>
      <c r="D8" s="20"/>
      <c r="E8" s="20" t="n">
        <f aca="false">Product_Costing!G18</f>
        <v>58733</v>
      </c>
      <c r="F8" s="20"/>
      <c r="G8" s="20"/>
      <c r="H8" s="20" t="n">
        <f aca="false">CVP_BreakEven!G19</f>
        <v>686912.649472579</v>
      </c>
      <c r="I8" s="20"/>
      <c r="J8" s="20"/>
      <c r="K8" s="21" t="n">
        <f aca="false">CVP_BreakEven!G23</f>
        <v>0.293620956856472</v>
      </c>
      <c r="L8" s="21"/>
      <c r="M8" s="21"/>
    </row>
    <row r="9" customFormat="false" ht="15" hidden="false" customHeight="false" outlineLevel="0" collapsed="false">
      <c r="B9" s="22" t="str">
        <f aca="false">"Gross margin "&amp;TEXT(Product_Costing!G11,"0.0%")</f>
        <v>Gross margin 25.7%</v>
      </c>
      <c r="C9" s="22"/>
      <c r="D9" s="22"/>
      <c r="E9" s="22" t="str">
        <f aca="false">"Operating margin "&amp;TEXT(Product_Costing!G19,"0.0%")</f>
        <v>Operating margin 6.0%</v>
      </c>
      <c r="F9" s="22"/>
      <c r="G9" s="22"/>
      <c r="H9" s="22" t="str">
        <f aca="false">TEXT(CVP_BreakEven!G21,"0.0%")&amp;" of actual net sales"</f>
        <v>70.6% of actual net sales</v>
      </c>
      <c r="I9" s="22"/>
      <c r="J9" s="22"/>
      <c r="K9" s="22" t="str">
        <f aca="false">"PHP "&amp;TEXT(CVP_BreakEven!G22/1000,"#,##0.0")&amp;" million above break-even"</f>
        <v>PHP 285.5 million above break-even</v>
      </c>
      <c r="L9" s="22"/>
      <c r="M9" s="22"/>
    </row>
    <row r="11" customFormat="false" ht="15" hidden="false" customHeight="false" outlineLevel="0" collapsed="false">
      <c r="B11" s="19" t="s">
        <v>65</v>
      </c>
      <c r="C11" s="19"/>
      <c r="D11" s="19"/>
      <c r="E11" s="19" t="s">
        <v>66</v>
      </c>
      <c r="F11" s="19"/>
      <c r="G11" s="19"/>
      <c r="H11" s="19" t="s">
        <v>67</v>
      </c>
      <c r="I11" s="19"/>
      <c r="J11" s="19"/>
      <c r="K11" s="19" t="s">
        <v>68</v>
      </c>
      <c r="L11" s="19"/>
      <c r="M11" s="19"/>
    </row>
    <row r="12" customFormat="false" ht="25.5" hidden="false" customHeight="true" outlineLevel="0" collapsed="false">
      <c r="B12" s="21" t="n">
        <f aca="false">CVP_BreakEven!G11</f>
        <v>0.205698643209569</v>
      </c>
      <c r="C12" s="21"/>
      <c r="D12" s="21"/>
      <c r="E12" s="23" t="n">
        <f aca="false">CVP_BreakEven!G24</f>
        <v>3.40575145148383</v>
      </c>
      <c r="F12" s="23"/>
      <c r="G12" s="23"/>
      <c r="H12" s="24" t="str">
        <f aca="false">Chart_Data!C42</f>
        <v>Household &amp; PC</v>
      </c>
      <c r="I12" s="24"/>
      <c r="J12" s="24"/>
      <c r="K12" s="24" t="str">
        <f aca="false">Chart_Data!C43</f>
        <v>Fresh &amp; Frozen</v>
      </c>
      <c r="L12" s="24"/>
      <c r="M12" s="24"/>
    </row>
    <row r="13" customFormat="false" ht="15" hidden="false" customHeight="false" outlineLevel="0" collapsed="false">
      <c r="B13" s="22" t="str">
        <f aca="false">"CM PHP "&amp;TEXT(CVP_BreakEven!G10/1000,"#,##0.0")&amp;" million"</f>
        <v>CM PHP 200.0 million</v>
      </c>
      <c r="C13" s="22"/>
      <c r="D13" s="22"/>
      <c r="E13" s="22" t="str">
        <f aca="false">"1% sales change = "&amp;TEXT(CVP_BreakEven!G24,"0.0")&amp;"% profit change"</f>
        <v>1% sales change = 3.4% profit change</v>
      </c>
      <c r="F13" s="22"/>
      <c r="G13" s="22"/>
      <c r="H13" s="22" t="str">
        <f aca="false">TEXT(Chart_Data!D42,"0.0%")&amp;" operating margin"</f>
        <v>9.6% operating margin</v>
      </c>
      <c r="I13" s="22"/>
      <c r="J13" s="22"/>
      <c r="K13" s="22" t="str">
        <f aca="false">TEXT(Chart_Data!D43,"0.0%")&amp;" operating margin"</f>
        <v>-4.4% operating margin</v>
      </c>
      <c r="L13" s="22"/>
      <c r="M13" s="22"/>
    </row>
    <row r="15" customFormat="false" ht="18" hidden="false" customHeight="true" outlineLevel="0" collapsed="false">
      <c r="B15" s="17" t="s">
        <v>69</v>
      </c>
      <c r="C15" s="1"/>
      <c r="D15" s="1"/>
      <c r="E15" s="1"/>
      <c r="F15" s="1"/>
      <c r="G15" s="1"/>
      <c r="H15" s="1"/>
      <c r="I15" s="1"/>
      <c r="J15" s="1"/>
      <c r="K15" s="1"/>
      <c r="L15" s="1"/>
      <c r="M15" s="1"/>
    </row>
    <row r="16" customFormat="false" ht="21.75" hidden="false" customHeight="true" outlineLevel="0" collapsed="false">
      <c r="B16" s="25" t="str">
        <f aca="false">"1. Net sales of PHP "&amp;TEXT(CVP_BreakEven!G7/1000,"#,##0.0")&amp;" million must reach PHP "&amp;TEXT(CVP_BreakEven!G19/1000,"#,##0.0")&amp;" million to break even, leaving a margin of safety of "&amp;TEXT(CVP_BreakEven!G23,"0.0%")&amp;"."</f>
        <v>1. Net sales of PHP 972.4 million must reach PHP 686.9 million to break even, leaving a margin of safety of 29.4%.</v>
      </c>
      <c r="C16" s="25"/>
      <c r="D16" s="25"/>
      <c r="E16" s="25"/>
      <c r="F16" s="25"/>
      <c r="G16" s="25"/>
      <c r="H16" s="25"/>
      <c r="I16" s="25"/>
      <c r="J16" s="25"/>
      <c r="K16" s="25"/>
      <c r="L16" s="25"/>
      <c r="M16" s="25"/>
    </row>
    <row r="17" customFormat="false" ht="21.75" hidden="false" customHeight="true" outlineLevel="0" collapsed="false">
      <c r="B17" s="25" t="str">
        <f aca="false">"2. Thin contribution margin ("&amp;TEXT(CVP_BreakEven!G11,"0.0%")&amp;") and fixed costs of PHP "&amp;TEXT(CVP_BreakEven!G14/1000,"#,##0.0")&amp;" million give operating leverage of "&amp;TEXT(CVP_BreakEven!G24,"0.00")&amp;"x."</f>
        <v>2. Thin contribution margin (20.6%) and fixed costs of PHP 141.3 million give operating leverage of 3.41x.</v>
      </c>
      <c r="C17" s="25"/>
      <c r="D17" s="25"/>
      <c r="E17" s="25"/>
      <c r="F17" s="25"/>
      <c r="G17" s="25"/>
      <c r="H17" s="25"/>
      <c r="I17" s="25"/>
      <c r="J17" s="25"/>
      <c r="K17" s="25"/>
      <c r="L17" s="25"/>
      <c r="M17" s="25"/>
    </row>
    <row r="18" customFormat="false" ht="21.75" hidden="false" customHeight="true" outlineLevel="0" collapsed="false">
      <c r="B18" s="25" t="str">
        <f aca="false">"3. ABC puts "&amp;Chart_Data!C42&amp;" first ("&amp;TEXT(Chart_Data!D42,"0.0%")&amp;" operating margin) and "&amp;Chart_Data!C43&amp;" last ("&amp;TEXT(Chart_Data!D43,"0.0%")&amp;")."</f>
        <v>3. ABC puts Household &amp; PC first (9.6% operating margin) and Fresh &amp; Frozen last (-4.4%).</v>
      </c>
      <c r="C18" s="25"/>
      <c r="D18" s="25"/>
      <c r="E18" s="25"/>
      <c r="F18" s="25"/>
      <c r="G18" s="25"/>
      <c r="H18" s="25"/>
      <c r="I18" s="25"/>
      <c r="J18" s="25"/>
      <c r="K18" s="25"/>
      <c r="L18" s="25"/>
      <c r="M18" s="25"/>
    </row>
    <row r="19" customFormat="false" ht="21.75" hidden="false" customHeight="true" outlineLevel="0" collapsed="false">
      <c r="B19" s="25" t="str">
        <f aca="false">"4. Traditional costing misstates profit most for "&amp;Chart_Data!C44&amp;" by PHP "&amp;TEXT(Chart_Data!D44,"#,##0")&amp;"K ("&amp;IF(Chart_Data!C45&gt;0,"understated","overstated")&amp;" by traditional costing)."</f>
        <v>4. Traditional costing misstates profit most for Packaged Food by PHP 7,049K (understated by traditional costing).</v>
      </c>
      <c r="C19" s="25"/>
      <c r="D19" s="25"/>
      <c r="E19" s="25"/>
      <c r="F19" s="25"/>
      <c r="G19" s="25"/>
      <c r="H19" s="25"/>
      <c r="I19" s="25"/>
      <c r="J19" s="25"/>
      <c r="K19" s="25"/>
      <c r="L19" s="25"/>
      <c r="M19" s="25"/>
    </row>
    <row r="20" customFormat="false" ht="21.75" hidden="false" customHeight="true" outlineLevel="0" collapsed="false">
      <c r="B20" s="25" t="str">
        <f aca="false">"5. To earn PHP "&amp;TEXT(Target_OP/1000,"#,##0.0")&amp;" million operating profit, net sales must grow "&amp;TEXT(CVP_BreakEven!F29,"0.0%")&amp;" to PHP "&amp;TEXT(CVP_BreakEven!G28/1000,"#,##0.0")&amp;" million."</f>
        <v>5. To earn PHP 75.0 million operating profit, net sales must grow 8.1% to PHP 1,051.5 million.</v>
      </c>
      <c r="C20" s="25"/>
      <c r="D20" s="25"/>
      <c r="E20" s="25"/>
      <c r="F20" s="25"/>
      <c r="G20" s="25"/>
      <c r="H20" s="25"/>
      <c r="I20" s="25"/>
      <c r="J20" s="25"/>
      <c r="K20" s="25"/>
      <c r="L20" s="25"/>
      <c r="M20" s="25"/>
    </row>
  </sheetData>
  <mergeCells count="31">
    <mergeCell ref="B5:C5"/>
    <mergeCell ref="D5:I5"/>
    <mergeCell ref="B7:D7"/>
    <mergeCell ref="E7:G7"/>
    <mergeCell ref="H7:J7"/>
    <mergeCell ref="K7:M7"/>
    <mergeCell ref="B8:D8"/>
    <mergeCell ref="E8:G8"/>
    <mergeCell ref="H8:J8"/>
    <mergeCell ref="K8:M8"/>
    <mergeCell ref="B9:D9"/>
    <mergeCell ref="E9:G9"/>
    <mergeCell ref="H9:J9"/>
    <mergeCell ref="K9:M9"/>
    <mergeCell ref="B11:D11"/>
    <mergeCell ref="E11:G11"/>
    <mergeCell ref="H11:J11"/>
    <mergeCell ref="K11:M11"/>
    <mergeCell ref="B12:D12"/>
    <mergeCell ref="E12:G12"/>
    <mergeCell ref="H12:J12"/>
    <mergeCell ref="K12:M12"/>
    <mergeCell ref="B13:D13"/>
    <mergeCell ref="E13:G13"/>
    <mergeCell ref="H13:J13"/>
    <mergeCell ref="K13:M13"/>
    <mergeCell ref="B16:M16"/>
    <mergeCell ref="B17:M17"/>
    <mergeCell ref="B18:M18"/>
    <mergeCell ref="B19:M19"/>
    <mergeCell ref="B20:M20"/>
  </mergeCells>
  <conditionalFormatting sqref="D5">
    <cfRule type="expression" priority="2" aboveAverage="0" equalAverage="0" bottom="0" percent="0" rank="0" text="" dxfId="0">
      <formula>LEFT(D5,1)="✔"</formula>
    </cfRule>
    <cfRule type="expression" priority="3" aboveAverage="0" equalAverage="0" bottom="0" percent="0" rank="0" text="" dxfId="1">
      <formula>LEFT(D5,1)&lt;&gt;"✔"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G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4"/>
    <col collapsed="false" customWidth="true" hidden="false" outlineLevel="0" max="8" min="8" style="0" width="3"/>
    <col collapsed="false" customWidth="true" hidden="false" outlineLevel="0" max="9" min="9" style="0" width="40"/>
  </cols>
  <sheetData>
    <row r="1" customFormat="false" ht="24" hidden="false" customHeight="true" outlineLevel="0" collapsed="false">
      <c r="B1" s="15" t="s">
        <v>70</v>
      </c>
    </row>
    <row r="2" customFormat="false" ht="15" hidden="false" customHeight="false" outlineLevel="0" collapsed="false">
      <c r="B2" s="14" t="s">
        <v>71</v>
      </c>
    </row>
    <row r="3" customFormat="false" ht="15" hidden="false" customHeight="false" outlineLevel="0" collapsed="false">
      <c r="B3" s="16" t="str">
        <f aca="false">HYPERLINK("#Cover!A1","◄ Back to Cover")</f>
        <v>◄ Back to Cover</v>
      </c>
    </row>
    <row r="5" customFormat="false" ht="31.5" hidden="false" customHeight="true" outlineLevel="0" collapsed="false">
      <c r="B5" s="26" t="s">
        <v>72</v>
      </c>
      <c r="C5" s="27" t="s">
        <v>73</v>
      </c>
      <c r="D5" s="27" t="s">
        <v>74</v>
      </c>
      <c r="E5" s="27" t="s">
        <v>75</v>
      </c>
      <c r="F5" s="27" t="s">
        <v>76</v>
      </c>
      <c r="G5" s="27" t="s">
        <v>77</v>
      </c>
    </row>
    <row r="6" customFormat="false" ht="18" hidden="false" customHeight="true" outlineLevel="0" collapsed="false">
      <c r="B6" s="17" t="s">
        <v>78</v>
      </c>
      <c r="C6" s="1"/>
      <c r="D6" s="1"/>
      <c r="E6" s="1"/>
      <c r="F6" s="1"/>
      <c r="G6" s="1"/>
    </row>
    <row r="7" customFormat="false" ht="15" hidden="false" customHeight="false" outlineLevel="0" collapsed="false">
      <c r="B7" s="28" t="s">
        <v>79</v>
      </c>
      <c r="C7" s="29" t="n">
        <f aca="false">Inputs!C11</f>
        <v>590</v>
      </c>
      <c r="D7" s="29" t="n">
        <f aca="false">Inputs!C12</f>
        <v>650</v>
      </c>
      <c r="E7" s="29" t="n">
        <f aca="false">Inputs!C13</f>
        <v>280</v>
      </c>
      <c r="F7" s="29" t="n">
        <f aca="false">Inputs!C14</f>
        <v>160</v>
      </c>
      <c r="G7" s="30" t="n">
        <f aca="false">SUM(C7:F7)</f>
        <v>1680</v>
      </c>
    </row>
    <row r="8" customFormat="false" ht="15" hidden="false" customHeight="false" outlineLevel="0" collapsed="false">
      <c r="B8" s="28" t="s">
        <v>80</v>
      </c>
      <c r="C8" s="31" t="n">
        <f aca="false">SUMIFS(S_Sales,S_Year,Cost_Year,S_Cat,C$5)</f>
        <v>382510</v>
      </c>
      <c r="D8" s="31" t="n">
        <f aca="false">SUMIFS(S_Sales,S_Year,Cost_Year,S_Cat,D$5)</f>
        <v>292182</v>
      </c>
      <c r="E8" s="31" t="n">
        <f aca="false">SUMIFS(S_Sales,S_Year,Cost_Year,S_Cat,E$5)</f>
        <v>170561</v>
      </c>
      <c r="F8" s="31" t="n">
        <f aca="false">SUMIFS(S_Sales,S_Year,Cost_Year,S_Cat,F$5)</f>
        <v>127189</v>
      </c>
      <c r="G8" s="32" t="n">
        <f aca="false">SUM(C8:F8)</f>
        <v>972442</v>
      </c>
    </row>
    <row r="9" customFormat="false" ht="15" hidden="false" customHeight="false" outlineLevel="0" collapsed="false">
      <c r="B9" s="28" t="s">
        <v>81</v>
      </c>
      <c r="C9" s="31" t="n">
        <f aca="false">SUMIFS(S_COGS,S_Year,Cost_Year,S_Cat,C$5)</f>
        <v>286694</v>
      </c>
      <c r="D9" s="31" t="n">
        <f aca="false">SUMIFS(S_COGS,S_Year,Cost_Year,S_Cat,D$5)</f>
        <v>213400</v>
      </c>
      <c r="E9" s="31" t="n">
        <f aca="false">SUMIFS(S_COGS,S_Year,Cost_Year,S_Cat,E$5)</f>
        <v>119380</v>
      </c>
      <c r="F9" s="31" t="n">
        <f aca="false">SUMIFS(S_COGS,S_Year,Cost_Year,S_Cat,F$5)</f>
        <v>103074</v>
      </c>
      <c r="G9" s="32" t="n">
        <f aca="false">SUM(C9:F9)</f>
        <v>722548</v>
      </c>
    </row>
    <row r="10" customFormat="false" ht="15" hidden="false" customHeight="false" outlineLevel="0" collapsed="false">
      <c r="B10" s="33" t="s">
        <v>82</v>
      </c>
      <c r="C10" s="34" t="n">
        <f aca="false">C8-C9</f>
        <v>95816</v>
      </c>
      <c r="D10" s="34" t="n">
        <f aca="false">D8-D9</f>
        <v>78782</v>
      </c>
      <c r="E10" s="34" t="n">
        <f aca="false">E8-E9</f>
        <v>51181</v>
      </c>
      <c r="F10" s="34" t="n">
        <f aca="false">F8-F9</f>
        <v>24115</v>
      </c>
      <c r="G10" s="34" t="n">
        <f aca="false">SUM(C10:F10)</f>
        <v>249894</v>
      </c>
    </row>
    <row r="11" customFormat="false" ht="15" hidden="false" customHeight="false" outlineLevel="0" collapsed="false">
      <c r="B11" s="28" t="s">
        <v>83</v>
      </c>
      <c r="C11" s="35" t="n">
        <f aca="false">IFERROR(C10/C8,0)</f>
        <v>0.25049279757392</v>
      </c>
      <c r="D11" s="35" t="n">
        <f aca="false">IFERROR(D10/D8,0)</f>
        <v>0.269633310744673</v>
      </c>
      <c r="E11" s="35" t="n">
        <f aca="false">IFERROR(E10/E8,0)</f>
        <v>0.300074460163812</v>
      </c>
      <c r="F11" s="35" t="n">
        <f aca="false">IFERROR(F10/F8,0)</f>
        <v>0.189599729536359</v>
      </c>
      <c r="G11" s="36" t="n">
        <f aca="false">IFERROR(G10/G8,0)</f>
        <v>0.256975737370455</v>
      </c>
    </row>
    <row r="12" customFormat="false" ht="18" hidden="false" customHeight="true" outlineLevel="0" collapsed="false">
      <c r="B12" s="17" t="s">
        <v>84</v>
      </c>
      <c r="C12" s="1"/>
      <c r="D12" s="1"/>
      <c r="E12" s="1"/>
      <c r="F12" s="1"/>
      <c r="G12" s="1"/>
    </row>
    <row r="13" customFormat="false" ht="15" hidden="false" customHeight="false" outlineLevel="0" collapsed="false">
      <c r="B13" s="28" t="s">
        <v>85</v>
      </c>
      <c r="C13" s="31" t="n">
        <f aca="false">SUMIFS(ABC_Allocation!H$17:H$33,ABC_Allocation!$C$17:$C$33,"Selling &amp; Distribution",ABC_Allocation!$D$17:$D$33,"Variable")</f>
        <v>16510.9025731219</v>
      </c>
      <c r="D13" s="31" t="n">
        <f aca="false">SUMIFS(ABC_Allocation!I$17:I$33,ABC_Allocation!$C$17:$C$33,"Selling &amp; Distribution",ABC_Allocation!$D$17:$D$33,"Variable")</f>
        <v>17421.3002186356</v>
      </c>
      <c r="E13" s="31" t="n">
        <f aca="false">SUMIFS(ABC_Allocation!J$17:J$33,ABC_Allocation!$C$17:$C$33,"Selling &amp; Distribution",ABC_Allocation!$D$17:$D$33,"Variable")</f>
        <v>9264.12453031235</v>
      </c>
      <c r="F13" s="31" t="n">
        <f aca="false">SUMIFS(ABC_Allocation!K$17:K$33,ABC_Allocation!$C$17:$C$33,"Selling &amp; Distribution",ABC_Allocation!$D$17:$D$33,"Variable")</f>
        <v>5198.67267793025</v>
      </c>
      <c r="G13" s="32" t="n">
        <f aca="false">SUM(C13:F13)</f>
        <v>48395</v>
      </c>
    </row>
    <row r="14" customFormat="false" ht="15" hidden="false" customHeight="false" outlineLevel="0" collapsed="false">
      <c r="B14" s="28" t="s">
        <v>86</v>
      </c>
      <c r="C14" s="31" t="n">
        <f aca="false">SUMIFS(ABC_Allocation!H$17:H$33,ABC_Allocation!$C$17:$C$33,"Selling &amp; Distribution",ABC_Allocation!$D$17:$D$33,"Fixed")</f>
        <v>19307.0430769231</v>
      </c>
      <c r="D14" s="31" t="n">
        <f aca="false">SUMIFS(ABC_Allocation!I$17:I$33,ABC_Allocation!$C$17:$C$33,"Selling &amp; Distribution",ABC_Allocation!$D$17:$D$33,"Fixed")</f>
        <v>15050.6953846154</v>
      </c>
      <c r="E14" s="31" t="n">
        <f aca="false">SUMIFS(ABC_Allocation!J$17:J$33,ABC_Allocation!$C$17:$C$33,"Selling &amp; Distribution",ABC_Allocation!$D$17:$D$33,"Fixed")</f>
        <v>10282.1753846154</v>
      </c>
      <c r="F14" s="31" t="n">
        <f aca="false">SUMIFS(ABC_Allocation!K$17:K$33,ABC_Allocation!$C$17:$C$33,"Selling &amp; Distribution",ABC_Allocation!$D$17:$D$33,"Fixed")</f>
        <v>13042.0861538462</v>
      </c>
      <c r="G14" s="32" t="n">
        <f aca="false">SUM(C14:F14)</f>
        <v>57682</v>
      </c>
    </row>
    <row r="15" customFormat="false" ht="15" hidden="false" customHeight="false" outlineLevel="0" collapsed="false">
      <c r="B15" s="28" t="s">
        <v>87</v>
      </c>
      <c r="C15" s="31" t="n">
        <f aca="false">SUMIFS(ABC_Allocation!H$17:H$33,ABC_Allocation!$C$17:$C$33,"General &amp; Administrative")</f>
        <v>25112.3284677333</v>
      </c>
      <c r="D15" s="31" t="n">
        <f aca="false">SUMIFS(ABC_Allocation!I$17:I$33,ABC_Allocation!$C$17:$C$33,"General &amp; Administrative")</f>
        <v>19126.4225717428</v>
      </c>
      <c r="E15" s="31" t="n">
        <f aca="false">SUMIFS(ABC_Allocation!J$17:J$33,ABC_Allocation!$C$17:$C$33,"General &amp; Administrative")</f>
        <v>11213.843662896</v>
      </c>
      <c r="F15" s="31" t="n">
        <f aca="false">SUMIFS(ABC_Allocation!K$17:K$33,ABC_Allocation!$C$17:$C$33,"General &amp; Administrative")</f>
        <v>8374.40529762789</v>
      </c>
      <c r="G15" s="32" t="n">
        <f aca="false">SUM(C15:F15)</f>
        <v>63827</v>
      </c>
    </row>
    <row r="16" customFormat="false" ht="15" hidden="false" customHeight="false" outlineLevel="0" collapsed="false">
      <c r="B16" s="28" t="s">
        <v>88</v>
      </c>
      <c r="C16" s="31" t="n">
        <f aca="false">SUMIFS(ABC_Allocation!H$17:H$33,ABC_Allocation!$C$17:$C$33,"Depreciation")</f>
        <v>7214.08839815502</v>
      </c>
      <c r="D16" s="31" t="n">
        <f aca="false">SUMIFS(ABC_Allocation!I$17:I$33,ABC_Allocation!$C$17:$C$33,"Depreciation")</f>
        <v>6852.85825696906</v>
      </c>
      <c r="E16" s="31" t="n">
        <f aca="false">SUMIFS(ABC_Allocation!J$17:J$33,ABC_Allocation!$C$17:$C$33,"Depreciation")</f>
        <v>4031.75616645733</v>
      </c>
      <c r="F16" s="31" t="n">
        <f aca="false">SUMIFS(ABC_Allocation!K$17:K$33,ABC_Allocation!$C$17:$C$33,"Depreciation")</f>
        <v>3158.2971784186</v>
      </c>
      <c r="G16" s="32" t="n">
        <f aca="false">SUM(C16:F16)</f>
        <v>21257</v>
      </c>
    </row>
    <row r="17" customFormat="false" ht="15" hidden="false" customHeight="false" outlineLevel="0" collapsed="false">
      <c r="B17" s="33" t="s">
        <v>89</v>
      </c>
      <c r="C17" s="34" t="n">
        <f aca="false">SUM(C13:C16)</f>
        <v>68144.3625159332</v>
      </c>
      <c r="D17" s="34" t="n">
        <f aca="false">SUM(D13:D16)</f>
        <v>58451.2764319629</v>
      </c>
      <c r="E17" s="34" t="n">
        <f aca="false">SUM(E13:E16)</f>
        <v>34791.8997442811</v>
      </c>
      <c r="F17" s="34" t="n">
        <f aca="false">SUM(F13:F16)</f>
        <v>29773.4613078229</v>
      </c>
      <c r="G17" s="34" t="n">
        <f aca="false">SUM(C17:F17)</f>
        <v>191161</v>
      </c>
    </row>
    <row r="18" customFormat="false" ht="15" hidden="false" customHeight="false" outlineLevel="0" collapsed="false">
      <c r="B18" s="33" t="s">
        <v>90</v>
      </c>
      <c r="C18" s="34" t="n">
        <f aca="false">C10-C17</f>
        <v>27671.6374840668</v>
      </c>
      <c r="D18" s="34" t="n">
        <f aca="false">D10-D17</f>
        <v>20330.7235680372</v>
      </c>
      <c r="E18" s="34" t="n">
        <f aca="false">E10-E17</f>
        <v>16389.1002557189</v>
      </c>
      <c r="F18" s="34" t="n">
        <f aca="false">F10-F17</f>
        <v>-5658.46130782288</v>
      </c>
      <c r="G18" s="34" t="n">
        <f aca="false">SUM(C18:F18)</f>
        <v>58733</v>
      </c>
    </row>
    <row r="19" customFormat="false" ht="15" hidden="false" customHeight="false" outlineLevel="0" collapsed="false">
      <c r="B19" s="28" t="s">
        <v>91</v>
      </c>
      <c r="C19" s="35" t="n">
        <f aca="false">IFERROR(C18/C8,0)</f>
        <v>0.0723422589842535</v>
      </c>
      <c r="D19" s="35" t="n">
        <f aca="false">IFERROR(D18/D8,0)</f>
        <v>0.0695823957945293</v>
      </c>
      <c r="E19" s="35" t="n">
        <f aca="false">IFERROR(E18/E8,0)</f>
        <v>0.0960893771478762</v>
      </c>
      <c r="F19" s="35" t="n">
        <f aca="false">IFERROR(F18/F8,0)</f>
        <v>-0.0444886059944089</v>
      </c>
      <c r="G19" s="36" t="n">
        <f aca="false">IFERROR(G18/G8,0)</f>
        <v>0.0603974324432717</v>
      </c>
    </row>
    <row r="20" customFormat="false" ht="18" hidden="false" customHeight="true" outlineLevel="0" collapsed="false">
      <c r="B20" s="17" t="s">
        <v>92</v>
      </c>
      <c r="C20" s="1"/>
      <c r="D20" s="1"/>
      <c r="E20" s="1"/>
      <c r="F20" s="1"/>
      <c r="G20" s="1"/>
    </row>
    <row r="21" customFormat="false" ht="15" hidden="false" customHeight="false" outlineLevel="0" collapsed="false">
      <c r="B21" s="28" t="s">
        <v>93</v>
      </c>
      <c r="C21" s="37" t="n">
        <f aca="false">$G$17*C8/$G$8</f>
        <v>75193.1674176969</v>
      </c>
      <c r="D21" s="37" t="n">
        <f aca="false">$G$17*D8/$G$8</f>
        <v>57436.6422902343</v>
      </c>
      <c r="E21" s="37" t="n">
        <f aca="false">$G$17*E8/$G$8</f>
        <v>33528.5922666853</v>
      </c>
      <c r="F21" s="37" t="n">
        <f aca="false">$G$17*F8/$G$8</f>
        <v>25002.5980253835</v>
      </c>
      <c r="G21" s="32" t="n">
        <f aca="false">SUM(C21:F21)</f>
        <v>191161</v>
      </c>
    </row>
    <row r="22" customFormat="false" ht="15" hidden="false" customHeight="false" outlineLevel="0" collapsed="false">
      <c r="B22" s="33" t="s">
        <v>94</v>
      </c>
      <c r="C22" s="34" t="n">
        <f aca="false">C10-C21</f>
        <v>20622.8325823031</v>
      </c>
      <c r="D22" s="34" t="n">
        <f aca="false">D10-D21</f>
        <v>21345.3577097657</v>
      </c>
      <c r="E22" s="34" t="n">
        <f aca="false">E10-E21</f>
        <v>17652.4077333147</v>
      </c>
      <c r="F22" s="34" t="n">
        <f aca="false">F10-F21</f>
        <v>-887.598025383519</v>
      </c>
      <c r="G22" s="34" t="n">
        <f aca="false">SUM(C22:F22)</f>
        <v>58733</v>
      </c>
    </row>
    <row r="23" customFormat="false" ht="15" hidden="false" customHeight="false" outlineLevel="0" collapsed="false">
      <c r="B23" s="28" t="s">
        <v>95</v>
      </c>
      <c r="C23" s="35" t="n">
        <f aca="false">IFERROR(C22/C8,0)</f>
        <v>0.0539144926467363</v>
      </c>
      <c r="D23" s="35" t="n">
        <f aca="false">IFERROR(D22/D8,0)</f>
        <v>0.0730550058174895</v>
      </c>
      <c r="E23" s="35" t="n">
        <f aca="false">IFERROR(E22/E8,0)</f>
        <v>0.103496155236629</v>
      </c>
      <c r="F23" s="35" t="n">
        <f aca="false">IFERROR(F22/F8,0)</f>
        <v>-0.00697857539082404</v>
      </c>
      <c r="G23" s="36" t="n">
        <f aca="false">IFERROR(G22/G8,0)</f>
        <v>0.0603974324432717</v>
      </c>
    </row>
    <row r="24" customFormat="false" ht="15" hidden="false" customHeight="false" outlineLevel="0" collapsed="false">
      <c r="B24" s="7" t="s">
        <v>96</v>
      </c>
      <c r="C24" s="32" t="n">
        <f aca="false">C18-C22</f>
        <v>7048.80490176371</v>
      </c>
      <c r="D24" s="32" t="n">
        <f aca="false">D18-D22</f>
        <v>-1014.63414172857</v>
      </c>
      <c r="E24" s="32" t="n">
        <f aca="false">E18-E22</f>
        <v>-1263.30747759577</v>
      </c>
      <c r="F24" s="32" t="n">
        <f aca="false">F18-F22</f>
        <v>-4770.86328243936</v>
      </c>
      <c r="G24" s="32" t="n">
        <f aca="false">SUM(C24:F24)</f>
        <v>0</v>
      </c>
    </row>
    <row r="25" customFormat="false" ht="15" hidden="false" customHeight="false" outlineLevel="0" collapsed="false">
      <c r="B25" s="28" t="s">
        <v>97</v>
      </c>
      <c r="C25" s="35" t="n">
        <f aca="false">IFERROR(C24/C18,0)</f>
        <v>0.254730313875439</v>
      </c>
      <c r="D25" s="35" t="n">
        <f aca="false">IFERROR(D24/D18,0)</f>
        <v>-0.0499064452051144</v>
      </c>
      <c r="E25" s="35" t="n">
        <f aca="false">IFERROR(E24/E18,0)</f>
        <v>-0.0770821739988408</v>
      </c>
      <c r="F25" s="35" t="n">
        <f aca="false">IFERROR(F24/F18,0)</f>
        <v>0.843137917342228</v>
      </c>
    </row>
    <row r="26" customFormat="false" ht="18" hidden="false" customHeight="true" outlineLevel="0" collapsed="false">
      <c r="B26" s="17" t="s">
        <v>98</v>
      </c>
      <c r="C26" s="1"/>
      <c r="D26" s="1"/>
      <c r="E26" s="1"/>
      <c r="F26" s="1"/>
      <c r="G26" s="1"/>
    </row>
    <row r="27" customFormat="false" ht="15" hidden="false" customHeight="false" outlineLevel="0" collapsed="false">
      <c r="B27" s="28" t="s">
        <v>99</v>
      </c>
      <c r="C27" s="38" t="n">
        <f aca="false">IFERROR(C8/C7,0)</f>
        <v>648.322033898305</v>
      </c>
      <c r="D27" s="38" t="n">
        <f aca="false">IFERROR(D8/D7,0)</f>
        <v>449.510769230769</v>
      </c>
      <c r="E27" s="38" t="n">
        <f aca="false">IFERROR(E8/E7,0)</f>
        <v>609.146428571429</v>
      </c>
      <c r="F27" s="38" t="n">
        <f aca="false">IFERROR(F8/F7,0)</f>
        <v>794.93125</v>
      </c>
      <c r="G27" s="30" t="n">
        <f aca="false">IFERROR(G8/G7,0)</f>
        <v>578.834523809524</v>
      </c>
    </row>
    <row r="28" customFormat="false" ht="15" hidden="false" customHeight="false" outlineLevel="0" collapsed="false">
      <c r="B28" s="28" t="s">
        <v>100</v>
      </c>
      <c r="C28" s="38" t="n">
        <f aca="false">IFERROR(C9/C7,0)</f>
        <v>485.922033898305</v>
      </c>
      <c r="D28" s="38" t="n">
        <f aca="false">IFERROR(D9/D7,0)</f>
        <v>328.307692307692</v>
      </c>
      <c r="E28" s="38" t="n">
        <f aca="false">IFERROR(E9/E7,0)</f>
        <v>426.357142857143</v>
      </c>
      <c r="F28" s="38" t="n">
        <f aca="false">IFERROR(F9/F7,0)</f>
        <v>644.2125</v>
      </c>
      <c r="G28" s="30" t="n">
        <f aca="false">IFERROR(G9/G7,0)</f>
        <v>430.088095238095</v>
      </c>
    </row>
    <row r="29" customFormat="false" ht="15" hidden="false" customHeight="false" outlineLevel="0" collapsed="false">
      <c r="B29" s="28" t="s">
        <v>101</v>
      </c>
      <c r="C29" s="38" t="n">
        <f aca="false">C27-C28</f>
        <v>162.4</v>
      </c>
      <c r="D29" s="38" t="n">
        <f aca="false">D27-D28</f>
        <v>121.203076923077</v>
      </c>
      <c r="E29" s="38" t="n">
        <f aca="false">E27-E28</f>
        <v>182.789285714286</v>
      </c>
      <c r="F29" s="38" t="n">
        <f aca="false">F27-F28</f>
        <v>150.71875</v>
      </c>
      <c r="G29" s="30" t="n">
        <f aca="false">G27-G28</f>
        <v>148.746428571429</v>
      </c>
    </row>
    <row r="30" customFormat="false" ht="15" hidden="false" customHeight="false" outlineLevel="0" collapsed="false">
      <c r="B30" s="28" t="s">
        <v>102</v>
      </c>
      <c r="C30" s="38" t="n">
        <f aca="false">IFERROR(C17/C7,0)</f>
        <v>115.498919518531</v>
      </c>
      <c r="D30" s="38" t="n">
        <f aca="false">IFERROR(D17/D7,0)</f>
        <v>89.9250406645582</v>
      </c>
      <c r="E30" s="38" t="n">
        <f aca="false">IFERROR(E17/E7,0)</f>
        <v>124.256784801004</v>
      </c>
      <c r="F30" s="38" t="n">
        <f aca="false">IFERROR(F17/F7,0)</f>
        <v>186.084133173893</v>
      </c>
      <c r="G30" s="30" t="n">
        <f aca="false">IFERROR(G17/G7,0)</f>
        <v>113.78630952381</v>
      </c>
    </row>
    <row r="31" customFormat="false" ht="15" hidden="false" customHeight="false" outlineLevel="0" collapsed="false">
      <c r="B31" s="7" t="s">
        <v>103</v>
      </c>
      <c r="C31" s="30" t="n">
        <f aca="false">C28+C30</f>
        <v>601.420953416836</v>
      </c>
      <c r="D31" s="30" t="n">
        <f aca="false">D28+D30</f>
        <v>418.232732972251</v>
      </c>
      <c r="E31" s="30" t="n">
        <f aca="false">E28+E30</f>
        <v>550.613927658147</v>
      </c>
      <c r="F31" s="30" t="n">
        <f aca="false">F28+F30</f>
        <v>830.296633173893</v>
      </c>
      <c r="G31" s="30" t="n">
        <f aca="false">G28+G30</f>
        <v>543.874404761905</v>
      </c>
    </row>
    <row r="32" customFormat="false" ht="15" hidden="false" customHeight="false" outlineLevel="0" collapsed="false">
      <c r="B32" s="7" t="s">
        <v>104</v>
      </c>
      <c r="C32" s="30" t="n">
        <f aca="false">C27-C31</f>
        <v>46.9010804814692</v>
      </c>
      <c r="D32" s="30" t="n">
        <f aca="false">D27-D31</f>
        <v>31.2780362585187</v>
      </c>
      <c r="E32" s="30" t="n">
        <f aca="false">E27-E31</f>
        <v>58.5325009132819</v>
      </c>
      <c r="F32" s="30" t="n">
        <f aca="false">F27-F31</f>
        <v>-35.3653831738931</v>
      </c>
      <c r="G32" s="30" t="n">
        <f aca="false">G27-G31</f>
        <v>34.9601190476191</v>
      </c>
    </row>
    <row r="33" customFormat="false" ht="15" hidden="false" customHeight="false" outlineLevel="0" collapsed="false">
      <c r="B33" s="28" t="s">
        <v>105</v>
      </c>
      <c r="C33" s="38" t="n">
        <f aca="false">IFERROR(C22/C7,0)</f>
        <v>34.9539535293273</v>
      </c>
      <c r="D33" s="38" t="n">
        <f aca="false">IFERROR(D22/D7,0)</f>
        <v>32.839011861178</v>
      </c>
      <c r="E33" s="38" t="n">
        <f aca="false">IFERROR(E22/E7,0)</f>
        <v>63.0443133332667</v>
      </c>
      <c r="F33" s="38" t="n">
        <f aca="false">IFERROR(F22/F7,0)</f>
        <v>-5.54748765864699</v>
      </c>
      <c r="G33" s="30" t="n">
        <f aca="false">IFERROR(G22/G7,0)</f>
        <v>34.960119047619</v>
      </c>
    </row>
    <row r="34" customFormat="false" ht="15" hidden="false" customHeight="false" outlineLevel="0" collapsed="false">
      <c r="B34" s="28" t="s">
        <v>106</v>
      </c>
      <c r="C34" s="39" t="n">
        <f aca="false">RANK(C19,$C$19:$F$19)</f>
        <v>2</v>
      </c>
      <c r="D34" s="39" t="n">
        <f aca="false">RANK(D19,$C$19:$F$19)</f>
        <v>3</v>
      </c>
      <c r="E34" s="39" t="n">
        <f aca="false">RANK(E19,$C$19:$F$19)</f>
        <v>1</v>
      </c>
      <c r="F34" s="39" t="n">
        <f aca="false">RANK(F19,$C$19:$F$19)</f>
        <v>4</v>
      </c>
    </row>
    <row r="36" customFormat="false" ht="54" hidden="false" customHeight="true" outlineLevel="0" collapsed="false">
      <c r="B36" s="40" t="s">
        <v>107</v>
      </c>
      <c r="C36" s="40"/>
      <c r="D36" s="40"/>
      <c r="E36" s="40"/>
      <c r="F36" s="40"/>
      <c r="G36" s="40"/>
    </row>
  </sheetData>
  <mergeCells count="1">
    <mergeCell ref="B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L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24"/>
    <col collapsed="false" customWidth="true" hidden="false" outlineLevel="0" max="4" min="4" style="0" width="11"/>
    <col collapsed="false" customWidth="true" hidden="false" outlineLevel="0" max="5" min="5" style="0" width="17"/>
    <col collapsed="false" customWidth="true" hidden="false" outlineLevel="0" max="11" min="6" style="0" width="13"/>
    <col collapsed="false" customWidth="true" hidden="false" outlineLevel="0" max="12" min="12" style="0" width="11"/>
  </cols>
  <sheetData>
    <row r="1" customFormat="false" ht="24" hidden="false" customHeight="true" outlineLevel="0" collapsed="false">
      <c r="B1" s="15" t="s">
        <v>108</v>
      </c>
    </row>
    <row r="2" customFormat="false" ht="15" hidden="false" customHeight="false" outlineLevel="0" collapsed="false">
      <c r="B2" s="14" t="s">
        <v>109</v>
      </c>
    </row>
    <row r="3" customFormat="false" ht="15" hidden="false" customHeight="false" outlineLevel="0" collapsed="false">
      <c r="B3" s="16" t="str">
        <f aca="false">HYPERLINK("#Cover!A1","◄ Back to Cover")</f>
        <v>◄ Back to Cover</v>
      </c>
    </row>
    <row r="5" customFormat="false" ht="18" hidden="false" customHeight="true" outlineLevel="0" collapsed="false">
      <c r="B5" s="17" t="s">
        <v>110</v>
      </c>
      <c r="C5" s="1"/>
      <c r="D5" s="1"/>
      <c r="E5" s="1"/>
      <c r="F5" s="1"/>
      <c r="G5" s="1"/>
      <c r="H5" s="1"/>
      <c r="I5" s="1"/>
      <c r="J5" s="1"/>
      <c r="K5" s="1"/>
      <c r="L5" s="1"/>
    </row>
    <row r="6" customFormat="false" ht="30" hidden="false" customHeight="true" outlineLevel="0" collapsed="false">
      <c r="B6" s="26" t="s">
        <v>111</v>
      </c>
      <c r="C6" s="27" t="s">
        <v>112</v>
      </c>
      <c r="D6" s="27"/>
      <c r="E6" s="27" t="s">
        <v>73</v>
      </c>
      <c r="F6" s="27" t="s">
        <v>74</v>
      </c>
      <c r="G6" s="27" t="s">
        <v>113</v>
      </c>
      <c r="H6" s="27" t="s">
        <v>76</v>
      </c>
      <c r="I6" s="27" t="s">
        <v>77</v>
      </c>
    </row>
    <row r="7" customFormat="false" ht="15" hidden="false" customHeight="false" outlineLevel="0" collapsed="false">
      <c r="B7" s="7" t="s">
        <v>80</v>
      </c>
      <c r="C7" s="14" t="s">
        <v>114</v>
      </c>
      <c r="E7" s="31" t="n">
        <f aca="false">Product_Costing!C8</f>
        <v>382510</v>
      </c>
      <c r="F7" s="31" t="n">
        <f aca="false">Product_Costing!D8</f>
        <v>292182</v>
      </c>
      <c r="G7" s="31" t="n">
        <f aca="false">Product_Costing!E8</f>
        <v>170561</v>
      </c>
      <c r="H7" s="31" t="n">
        <f aca="false">Product_Costing!F8</f>
        <v>127189</v>
      </c>
      <c r="I7" s="32" t="n">
        <f aca="false">SUM(E7:H7)</f>
        <v>972442</v>
      </c>
    </row>
    <row r="8" customFormat="false" ht="15" hidden="false" customHeight="false" outlineLevel="0" collapsed="false">
      <c r="B8" s="7" t="s">
        <v>115</v>
      </c>
      <c r="C8" s="14" t="s">
        <v>116</v>
      </c>
      <c r="E8" s="41" t="n">
        <f aca="false">Inputs!E11</f>
        <v>0.38</v>
      </c>
      <c r="F8" s="41" t="n">
        <f aca="false">Inputs!E12</f>
        <v>0.32</v>
      </c>
      <c r="G8" s="41" t="n">
        <f aca="false">Inputs!E13</f>
        <v>0.18</v>
      </c>
      <c r="H8" s="41" t="n">
        <f aca="false">Inputs!E14</f>
        <v>0.12</v>
      </c>
      <c r="I8" s="36" t="n">
        <f aca="false">SUM(E8:H8)</f>
        <v>1</v>
      </c>
    </row>
    <row r="9" customFormat="false" ht="15" hidden="false" customHeight="false" outlineLevel="0" collapsed="false">
      <c r="B9" s="7" t="s">
        <v>117</v>
      </c>
      <c r="C9" s="14" t="s">
        <v>118</v>
      </c>
      <c r="E9" s="31" t="n">
        <f aca="false">Inputs!C11*Inputs!D11</f>
        <v>590</v>
      </c>
      <c r="F9" s="31" t="n">
        <f aca="false">Inputs!C12*Inputs!D12</f>
        <v>845</v>
      </c>
      <c r="G9" s="31" t="n">
        <f aca="false">Inputs!C13*Inputs!D13</f>
        <v>420</v>
      </c>
      <c r="H9" s="31" t="n">
        <f aca="false">Inputs!C14*Inputs!D14</f>
        <v>176</v>
      </c>
      <c r="I9" s="32" t="n">
        <f aca="false">SUM(E9:H9)</f>
        <v>2031</v>
      </c>
    </row>
    <row r="10" customFormat="false" ht="15" hidden="false" customHeight="false" outlineLevel="0" collapsed="false">
      <c r="B10" s="7" t="s">
        <v>119</v>
      </c>
      <c r="C10" s="14" t="s">
        <v>116</v>
      </c>
      <c r="E10" s="41" t="n">
        <f aca="false">Inputs!F11</f>
        <v>0.36</v>
      </c>
      <c r="F10" s="41" t="n">
        <f aca="false">Inputs!F12</f>
        <v>0.24</v>
      </c>
      <c r="G10" s="41" t="n">
        <f aca="false">Inputs!F13</f>
        <v>0.18</v>
      </c>
      <c r="H10" s="41" t="n">
        <f aca="false">Inputs!F14</f>
        <v>0.22</v>
      </c>
      <c r="I10" s="36" t="n">
        <f aca="false">SUM(E10:H10)</f>
        <v>1</v>
      </c>
    </row>
    <row r="11" customFormat="false" ht="15" hidden="false" customHeight="false" outlineLevel="0" collapsed="false">
      <c r="B11" s="7" t="s">
        <v>120</v>
      </c>
      <c r="C11" s="14" t="s">
        <v>121</v>
      </c>
      <c r="E11" s="31" t="n">
        <f aca="false">Inputs!G11</f>
        <v>410</v>
      </c>
      <c r="F11" s="31" t="n">
        <f aca="false">Inputs!G12</f>
        <v>360</v>
      </c>
      <c r="G11" s="31" t="n">
        <f aca="false">Inputs!G13</f>
        <v>230</v>
      </c>
      <c r="H11" s="31" t="n">
        <f aca="false">Inputs!G14</f>
        <v>300</v>
      </c>
      <c r="I11" s="32" t="n">
        <f aca="false">SUM(E11:H11)</f>
        <v>1300</v>
      </c>
    </row>
    <row r="12" customFormat="false" ht="15" hidden="false" customHeight="false" outlineLevel="0" collapsed="false">
      <c r="B12" s="7" t="s">
        <v>122</v>
      </c>
      <c r="C12" s="14" t="s">
        <v>114</v>
      </c>
      <c r="E12" s="31" t="n">
        <f aca="false">Product_Costing!C8*Inputs!H11</f>
        <v>306008</v>
      </c>
      <c r="F12" s="31" t="n">
        <f aca="false">Product_Costing!D8*Inputs!H12</f>
        <v>204527.4</v>
      </c>
      <c r="G12" s="31" t="n">
        <f aca="false">Product_Costing!E8*Inputs!H13</f>
        <v>144976.85</v>
      </c>
      <c r="H12" s="31" t="n">
        <f aca="false">Product_Costing!F8*Inputs!H14</f>
        <v>114470.1</v>
      </c>
      <c r="I12" s="32" t="n">
        <f aca="false">SUM(E12:H12)</f>
        <v>769982.35</v>
      </c>
    </row>
    <row r="15" customFormat="false" ht="18" hidden="false" customHeight="true" outlineLevel="0" collapsed="false">
      <c r="B15" s="17" t="s">
        <v>123</v>
      </c>
      <c r="C15" s="1"/>
      <c r="D15" s="1"/>
      <c r="E15" s="1"/>
      <c r="F15" s="1"/>
      <c r="G15" s="1"/>
      <c r="H15" s="1"/>
      <c r="I15" s="1"/>
      <c r="J15" s="1"/>
      <c r="K15" s="1"/>
      <c r="L15" s="1"/>
    </row>
    <row r="16" customFormat="false" ht="31.5" hidden="false" customHeight="true" outlineLevel="0" collapsed="false">
      <c r="B16" s="26" t="s">
        <v>124</v>
      </c>
      <c r="C16" s="27" t="s">
        <v>125</v>
      </c>
      <c r="D16" s="27" t="s">
        <v>49</v>
      </c>
      <c r="E16" s="27" t="s">
        <v>111</v>
      </c>
      <c r="F16" s="27" t="s">
        <v>126</v>
      </c>
      <c r="G16" s="27" t="s">
        <v>127</v>
      </c>
      <c r="H16" s="27" t="s">
        <v>73</v>
      </c>
      <c r="I16" s="27" t="s">
        <v>74</v>
      </c>
      <c r="J16" s="27" t="s">
        <v>113</v>
      </c>
      <c r="K16" s="27" t="s">
        <v>76</v>
      </c>
      <c r="L16" s="27" t="s">
        <v>128</v>
      </c>
    </row>
    <row r="17" customFormat="false" ht="15" hidden="false" customHeight="false" outlineLevel="0" collapsed="false">
      <c r="B17" s="42" t="s">
        <v>129</v>
      </c>
      <c r="C17" s="43" t="s">
        <v>130</v>
      </c>
      <c r="D17" s="44" t="s">
        <v>131</v>
      </c>
      <c r="E17" s="44" t="s">
        <v>80</v>
      </c>
      <c r="F17" s="31" t="n">
        <f aca="false">SUMIFS(E_Amt,E_Year,Cost_Year,E_Line,$B17)</f>
        <v>15695</v>
      </c>
      <c r="G17" s="45" t="n">
        <f aca="false">IFERROR(F17/INDEX($I$7:$I$12,MATCH($E17,$B$7:$B$12,0)),0)</f>
        <v>0.0161397800588621</v>
      </c>
      <c r="H17" s="37" t="n">
        <f aca="false">$F17*INDEX(E$7:E$12,MATCH($E17,$B$7:$B$12,0))/INDEX($I$7:$I$12,MATCH($E17,$B$7:$B$12,0))</f>
        <v>6173.62727031535</v>
      </c>
      <c r="I17" s="37" t="n">
        <f aca="false">$F17*INDEX(F$7:F$12,MATCH($E17,$B$7:$B$12,0))/INDEX($I$7:$I$12,MATCH($E17,$B$7:$B$12,0))</f>
        <v>4715.75321715845</v>
      </c>
      <c r="J17" s="37" t="n">
        <f aca="false">$F17*INDEX(G$7:G$12,MATCH($E17,$B$7:$B$12,0))/INDEX($I$7:$I$12,MATCH($E17,$B$7:$B$12,0))</f>
        <v>2752.81702661958</v>
      </c>
      <c r="K17" s="37" t="n">
        <f aca="false">$F17*INDEX(H$7:H$12,MATCH($E17,$B$7:$B$12,0))/INDEX($I$7:$I$12,MATCH($E17,$B$7:$B$12,0))</f>
        <v>2052.80248590661</v>
      </c>
      <c r="L17" s="46" t="n">
        <f aca="false">SUM(H17:K17)-F17</f>
        <v>0</v>
      </c>
    </row>
    <row r="18" customFormat="false" ht="15" hidden="false" customHeight="false" outlineLevel="0" collapsed="false">
      <c r="B18" s="42" t="s">
        <v>132</v>
      </c>
      <c r="C18" s="43" t="s">
        <v>130</v>
      </c>
      <c r="D18" s="44" t="s">
        <v>131</v>
      </c>
      <c r="E18" s="44" t="s">
        <v>115</v>
      </c>
      <c r="F18" s="31" t="n">
        <f aca="false">SUMIFS(E_Amt,E_Year,Cost_Year,E_Line,$B18)</f>
        <v>9363</v>
      </c>
      <c r="G18" s="45" t="n">
        <f aca="false">IFERROR(F18/INDEX($I$7:$I$12,MATCH($E18,$B$7:$B$12,0)),0)</f>
        <v>9363</v>
      </c>
      <c r="H18" s="37" t="n">
        <f aca="false">$F18*INDEX(E$7:E$12,MATCH($E18,$B$7:$B$12,0))/INDEX($I$7:$I$12,MATCH($E18,$B$7:$B$12,0))</f>
        <v>3557.94</v>
      </c>
      <c r="I18" s="37" t="n">
        <f aca="false">$F18*INDEX(F$7:F$12,MATCH($E18,$B$7:$B$12,0))/INDEX($I$7:$I$12,MATCH($E18,$B$7:$B$12,0))</f>
        <v>2996.16</v>
      </c>
      <c r="J18" s="37" t="n">
        <f aca="false">$F18*INDEX(G$7:G$12,MATCH($E18,$B$7:$B$12,0))/INDEX($I$7:$I$12,MATCH($E18,$B$7:$B$12,0))</f>
        <v>1685.34</v>
      </c>
      <c r="K18" s="37" t="n">
        <f aca="false">$F18*INDEX(H$7:H$12,MATCH($E18,$B$7:$B$12,0))/INDEX($I$7:$I$12,MATCH($E18,$B$7:$B$12,0))</f>
        <v>1123.56</v>
      </c>
      <c r="L18" s="46" t="n">
        <f aca="false">SUM(H18:K18)-F18</f>
        <v>0</v>
      </c>
    </row>
    <row r="19" customFormat="false" ht="15" hidden="false" customHeight="false" outlineLevel="0" collapsed="false">
      <c r="B19" s="42" t="s">
        <v>133</v>
      </c>
      <c r="C19" s="43" t="s">
        <v>130</v>
      </c>
      <c r="D19" s="44" t="s">
        <v>131</v>
      </c>
      <c r="E19" s="44" t="s">
        <v>117</v>
      </c>
      <c r="F19" s="31" t="n">
        <f aca="false">SUMIFS(E_Amt,E_Year,Cost_Year,E_Line,$B19)</f>
        <v>23337</v>
      </c>
      <c r="G19" s="45" t="n">
        <f aca="false">IFERROR(F19/INDEX($I$7:$I$12,MATCH($E19,$B$7:$B$12,0)),0)</f>
        <v>11.4903988183161</v>
      </c>
      <c r="H19" s="37" t="n">
        <f aca="false">$F19*INDEX(E$7:E$12,MATCH($E19,$B$7:$B$12,0))/INDEX($I$7:$I$12,MATCH($E19,$B$7:$B$12,0))</f>
        <v>6779.3353028065</v>
      </c>
      <c r="I19" s="37" t="n">
        <f aca="false">$F19*INDEX(F$7:F$12,MATCH($E19,$B$7:$B$12,0))/INDEX($I$7:$I$12,MATCH($E19,$B$7:$B$12,0))</f>
        <v>9709.38700147711</v>
      </c>
      <c r="J19" s="37" t="n">
        <f aca="false">$F19*INDEX(G$7:G$12,MATCH($E19,$B$7:$B$12,0))/INDEX($I$7:$I$12,MATCH($E19,$B$7:$B$12,0))</f>
        <v>4825.96750369276</v>
      </c>
      <c r="K19" s="37" t="n">
        <f aca="false">$F19*INDEX(H$7:H$12,MATCH($E19,$B$7:$B$12,0))/INDEX($I$7:$I$12,MATCH($E19,$B$7:$B$12,0))</f>
        <v>2022.31019202363</v>
      </c>
      <c r="L19" s="46" t="n">
        <f aca="false">SUM(H19:K19)-F19</f>
        <v>0</v>
      </c>
    </row>
    <row r="20" customFormat="false" ht="15" hidden="false" customHeight="false" outlineLevel="0" collapsed="false">
      <c r="B20" s="42" t="s">
        <v>134</v>
      </c>
      <c r="C20" s="43" t="s">
        <v>130</v>
      </c>
      <c r="D20" s="44" t="s">
        <v>135</v>
      </c>
      <c r="E20" s="44" t="s">
        <v>119</v>
      </c>
      <c r="F20" s="31" t="n">
        <f aca="false">SUMIFS(E_Amt,E_Year,Cost_Year,E_Line,$B20)</f>
        <v>24992</v>
      </c>
      <c r="G20" s="45" t="n">
        <f aca="false">IFERROR(F20/INDEX($I$7:$I$12,MATCH($E20,$B$7:$B$12,0)),0)</f>
        <v>24992</v>
      </c>
      <c r="H20" s="37" t="n">
        <f aca="false">$F20*INDEX(E$7:E$12,MATCH($E20,$B$7:$B$12,0))/INDEX($I$7:$I$12,MATCH($E20,$B$7:$B$12,0))</f>
        <v>8997.12</v>
      </c>
      <c r="I20" s="37" t="n">
        <f aca="false">$F20*INDEX(F$7:F$12,MATCH($E20,$B$7:$B$12,0))/INDEX($I$7:$I$12,MATCH($E20,$B$7:$B$12,0))</f>
        <v>5998.08</v>
      </c>
      <c r="J20" s="37" t="n">
        <f aca="false">$F20*INDEX(G$7:G$12,MATCH($E20,$B$7:$B$12,0))/INDEX($I$7:$I$12,MATCH($E20,$B$7:$B$12,0))</f>
        <v>4498.56</v>
      </c>
      <c r="K20" s="37" t="n">
        <f aca="false">$F20*INDEX(H$7:H$12,MATCH($E20,$B$7:$B$12,0))/INDEX($I$7:$I$12,MATCH($E20,$B$7:$B$12,0))</f>
        <v>5498.24</v>
      </c>
      <c r="L20" s="46" t="n">
        <f aca="false">SUM(H20:K20)-F20</f>
        <v>0</v>
      </c>
    </row>
    <row r="21" customFormat="false" ht="15" hidden="false" customHeight="false" outlineLevel="0" collapsed="false">
      <c r="B21" s="42" t="s">
        <v>136</v>
      </c>
      <c r="C21" s="43" t="s">
        <v>130</v>
      </c>
      <c r="D21" s="44" t="s">
        <v>135</v>
      </c>
      <c r="E21" s="44" t="s">
        <v>120</v>
      </c>
      <c r="F21" s="31" t="n">
        <f aca="false">SUMIFS(E_Amt,E_Year,Cost_Year,E_Line,$B21)</f>
        <v>32690</v>
      </c>
      <c r="G21" s="45" t="n">
        <f aca="false">IFERROR(F21/INDEX($I$7:$I$12,MATCH($E21,$B$7:$B$12,0)),0)</f>
        <v>25.1461538461538</v>
      </c>
      <c r="H21" s="37" t="n">
        <f aca="false">$F21*INDEX(E$7:E$12,MATCH($E21,$B$7:$B$12,0))/INDEX($I$7:$I$12,MATCH($E21,$B$7:$B$12,0))</f>
        <v>10309.9230769231</v>
      </c>
      <c r="I21" s="37" t="n">
        <f aca="false">$F21*INDEX(F$7:F$12,MATCH($E21,$B$7:$B$12,0))/INDEX($I$7:$I$12,MATCH($E21,$B$7:$B$12,0))</f>
        <v>9052.61538461539</v>
      </c>
      <c r="J21" s="37" t="n">
        <f aca="false">$F21*INDEX(G$7:G$12,MATCH($E21,$B$7:$B$12,0))/INDEX($I$7:$I$12,MATCH($E21,$B$7:$B$12,0))</f>
        <v>5783.61538461539</v>
      </c>
      <c r="K21" s="37" t="n">
        <f aca="false">$F21*INDEX(H$7:H$12,MATCH($E21,$B$7:$B$12,0))/INDEX($I$7:$I$12,MATCH($E21,$B$7:$B$12,0))</f>
        <v>7543.84615384615</v>
      </c>
      <c r="L21" s="46" t="n">
        <f aca="false">SUM(H21:K21)-F21</f>
        <v>0</v>
      </c>
    </row>
    <row r="22" customFormat="false" ht="15" hidden="false" customHeight="false" outlineLevel="0" collapsed="false">
      <c r="B22" s="42" t="s">
        <v>137</v>
      </c>
      <c r="C22" s="43" t="s">
        <v>138</v>
      </c>
      <c r="D22" s="44" t="s">
        <v>135</v>
      </c>
      <c r="E22" s="44" t="s">
        <v>80</v>
      </c>
      <c r="F22" s="31" t="n">
        <f aca="false">SUMIFS(E_Amt,E_Year,Cost_Year,E_Line,$B22)</f>
        <v>30213</v>
      </c>
      <c r="G22" s="45" t="n">
        <f aca="false">IFERROR(F22/INDEX($I$7:$I$12,MATCH($E22,$B$7:$B$12,0)),0)</f>
        <v>0.0310692051556802</v>
      </c>
      <c r="H22" s="37" t="n">
        <f aca="false">$F22*INDEX(E$7:E$12,MATCH($E22,$B$7:$B$12,0))/INDEX($I$7:$I$12,MATCH($E22,$B$7:$B$12,0))</f>
        <v>11884.2816640992</v>
      </c>
      <c r="I22" s="37" t="n">
        <f aca="false">$F22*INDEX(F$7:F$12,MATCH($E22,$B$7:$B$12,0))/INDEX($I$7:$I$12,MATCH($E22,$B$7:$B$12,0))</f>
        <v>9077.86250079696</v>
      </c>
      <c r="J22" s="37" t="n">
        <f aca="false">$F22*INDEX(G$7:G$12,MATCH($E22,$B$7:$B$12,0))/INDEX($I$7:$I$12,MATCH($E22,$B$7:$B$12,0))</f>
        <v>5299.19470055798</v>
      </c>
      <c r="K22" s="37" t="n">
        <f aca="false">$F22*INDEX(H$7:H$12,MATCH($E22,$B$7:$B$12,0))/INDEX($I$7:$I$12,MATCH($E22,$B$7:$B$12,0))</f>
        <v>3951.66113454581</v>
      </c>
      <c r="L22" s="46" t="n">
        <f aca="false">SUM(H22:K22)-F22</f>
        <v>0</v>
      </c>
    </row>
    <row r="23" customFormat="false" ht="15" hidden="false" customHeight="false" outlineLevel="0" collapsed="false">
      <c r="B23" s="42" t="s">
        <v>139</v>
      </c>
      <c r="C23" s="43" t="s">
        <v>138</v>
      </c>
      <c r="D23" s="44" t="s">
        <v>135</v>
      </c>
      <c r="E23" s="44" t="s">
        <v>80</v>
      </c>
      <c r="F23" s="31" t="n">
        <f aca="false">SUMIFS(E_Amt,E_Year,Cost_Year,E_Line,$B23)</f>
        <v>8130</v>
      </c>
      <c r="G23" s="45" t="n">
        <f aca="false">IFERROR(F23/INDEX($I$7:$I$12,MATCH($E23,$B$7:$B$12,0)),0)</f>
        <v>0.00836039578710093</v>
      </c>
      <c r="H23" s="37" t="n">
        <f aca="false">$F23*INDEX(E$7:E$12,MATCH($E23,$B$7:$B$12,0))/INDEX($I$7:$I$12,MATCH($E23,$B$7:$B$12,0))</f>
        <v>3197.93499252398</v>
      </c>
      <c r="I23" s="37" t="n">
        <f aca="false">$F23*INDEX(F$7:F$12,MATCH($E23,$B$7:$B$12,0))/INDEX($I$7:$I$12,MATCH($E23,$B$7:$B$12,0))</f>
        <v>2442.75716186672</v>
      </c>
      <c r="J23" s="37" t="n">
        <f aca="false">$F23*INDEX(G$7:G$12,MATCH($E23,$B$7:$B$12,0))/INDEX($I$7:$I$12,MATCH($E23,$B$7:$B$12,0))</f>
        <v>1425.95746584372</v>
      </c>
      <c r="K23" s="37" t="n">
        <f aca="false">$F23*INDEX(H$7:H$12,MATCH($E23,$B$7:$B$12,0))/INDEX($I$7:$I$12,MATCH($E23,$B$7:$B$12,0))</f>
        <v>1063.35037976558</v>
      </c>
      <c r="L23" s="46" t="n">
        <f aca="false">SUM(H23:K23)-F23</f>
        <v>0</v>
      </c>
    </row>
    <row r="24" customFormat="false" ht="15" hidden="false" customHeight="false" outlineLevel="0" collapsed="false">
      <c r="B24" s="42" t="s">
        <v>140</v>
      </c>
      <c r="C24" s="43" t="s">
        <v>138</v>
      </c>
      <c r="D24" s="44" t="s">
        <v>135</v>
      </c>
      <c r="E24" s="44" t="s">
        <v>80</v>
      </c>
      <c r="F24" s="31" t="n">
        <f aca="false">SUMIFS(E_Amt,E_Year,Cost_Year,E_Line,$B24)</f>
        <v>4500</v>
      </c>
      <c r="G24" s="45" t="n">
        <f aca="false">IFERROR(F24/INDEX($I$7:$I$12,MATCH($E24,$B$7:$B$12,0)),0)</f>
        <v>0.0046275253434138</v>
      </c>
      <c r="H24" s="37" t="n">
        <f aca="false">$F24*INDEX(E$7:E$12,MATCH($E24,$B$7:$B$12,0))/INDEX($I$7:$I$12,MATCH($E24,$B$7:$B$12,0))</f>
        <v>1770.07471910921</v>
      </c>
      <c r="I24" s="37" t="n">
        <f aca="false">$F24*INDEX(F$7:F$12,MATCH($E24,$B$7:$B$12,0))/INDEX($I$7:$I$12,MATCH($E24,$B$7:$B$12,0))</f>
        <v>1352.07960988933</v>
      </c>
      <c r="J24" s="37" t="n">
        <f aca="false">$F24*INDEX(G$7:G$12,MATCH($E24,$B$7:$B$12,0))/INDEX($I$7:$I$12,MATCH($E24,$B$7:$B$12,0))</f>
        <v>789.275350098001</v>
      </c>
      <c r="K24" s="37" t="n">
        <f aca="false">$F24*INDEX(H$7:H$12,MATCH($E24,$B$7:$B$12,0))/INDEX($I$7:$I$12,MATCH($E24,$B$7:$B$12,0))</f>
        <v>588.570320903458</v>
      </c>
      <c r="L24" s="46" t="n">
        <f aca="false">SUM(H24:K24)-F24</f>
        <v>0</v>
      </c>
    </row>
    <row r="25" customFormat="false" ht="15" hidden="false" customHeight="false" outlineLevel="0" collapsed="false">
      <c r="B25" s="42" t="s">
        <v>141</v>
      </c>
      <c r="C25" s="43" t="s">
        <v>138</v>
      </c>
      <c r="D25" s="44" t="s">
        <v>135</v>
      </c>
      <c r="E25" s="44" t="s">
        <v>80</v>
      </c>
      <c r="F25" s="31" t="n">
        <f aca="false">SUMIFS(E_Amt,E_Year,Cost_Year,E_Line,$B25)</f>
        <v>6839</v>
      </c>
      <c r="G25" s="45" t="n">
        <f aca="false">IFERROR(F25/INDEX($I$7:$I$12,MATCH($E25,$B$7:$B$12,0)),0)</f>
        <v>0.00703281018302377</v>
      </c>
      <c r="H25" s="37" t="n">
        <f aca="false">$F25*INDEX(E$7:E$12,MATCH($E25,$B$7:$B$12,0))/INDEX($I$7:$I$12,MATCH($E25,$B$7:$B$12,0))</f>
        <v>2690.12022310842</v>
      </c>
      <c r="I25" s="37" t="n">
        <f aca="false">$F25*INDEX(F$7:F$12,MATCH($E25,$B$7:$B$12,0))/INDEX($I$7:$I$12,MATCH($E25,$B$7:$B$12,0))</f>
        <v>2054.86054489625</v>
      </c>
      <c r="J25" s="37" t="n">
        <f aca="false">$F25*INDEX(G$7:G$12,MATCH($E25,$B$7:$B$12,0))/INDEX($I$7:$I$12,MATCH($E25,$B$7:$B$12,0))</f>
        <v>1199.52313762672</v>
      </c>
      <c r="K25" s="37" t="n">
        <f aca="false">$F25*INDEX(H$7:H$12,MATCH($E25,$B$7:$B$12,0))/INDEX($I$7:$I$12,MATCH($E25,$B$7:$B$12,0))</f>
        <v>894.49609436861</v>
      </c>
      <c r="L25" s="46" t="n">
        <f aca="false">SUM(H25:K25)-F25</f>
        <v>0</v>
      </c>
    </row>
    <row r="26" customFormat="false" ht="15" hidden="false" customHeight="false" outlineLevel="0" collapsed="false">
      <c r="B26" s="42" t="s">
        <v>142</v>
      </c>
      <c r="C26" s="43" t="s">
        <v>138</v>
      </c>
      <c r="D26" s="44" t="s">
        <v>135</v>
      </c>
      <c r="E26" s="44" t="s">
        <v>80</v>
      </c>
      <c r="F26" s="31" t="n">
        <f aca="false">SUMIFS(E_Amt,E_Year,Cost_Year,E_Line,$B26)</f>
        <v>2729</v>
      </c>
      <c r="G26" s="45" t="n">
        <f aca="false">IFERROR(F26/INDEX($I$7:$I$12,MATCH($E26,$B$7:$B$12,0)),0)</f>
        <v>0.00280633703603917</v>
      </c>
      <c r="H26" s="37" t="n">
        <f aca="false">$F26*INDEX(E$7:E$12,MATCH($E26,$B$7:$B$12,0))/INDEX($I$7:$I$12,MATCH($E26,$B$7:$B$12,0))</f>
        <v>1073.45197965534</v>
      </c>
      <c r="I26" s="37" t="n">
        <f aca="false">$F26*INDEX(F$7:F$12,MATCH($E26,$B$7:$B$12,0))/INDEX($I$7:$I$12,MATCH($E26,$B$7:$B$12,0))</f>
        <v>819.961167863996</v>
      </c>
      <c r="J26" s="37" t="n">
        <f aca="false">$F26*INDEX(G$7:G$12,MATCH($E26,$B$7:$B$12,0))/INDEX($I$7:$I$12,MATCH($E26,$B$7:$B$12,0))</f>
        <v>478.651651203876</v>
      </c>
      <c r="K26" s="37" t="n">
        <f aca="false">$F26*INDEX(H$7:H$12,MATCH($E26,$B$7:$B$12,0))/INDEX($I$7:$I$12,MATCH($E26,$B$7:$B$12,0))</f>
        <v>356.935201276786</v>
      </c>
      <c r="L26" s="46" t="n">
        <f aca="false">SUM(H26:K26)-F26</f>
        <v>0</v>
      </c>
    </row>
    <row r="27" customFormat="false" ht="15" hidden="false" customHeight="false" outlineLevel="0" collapsed="false">
      <c r="B27" s="42" t="s">
        <v>143</v>
      </c>
      <c r="C27" s="43" t="s">
        <v>138</v>
      </c>
      <c r="D27" s="44" t="s">
        <v>135</v>
      </c>
      <c r="E27" s="44" t="s">
        <v>80</v>
      </c>
      <c r="F27" s="31" t="n">
        <f aca="false">SUMIFS(E_Amt,E_Year,Cost_Year,E_Line,$B27)</f>
        <v>5484</v>
      </c>
      <c r="G27" s="45" t="n">
        <f aca="false">IFERROR(F27/INDEX($I$7:$I$12,MATCH($E27,$B$7:$B$12,0)),0)</f>
        <v>0.00563941088517361</v>
      </c>
      <c r="H27" s="37" t="n">
        <f aca="false">$F27*INDEX(E$7:E$12,MATCH($E27,$B$7:$B$12,0))/INDEX($I$7:$I$12,MATCH($E27,$B$7:$B$12,0))</f>
        <v>2157.13105768776</v>
      </c>
      <c r="I27" s="37" t="n">
        <f aca="false">$F27*INDEX(F$7:F$12,MATCH($E27,$B$7:$B$12,0))/INDEX($I$7:$I$12,MATCH($E27,$B$7:$B$12,0))</f>
        <v>1647.7343512518</v>
      </c>
      <c r="J27" s="37" t="n">
        <f aca="false">$F27*INDEX(G$7:G$12,MATCH($E27,$B$7:$B$12,0))/INDEX($I$7:$I$12,MATCH($E27,$B$7:$B$12,0))</f>
        <v>961.863559986097</v>
      </c>
      <c r="K27" s="37" t="n">
        <f aca="false">$F27*INDEX(H$7:H$12,MATCH($E27,$B$7:$B$12,0))/INDEX($I$7:$I$12,MATCH($E27,$B$7:$B$12,0))</f>
        <v>717.271031074347</v>
      </c>
      <c r="L27" s="46" t="n">
        <f aca="false">SUM(H27:K27)-F27</f>
        <v>0</v>
      </c>
    </row>
    <row r="28" customFormat="false" ht="15" hidden="false" customHeight="false" outlineLevel="0" collapsed="false">
      <c r="B28" s="42" t="s">
        <v>144</v>
      </c>
      <c r="C28" s="43" t="s">
        <v>138</v>
      </c>
      <c r="D28" s="44" t="s">
        <v>135</v>
      </c>
      <c r="E28" s="44" t="s">
        <v>80</v>
      </c>
      <c r="F28" s="31" t="n">
        <f aca="false">SUMIFS(E_Amt,E_Year,Cost_Year,E_Line,$B28)</f>
        <v>4463</v>
      </c>
      <c r="G28" s="45" t="n">
        <f aca="false">IFERROR(F28/INDEX($I$7:$I$12,MATCH($E28,$B$7:$B$12,0)),0)</f>
        <v>0.00458947680170128</v>
      </c>
      <c r="H28" s="37" t="n">
        <f aca="false">$F28*INDEX(E$7:E$12,MATCH($E28,$B$7:$B$12,0))/INDEX($I$7:$I$12,MATCH($E28,$B$7:$B$12,0))</f>
        <v>1755.52077141876</v>
      </c>
      <c r="I28" s="37" t="n">
        <f aca="false">$F28*INDEX(F$7:F$12,MATCH($E28,$B$7:$B$12,0))/INDEX($I$7:$I$12,MATCH($E28,$B$7:$B$12,0))</f>
        <v>1340.96251087468</v>
      </c>
      <c r="J28" s="37" t="n">
        <f aca="false">$F28*INDEX(G$7:G$12,MATCH($E28,$B$7:$B$12,0))/INDEX($I$7:$I$12,MATCH($E28,$B$7:$B$12,0))</f>
        <v>782.785752774973</v>
      </c>
      <c r="K28" s="37" t="n">
        <f aca="false">$F28*INDEX(H$7:H$12,MATCH($E28,$B$7:$B$12,0))/INDEX($I$7:$I$12,MATCH($E28,$B$7:$B$12,0))</f>
        <v>583.730964931585</v>
      </c>
      <c r="L28" s="46" t="n">
        <f aca="false">SUM(H28:K28)-F28</f>
        <v>0</v>
      </c>
    </row>
    <row r="29" customFormat="false" ht="15" hidden="false" customHeight="false" outlineLevel="0" collapsed="false">
      <c r="B29" s="42" t="s">
        <v>145</v>
      </c>
      <c r="C29" s="43" t="s">
        <v>138</v>
      </c>
      <c r="D29" s="44" t="s">
        <v>131</v>
      </c>
      <c r="E29" s="44" t="s">
        <v>122</v>
      </c>
      <c r="F29" s="31" t="n">
        <f aca="false">SUMIFS(E_Amt,E_Year,Cost_Year,E_Line,$B29)</f>
        <v>1469</v>
      </c>
      <c r="G29" s="45" t="n">
        <f aca="false">IFERROR(F29/INDEX($I$7:$I$12,MATCH($E29,$B$7:$B$12,0)),0)</f>
        <v>0.00190783593935627</v>
      </c>
      <c r="H29" s="37" t="n">
        <f aca="false">$F29*INDEX(E$7:E$12,MATCH($E29,$B$7:$B$12,0))/INDEX($I$7:$I$12,MATCH($E29,$B$7:$B$12,0))</f>
        <v>583.813060130534</v>
      </c>
      <c r="I29" s="37" t="n">
        <f aca="false">$F29*INDEX(F$7:F$12,MATCH($E29,$B$7:$B$12,0))/INDEX($I$7:$I$12,MATCH($E29,$B$7:$B$12,0))</f>
        <v>390.204724303096</v>
      </c>
      <c r="J29" s="37" t="n">
        <f aca="false">$F29*INDEX(G$7:G$12,MATCH($E29,$B$7:$B$12,0))/INDEX($I$7:$I$12,MATCH($E29,$B$7:$B$12,0))</f>
        <v>276.592044804663</v>
      </c>
      <c r="K29" s="37" t="n">
        <f aca="false">$F29*INDEX(H$7:H$12,MATCH($E29,$B$7:$B$12,0))/INDEX($I$7:$I$12,MATCH($E29,$B$7:$B$12,0))</f>
        <v>218.390170761706</v>
      </c>
      <c r="L29" s="46" t="n">
        <f aca="false">SUM(H29:K29)-F29</f>
        <v>0</v>
      </c>
    </row>
    <row r="30" customFormat="false" ht="15" hidden="false" customHeight="false" outlineLevel="0" collapsed="false">
      <c r="B30" s="42" t="s">
        <v>146</v>
      </c>
      <c r="C30" s="43" t="s">
        <v>88</v>
      </c>
      <c r="D30" s="44" t="s">
        <v>135</v>
      </c>
      <c r="E30" s="44" t="s">
        <v>119</v>
      </c>
      <c r="F30" s="31" t="n">
        <f aca="false">FS_Data!$E$22</f>
        <v>3825</v>
      </c>
      <c r="G30" s="45" t="n">
        <f aca="false">IFERROR(F30/INDEX($I$7:$I$12,MATCH($E30,$B$7:$B$12,0)),0)</f>
        <v>3825</v>
      </c>
      <c r="H30" s="37" t="n">
        <f aca="false">$F30*INDEX(E$7:E$12,MATCH($E30,$B$7:$B$12,0))/INDEX($I$7:$I$12,MATCH($E30,$B$7:$B$12,0))</f>
        <v>1377</v>
      </c>
      <c r="I30" s="37" t="n">
        <f aca="false">$F30*INDEX(F$7:F$12,MATCH($E30,$B$7:$B$12,0))/INDEX($I$7:$I$12,MATCH($E30,$B$7:$B$12,0))</f>
        <v>918</v>
      </c>
      <c r="J30" s="37" t="n">
        <f aca="false">$F30*INDEX(G$7:G$12,MATCH($E30,$B$7:$B$12,0))/INDEX($I$7:$I$12,MATCH($E30,$B$7:$B$12,0))</f>
        <v>688.5</v>
      </c>
      <c r="K30" s="37" t="n">
        <f aca="false">$F30*INDEX(H$7:H$12,MATCH($E30,$B$7:$B$12,0))/INDEX($I$7:$I$12,MATCH($E30,$B$7:$B$12,0))</f>
        <v>841.5</v>
      </c>
      <c r="L30" s="46" t="n">
        <f aca="false">SUM(H30:K30)-F30</f>
        <v>0</v>
      </c>
    </row>
    <row r="31" customFormat="false" ht="15" hidden="false" customHeight="false" outlineLevel="0" collapsed="false">
      <c r="B31" s="42" t="s">
        <v>147</v>
      </c>
      <c r="C31" s="43" t="s">
        <v>88</v>
      </c>
      <c r="D31" s="44" t="s">
        <v>135</v>
      </c>
      <c r="E31" s="44" t="s">
        <v>119</v>
      </c>
      <c r="F31" s="31" t="n">
        <f aca="false">FS_Data!$E$23</f>
        <v>4583</v>
      </c>
      <c r="G31" s="45" t="n">
        <f aca="false">IFERROR(F31/INDEX($I$7:$I$12,MATCH($E31,$B$7:$B$12,0)),0)</f>
        <v>4583</v>
      </c>
      <c r="H31" s="37" t="n">
        <f aca="false">$F31*INDEX(E$7:E$12,MATCH($E31,$B$7:$B$12,0))/INDEX($I$7:$I$12,MATCH($E31,$B$7:$B$12,0))</f>
        <v>1649.88</v>
      </c>
      <c r="I31" s="37" t="n">
        <f aca="false">$F31*INDEX(F$7:F$12,MATCH($E31,$B$7:$B$12,0))/INDEX($I$7:$I$12,MATCH($E31,$B$7:$B$12,0))</f>
        <v>1099.92</v>
      </c>
      <c r="J31" s="37" t="n">
        <f aca="false">$F31*INDEX(G$7:G$12,MATCH($E31,$B$7:$B$12,0))/INDEX($I$7:$I$12,MATCH($E31,$B$7:$B$12,0))</f>
        <v>824.94</v>
      </c>
      <c r="K31" s="37" t="n">
        <f aca="false">$F31*INDEX(H$7:H$12,MATCH($E31,$B$7:$B$12,0))/INDEX($I$7:$I$12,MATCH($E31,$B$7:$B$12,0))</f>
        <v>1008.26</v>
      </c>
      <c r="L31" s="46" t="n">
        <f aca="false">SUM(H31:K31)-F31</f>
        <v>0</v>
      </c>
    </row>
    <row r="32" customFormat="false" ht="15" hidden="false" customHeight="false" outlineLevel="0" collapsed="false">
      <c r="B32" s="42" t="s">
        <v>148</v>
      </c>
      <c r="C32" s="43" t="s">
        <v>88</v>
      </c>
      <c r="D32" s="44" t="s">
        <v>135</v>
      </c>
      <c r="E32" s="44" t="s">
        <v>117</v>
      </c>
      <c r="F32" s="31" t="n">
        <f aca="false">FS_Data!$E$24</f>
        <v>8429</v>
      </c>
      <c r="G32" s="45" t="n">
        <f aca="false">IFERROR(F32/INDEX($I$7:$I$12,MATCH($E32,$B$7:$B$12,0)),0)</f>
        <v>4.15017232890202</v>
      </c>
      <c r="H32" s="37" t="n">
        <f aca="false">$F32*INDEX(E$7:E$12,MATCH($E32,$B$7:$B$12,0))/INDEX($I$7:$I$12,MATCH($E32,$B$7:$B$12,0))</f>
        <v>2448.60167405219</v>
      </c>
      <c r="I32" s="37" t="n">
        <f aca="false">$F32*INDEX(F$7:F$12,MATCH($E32,$B$7:$B$12,0))/INDEX($I$7:$I$12,MATCH($E32,$B$7:$B$12,0))</f>
        <v>3506.89561792221</v>
      </c>
      <c r="J32" s="37" t="n">
        <f aca="false">$F32*INDEX(G$7:G$12,MATCH($E32,$B$7:$B$12,0))/INDEX($I$7:$I$12,MATCH($E32,$B$7:$B$12,0))</f>
        <v>1743.07237813885</v>
      </c>
      <c r="K32" s="37" t="n">
        <f aca="false">$F32*INDEX(H$7:H$12,MATCH($E32,$B$7:$B$12,0))/INDEX($I$7:$I$12,MATCH($E32,$B$7:$B$12,0))</f>
        <v>730.430329886755</v>
      </c>
      <c r="L32" s="46" t="n">
        <f aca="false">SUM(H32:K32)-F32</f>
        <v>0</v>
      </c>
    </row>
    <row r="33" customFormat="false" ht="15" hidden="false" customHeight="false" outlineLevel="0" collapsed="false">
      <c r="B33" s="42" t="s">
        <v>149</v>
      </c>
      <c r="C33" s="43" t="s">
        <v>88</v>
      </c>
      <c r="D33" s="44" t="s">
        <v>135</v>
      </c>
      <c r="E33" s="44" t="s">
        <v>80</v>
      </c>
      <c r="F33" s="31" t="n">
        <f aca="false">FS_Data!$E$25</f>
        <v>4420</v>
      </c>
      <c r="G33" s="45" t="n">
        <f aca="false">IFERROR(F33/INDEX($I$7:$I$12,MATCH($E33,$B$7:$B$12,0)),0)</f>
        <v>0.00454525822619755</v>
      </c>
      <c r="H33" s="37" t="n">
        <f aca="false">$F33*INDEX(E$7:E$12,MATCH($E33,$B$7:$B$12,0))/INDEX($I$7:$I$12,MATCH($E33,$B$7:$B$12,0))</f>
        <v>1738.60672410283</v>
      </c>
      <c r="I33" s="37" t="n">
        <f aca="false">$F33*INDEX(F$7:F$12,MATCH($E33,$B$7:$B$12,0))/INDEX($I$7:$I$12,MATCH($E33,$B$7:$B$12,0))</f>
        <v>1328.04263904685</v>
      </c>
      <c r="J33" s="37" t="n">
        <f aca="false">$F33*INDEX(G$7:G$12,MATCH($E33,$B$7:$B$12,0))/INDEX($I$7:$I$12,MATCH($E33,$B$7:$B$12,0))</f>
        <v>775.243788318481</v>
      </c>
      <c r="K33" s="37" t="n">
        <f aca="false">$F33*INDEX(H$7:H$12,MATCH($E33,$B$7:$B$12,0))/INDEX($I$7:$I$12,MATCH($E33,$B$7:$B$12,0))</f>
        <v>578.106848531841</v>
      </c>
      <c r="L33" s="46" t="n">
        <f aca="false">SUM(H33:K33)-F33</f>
        <v>0</v>
      </c>
    </row>
    <row r="34" customFormat="false" ht="15" hidden="false" customHeight="false" outlineLevel="0" collapsed="false">
      <c r="B34" s="33" t="s">
        <v>150</v>
      </c>
      <c r="C34" s="47"/>
      <c r="D34" s="47"/>
      <c r="E34" s="47"/>
      <c r="F34" s="34" t="n">
        <f aca="false">SUM(F17:F33)</f>
        <v>191161</v>
      </c>
      <c r="G34" s="47"/>
      <c r="H34" s="34" t="n">
        <f aca="false">SUM(H17:H33)</f>
        <v>68144.3625159332</v>
      </c>
      <c r="I34" s="34" t="n">
        <f aca="false">SUM(I17:I33)</f>
        <v>58451.2764319629</v>
      </c>
      <c r="J34" s="34" t="n">
        <f aca="false">SUM(J17:J33)</f>
        <v>34791.8997442811</v>
      </c>
      <c r="K34" s="34" t="n">
        <f aca="false">SUM(K17:K33)</f>
        <v>29773.4613078229</v>
      </c>
      <c r="L34" s="48" t="n">
        <f aca="false">SUM(L17:L33)</f>
        <v>0</v>
      </c>
    </row>
    <row r="36" customFormat="false" ht="39.75" hidden="false" customHeight="true" outlineLevel="0" collapsed="false">
      <c r="B36" s="40" t="s">
        <v>151</v>
      </c>
      <c r="C36" s="40"/>
      <c r="D36" s="40"/>
      <c r="E36" s="40"/>
      <c r="F36" s="40"/>
      <c r="G36" s="40"/>
      <c r="H36" s="40"/>
      <c r="I36" s="40"/>
      <c r="J36" s="40"/>
      <c r="K36" s="40"/>
      <c r="L36" s="40"/>
    </row>
  </sheetData>
  <mergeCells count="1">
    <mergeCell ref="B36:L36"/>
  </mergeCells>
  <dataValidations count="1">
    <dataValidation allowBlank="false" errorStyle="stop" operator="between" showDropDown="false" showErrorMessage="false" showInputMessage="false" sqref="E17:E33" type="list">
      <formula1>$B$7:$B$12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I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7" min="3" style="0" width="14"/>
    <col collapsed="false" customWidth="true" hidden="false" outlineLevel="0" max="8" min="8" style="0" width="3"/>
    <col collapsed="false" customWidth="true" hidden="false" outlineLevel="0" max="9" min="9" style="0" width="46"/>
  </cols>
  <sheetData>
    <row r="1" customFormat="false" ht="24" hidden="false" customHeight="true" outlineLevel="0" collapsed="false">
      <c r="B1" s="15" t="s">
        <v>152</v>
      </c>
    </row>
    <row r="2" customFormat="false" ht="15" hidden="false" customHeight="false" outlineLevel="0" collapsed="false">
      <c r="B2" s="14" t="s">
        <v>153</v>
      </c>
    </row>
    <row r="3" customFormat="false" ht="15" hidden="false" customHeight="false" outlineLevel="0" collapsed="false">
      <c r="B3" s="16" t="str">
        <f aca="false">HYPERLINK("#Cover!A1","◄ Back to Cover")</f>
        <v>◄ Back to Cover</v>
      </c>
    </row>
    <row r="5" customFormat="false" ht="31.5" hidden="false" customHeight="true" outlineLevel="0" collapsed="false">
      <c r="B5" s="26" t="s">
        <v>72</v>
      </c>
      <c r="C5" s="27" t="s">
        <v>73</v>
      </c>
      <c r="D5" s="27" t="s">
        <v>74</v>
      </c>
      <c r="E5" s="27" t="s">
        <v>75</v>
      </c>
      <c r="F5" s="27" t="s">
        <v>76</v>
      </c>
      <c r="G5" s="27" t="s">
        <v>77</v>
      </c>
    </row>
    <row r="6" customFormat="false" ht="18" hidden="false" customHeight="true" outlineLevel="0" collapsed="false">
      <c r="B6" s="17" t="s">
        <v>154</v>
      </c>
      <c r="C6" s="1"/>
      <c r="D6" s="1"/>
      <c r="E6" s="1"/>
      <c r="F6" s="1"/>
      <c r="G6" s="1"/>
    </row>
    <row r="7" customFormat="false" ht="15" hidden="false" customHeight="false" outlineLevel="0" collapsed="false">
      <c r="B7" s="28" t="s">
        <v>80</v>
      </c>
      <c r="C7" s="31" t="n">
        <f aca="false">Product_Costing!C8</f>
        <v>382510</v>
      </c>
      <c r="D7" s="31" t="n">
        <f aca="false">Product_Costing!D8</f>
        <v>292182</v>
      </c>
      <c r="E7" s="31" t="n">
        <f aca="false">Product_Costing!E8</f>
        <v>170561</v>
      </c>
      <c r="F7" s="31" t="n">
        <f aca="false">Product_Costing!F8</f>
        <v>127189</v>
      </c>
      <c r="G7" s="32" t="n">
        <f aca="false">SUM(C7:F7)</f>
        <v>972442</v>
      </c>
    </row>
    <row r="8" customFormat="false" ht="15" hidden="false" customHeight="false" outlineLevel="0" collapsed="false">
      <c r="B8" s="28" t="s">
        <v>155</v>
      </c>
      <c r="C8" s="31" t="n">
        <f aca="false">Product_Costing!C9</f>
        <v>286694</v>
      </c>
      <c r="D8" s="31" t="n">
        <f aca="false">Product_Costing!D9</f>
        <v>213400</v>
      </c>
      <c r="E8" s="31" t="n">
        <f aca="false">Product_Costing!E9</f>
        <v>119380</v>
      </c>
      <c r="F8" s="31" t="n">
        <f aca="false">Product_Costing!F9</f>
        <v>103074</v>
      </c>
      <c r="G8" s="32" t="n">
        <f aca="false">SUM(C8:F8)</f>
        <v>722548</v>
      </c>
    </row>
    <row r="9" customFormat="false" ht="15" hidden="false" customHeight="false" outlineLevel="0" collapsed="false">
      <c r="B9" s="28" t="s">
        <v>156</v>
      </c>
      <c r="C9" s="31" t="n">
        <f aca="false">SUMIFS(ABC_Allocation!H$17:H$33,ABC_Allocation!$D$17:$D$33,"Variable")</f>
        <v>17094.7156332524</v>
      </c>
      <c r="D9" s="31" t="n">
        <f aca="false">SUMIFS(ABC_Allocation!I$17:I$33,ABC_Allocation!$D$17:$D$33,"Variable")</f>
        <v>17811.5049429387</v>
      </c>
      <c r="E9" s="31" t="n">
        <f aca="false">SUMIFS(ABC_Allocation!J$17:J$33,ABC_Allocation!$D$17:$D$33,"Variable")</f>
        <v>9540.71657511701</v>
      </c>
      <c r="F9" s="31" t="n">
        <f aca="false">SUMIFS(ABC_Allocation!K$17:K$33,ABC_Allocation!$D$17:$D$33,"Variable")</f>
        <v>5417.06284869195</v>
      </c>
      <c r="G9" s="32" t="n">
        <f aca="false">SUM(C9:F9)</f>
        <v>49864</v>
      </c>
    </row>
    <row r="10" customFormat="false" ht="15" hidden="false" customHeight="false" outlineLevel="0" collapsed="false">
      <c r="B10" s="33" t="s">
        <v>157</v>
      </c>
      <c r="C10" s="34" t="n">
        <f aca="false">C7-C8-C9</f>
        <v>78721.2843667476</v>
      </c>
      <c r="D10" s="34" t="n">
        <f aca="false">D7-D8-D9</f>
        <v>60970.4950570613</v>
      </c>
      <c r="E10" s="34" t="n">
        <f aca="false">E7-E8-E9</f>
        <v>41640.283424883</v>
      </c>
      <c r="F10" s="34" t="n">
        <f aca="false">F7-F8-F9</f>
        <v>18697.937151308</v>
      </c>
      <c r="G10" s="34" t="n">
        <f aca="false">SUM(C10:F10)</f>
        <v>200030</v>
      </c>
    </row>
    <row r="11" customFormat="false" ht="15" hidden="false" customHeight="false" outlineLevel="0" collapsed="false">
      <c r="B11" s="28" t="s">
        <v>158</v>
      </c>
      <c r="C11" s="35" t="n">
        <f aca="false">IFERROR(C10/C7,0)</f>
        <v>0.205801898948387</v>
      </c>
      <c r="D11" s="35" t="n">
        <f aca="false">IFERROR(D10/D7,0)</f>
        <v>0.208673001954471</v>
      </c>
      <c r="E11" s="35" t="n">
        <f aca="false">IFERROR(E10/E7,0)</f>
        <v>0.244137190945662</v>
      </c>
      <c r="F11" s="35" t="n">
        <f aca="false">IFERROR(F10/F7,0)</f>
        <v>0.1470090743013</v>
      </c>
      <c r="G11" s="36" t="n">
        <f aca="false">IFERROR(G10/G7,0)</f>
        <v>0.205698643209569</v>
      </c>
    </row>
    <row r="12" customFormat="false" ht="15" hidden="false" customHeight="false" outlineLevel="0" collapsed="false">
      <c r="B12" s="28" t="s">
        <v>159</v>
      </c>
      <c r="C12" s="31" t="n">
        <f aca="false">SUMIFS(ABC_Allocation!H$17:H$33,ABC_Allocation!$D$17:$D$33,"Fixed",ABC_Allocation!$C$17:$C$33,"&lt;&gt;Depreciation")</f>
        <v>43835.5584845258</v>
      </c>
      <c r="D12" s="31" t="n">
        <f aca="false">SUMIFS(ABC_Allocation!I$17:I$33,ABC_Allocation!$D$17:$D$33,"Fixed",ABC_Allocation!$C$17:$C$33,"&lt;&gt;Depreciation")</f>
        <v>33786.9132320551</v>
      </c>
      <c r="E12" s="31" t="n">
        <f aca="false">SUMIFS(ABC_Allocation!J$17:J$33,ABC_Allocation!$D$17:$D$33,"Fixed",ABC_Allocation!$C$17:$C$33,"&lt;&gt;Depreciation")</f>
        <v>21219.4270027067</v>
      </c>
      <c r="F12" s="31" t="n">
        <f aca="false">SUMIFS(ABC_Allocation!K$17:K$33,ABC_Allocation!$D$17:$D$33,"Fixed",ABC_Allocation!$C$17:$C$33,"&lt;&gt;Depreciation")</f>
        <v>21198.1012807123</v>
      </c>
      <c r="G12" s="32" t="n">
        <f aca="false">SUM(C12:F12)</f>
        <v>120040</v>
      </c>
    </row>
    <row r="13" customFormat="false" ht="15" hidden="false" customHeight="false" outlineLevel="0" collapsed="false">
      <c r="B13" s="28" t="s">
        <v>160</v>
      </c>
      <c r="C13" s="31" t="n">
        <f aca="false">SUMIFS(ABC_Allocation!H$17:H$33,ABC_Allocation!$C$17:$C$33,"Depreciation")</f>
        <v>7214.08839815502</v>
      </c>
      <c r="D13" s="31" t="n">
        <f aca="false">SUMIFS(ABC_Allocation!I$17:I$33,ABC_Allocation!$C$17:$C$33,"Depreciation")</f>
        <v>6852.85825696906</v>
      </c>
      <c r="E13" s="31" t="n">
        <f aca="false">SUMIFS(ABC_Allocation!J$17:J$33,ABC_Allocation!$C$17:$C$33,"Depreciation")</f>
        <v>4031.75616645733</v>
      </c>
      <c r="F13" s="31" t="n">
        <f aca="false">SUMIFS(ABC_Allocation!K$17:K$33,ABC_Allocation!$C$17:$C$33,"Depreciation")</f>
        <v>3158.2971784186</v>
      </c>
      <c r="G13" s="32" t="n">
        <f aca="false">SUM(C13:F13)</f>
        <v>21257</v>
      </c>
    </row>
    <row r="14" customFormat="false" ht="15" hidden="false" customHeight="false" outlineLevel="0" collapsed="false">
      <c r="B14" s="33" t="s">
        <v>161</v>
      </c>
      <c r="C14" s="34" t="n">
        <f aca="false">C12+C13</f>
        <v>51049.6468826808</v>
      </c>
      <c r="D14" s="34" t="n">
        <f aca="false">D12+D13</f>
        <v>40639.7714890242</v>
      </c>
      <c r="E14" s="34" t="n">
        <f aca="false">E12+E13</f>
        <v>25251.1831691641</v>
      </c>
      <c r="F14" s="34" t="n">
        <f aca="false">F12+F13</f>
        <v>24356.3984591309</v>
      </c>
      <c r="G14" s="34" t="n">
        <f aca="false">SUM(C14:F14)</f>
        <v>141297</v>
      </c>
    </row>
    <row r="15" customFormat="false" ht="15" hidden="false" customHeight="false" outlineLevel="0" collapsed="false">
      <c r="B15" s="33" t="s">
        <v>162</v>
      </c>
      <c r="C15" s="34" t="n">
        <f aca="false">C10-C14</f>
        <v>27671.6374840668</v>
      </c>
      <c r="D15" s="34" t="n">
        <f aca="false">D10-D14</f>
        <v>20330.7235680372</v>
      </c>
      <c r="E15" s="34" t="n">
        <f aca="false">E10-E14</f>
        <v>16389.1002557189</v>
      </c>
      <c r="F15" s="34" t="n">
        <f aca="false">F10-F14</f>
        <v>-5658.46130782288</v>
      </c>
      <c r="G15" s="34" t="n">
        <f aca="false">SUM(C15:F15)</f>
        <v>58733</v>
      </c>
    </row>
    <row r="16" customFormat="false" ht="18" hidden="false" customHeight="true" outlineLevel="0" collapsed="false">
      <c r="B16" s="17" t="s">
        <v>163</v>
      </c>
      <c r="C16" s="1"/>
      <c r="D16" s="1"/>
      <c r="E16" s="1"/>
      <c r="F16" s="1"/>
      <c r="G16" s="1"/>
    </row>
    <row r="17" customFormat="false" ht="15" hidden="false" customHeight="true" outlineLevel="0" collapsed="false">
      <c r="B17" s="28" t="s">
        <v>164</v>
      </c>
      <c r="C17" s="37" t="n">
        <f aca="false">IFERROR(C14/C11,0)</f>
        <v>248052.360758262</v>
      </c>
      <c r="D17" s="37" t="n">
        <f aca="false">IFERROR(D14/D11,0)</f>
        <v>194753.375416965</v>
      </c>
      <c r="E17" s="37" t="n">
        <f aca="false">IFERROR(E14/E11,0)</f>
        <v>103430.301099779</v>
      </c>
      <c r="F17" s="37" t="n">
        <f aca="false">IFERROR(F14/F11,0)</f>
        <v>165679.558046952</v>
      </c>
      <c r="G17" s="49" t="s">
        <v>165</v>
      </c>
      <c r="I17" s="40" t="s">
        <v>166</v>
      </c>
    </row>
    <row r="18" customFormat="false" ht="15" hidden="false" customHeight="false" outlineLevel="0" collapsed="false">
      <c r="B18" s="28" t="s">
        <v>167</v>
      </c>
      <c r="C18" s="37" t="n">
        <f aca="false">$G$19*C7/$G$7</f>
        <v>270197.047792831</v>
      </c>
      <c r="D18" s="37" t="n">
        <f aca="false">$G$19*D7/$G$7</f>
        <v>206391.241583762</v>
      </c>
      <c r="E18" s="37" t="n">
        <f aca="false">$G$19*E7/$G$7</f>
        <v>120480.715977603</v>
      </c>
      <c r="F18" s="37" t="n">
        <f aca="false">$G$19*F7/$G$7</f>
        <v>89843.6441183823</v>
      </c>
      <c r="G18" s="32" t="n">
        <f aca="false">SUM(C18:F18)</f>
        <v>686912.649472579</v>
      </c>
      <c r="I18" s="40"/>
    </row>
    <row r="19" customFormat="false" ht="15" hidden="false" customHeight="false" outlineLevel="0" collapsed="false">
      <c r="B19" s="7" t="s">
        <v>168</v>
      </c>
      <c r="G19" s="32" t="n">
        <f aca="false">IFERROR(G14/G11,0)</f>
        <v>686912.649472579</v>
      </c>
      <c r="I19" s="40"/>
    </row>
    <row r="20" customFormat="false" ht="15" hidden="false" customHeight="false" outlineLevel="0" collapsed="false">
      <c r="B20" s="28" t="s">
        <v>169</v>
      </c>
      <c r="C20" s="38" t="n">
        <f aca="false">IFERROR(C18/Product_Costing!C27,0)</f>
        <v>416.763635454682</v>
      </c>
      <c r="D20" s="38" t="n">
        <f aca="false">IFERROR(D18/Product_Costing!D27,0)</f>
        <v>459.146378043293</v>
      </c>
      <c r="E20" s="38" t="n">
        <f aca="false">IFERROR(E18/Product_Costing!E27,0)</f>
        <v>197.786132080188</v>
      </c>
      <c r="F20" s="38" t="n">
        <f aca="false">IFERROR(F18/Product_Costing!F27,0)</f>
        <v>113.020646902965</v>
      </c>
      <c r="G20" s="30" t="n">
        <f aca="false">SUM(C20:F20)</f>
        <v>1186.71679248113</v>
      </c>
      <c r="I20" s="40"/>
    </row>
    <row r="21" customFormat="false" ht="15" hidden="false" customHeight="false" outlineLevel="0" collapsed="false">
      <c r="B21" s="28" t="s">
        <v>170</v>
      </c>
      <c r="C21" s="35" t="n">
        <f aca="false">IFERROR(C18/C7,0)</f>
        <v>0.706379043143529</v>
      </c>
      <c r="D21" s="35" t="n">
        <f aca="false">IFERROR(D18/D7,0)</f>
        <v>0.706379043143528</v>
      </c>
      <c r="E21" s="35" t="n">
        <f aca="false">IFERROR(E18/E7,0)</f>
        <v>0.706379043143529</v>
      </c>
      <c r="F21" s="35" t="n">
        <f aca="false">IFERROR(F18/F7,0)</f>
        <v>0.706379043143529</v>
      </c>
      <c r="G21" s="36" t="n">
        <f aca="false">IFERROR(G18/G7,0)</f>
        <v>0.706379043143529</v>
      </c>
    </row>
    <row r="22" customFormat="false" ht="15" hidden="false" customHeight="false" outlineLevel="0" collapsed="false">
      <c r="B22" s="28" t="s">
        <v>171</v>
      </c>
      <c r="C22" s="37" t="n">
        <f aca="false">C7-C18</f>
        <v>112312.952207169</v>
      </c>
      <c r="D22" s="37" t="n">
        <f aca="false">D7-D18</f>
        <v>85790.7584162376</v>
      </c>
      <c r="E22" s="37" t="n">
        <f aca="false">E7-E18</f>
        <v>50080.2840223966</v>
      </c>
      <c r="F22" s="37" t="n">
        <f aca="false">F7-F18</f>
        <v>37345.3558816178</v>
      </c>
      <c r="G22" s="32" t="n">
        <f aca="false">G7-G18</f>
        <v>285529.350527421</v>
      </c>
    </row>
    <row r="23" customFormat="false" ht="15" hidden="false" customHeight="false" outlineLevel="0" collapsed="false">
      <c r="B23" s="28" t="s">
        <v>172</v>
      </c>
      <c r="C23" s="35" t="n">
        <f aca="false">IFERROR(C22/C7,0)</f>
        <v>0.293620956856472</v>
      </c>
      <c r="D23" s="35" t="n">
        <f aca="false">IFERROR(D22/D7,0)</f>
        <v>0.293620956856472</v>
      </c>
      <c r="E23" s="35" t="n">
        <f aca="false">IFERROR(E22/E7,0)</f>
        <v>0.293620956856472</v>
      </c>
      <c r="F23" s="35" t="n">
        <f aca="false">IFERROR(F22/F7,0)</f>
        <v>0.293620956856472</v>
      </c>
      <c r="G23" s="36" t="n">
        <f aca="false">IFERROR(G22/G7,0)</f>
        <v>0.293620956856472</v>
      </c>
    </row>
    <row r="24" customFormat="false" ht="15" hidden="false" customHeight="false" outlineLevel="0" collapsed="false">
      <c r="B24" s="28" t="s">
        <v>173</v>
      </c>
      <c r="C24" s="50" t="n">
        <f aca="false">IFERROR(C10/C15,0)</f>
        <v>2.84483650134817</v>
      </c>
      <c r="D24" s="50" t="n">
        <f aca="false">IFERROR(D10/D15,0)</f>
        <v>2.99893384773161</v>
      </c>
      <c r="E24" s="50" t="n">
        <f aca="false">IFERROR(E10/E15,0)</f>
        <v>2.54073028873887</v>
      </c>
      <c r="F24" s="50" t="n">
        <f aca="false">IFERROR(F10/F15,0)</f>
        <v>-3.30442078404918</v>
      </c>
      <c r="G24" s="51" t="n">
        <f aca="false">IFERROR(G10/G15,0)</f>
        <v>3.40575145148383</v>
      </c>
    </row>
    <row r="26" customFormat="false" ht="18" hidden="false" customHeight="true" outlineLevel="0" collapsed="false">
      <c r="B26" s="17" t="s">
        <v>174</v>
      </c>
      <c r="C26" s="1"/>
      <c r="D26" s="1"/>
      <c r="E26" s="1"/>
      <c r="F26" s="1"/>
      <c r="G26" s="1"/>
    </row>
    <row r="27" customFormat="false" ht="15" hidden="false" customHeight="false" outlineLevel="0" collapsed="false">
      <c r="B27" s="42" t="s">
        <v>175</v>
      </c>
      <c r="G27" s="31" t="n">
        <f aca="false">Target_OP</f>
        <v>75000</v>
      </c>
    </row>
    <row r="28" customFormat="false" ht="15" hidden="false" customHeight="false" outlineLevel="0" collapsed="false">
      <c r="B28" s="42" t="s">
        <v>176</v>
      </c>
      <c r="G28" s="32" t="n">
        <f aca="false">IFERROR((G14+G27)/G11,0)</f>
        <v>1051523.70781383</v>
      </c>
    </row>
    <row r="29" customFormat="false" ht="15" hidden="false" customHeight="false" outlineLevel="0" collapsed="false">
      <c r="B29" s="42" t="s">
        <v>177</v>
      </c>
      <c r="F29" s="35" t="n">
        <f aca="false">IFERROR(G28/G7-1,0)</f>
        <v>0.0813228015797629</v>
      </c>
      <c r="G29" s="37" t="n">
        <f aca="false">G28-G7</f>
        <v>79081.7078138278</v>
      </c>
    </row>
    <row r="30" customFormat="false" ht="15" hidden="false" customHeight="false" outlineLevel="0" collapsed="false">
      <c r="B30" s="42" t="s">
        <v>178</v>
      </c>
      <c r="G30" s="38" t="n">
        <f aca="false">IFERROR(G28/Product_Costing!G27,0)</f>
        <v>1816.622306654</v>
      </c>
    </row>
    <row r="33" customFormat="false" ht="18" hidden="false" customHeight="true" outlineLevel="0" collapsed="false">
      <c r="B33" s="17" t="s">
        <v>179</v>
      </c>
      <c r="C33" s="1"/>
      <c r="D33" s="1"/>
      <c r="E33" s="1"/>
      <c r="F33" s="1"/>
      <c r="G33" s="1"/>
    </row>
    <row r="34" customFormat="false" ht="30" hidden="false" customHeight="true" outlineLevel="0" collapsed="false">
      <c r="B34" s="26" t="s">
        <v>180</v>
      </c>
      <c r="C34" s="27" t="s">
        <v>181</v>
      </c>
      <c r="D34" s="27" t="s">
        <v>182</v>
      </c>
      <c r="E34" s="27" t="s">
        <v>183</v>
      </c>
    </row>
    <row r="35" customFormat="false" ht="15" hidden="false" customHeight="false" outlineLevel="0" collapsed="false">
      <c r="B35" s="42" t="s">
        <v>157</v>
      </c>
      <c r="C35" s="37" t="n">
        <f aca="false">G10</f>
        <v>200030</v>
      </c>
      <c r="D35" s="31" t="n">
        <f aca="false">FS_Data!E14</f>
        <v>200030</v>
      </c>
      <c r="E35" s="37" t="n">
        <f aca="false">C35-D35</f>
        <v>0</v>
      </c>
    </row>
    <row r="36" customFormat="false" ht="15" hidden="false" customHeight="false" outlineLevel="0" collapsed="false">
      <c r="B36" s="42" t="s">
        <v>156</v>
      </c>
      <c r="C36" s="37" t="n">
        <f aca="false">G9</f>
        <v>49864</v>
      </c>
      <c r="D36" s="31" t="n">
        <f aca="false">FS_Data!E13</f>
        <v>49864</v>
      </c>
      <c r="E36" s="37" t="n">
        <f aca="false">C36-D36</f>
        <v>0</v>
      </c>
    </row>
    <row r="37" customFormat="false" ht="15" hidden="false" customHeight="false" outlineLevel="0" collapsed="false">
      <c r="B37" s="42" t="s">
        <v>184</v>
      </c>
      <c r="C37" s="37" t="n">
        <f aca="false">G12</f>
        <v>120040</v>
      </c>
      <c r="D37" s="31" t="n">
        <f aca="false">FS_Data!E15</f>
        <v>120040</v>
      </c>
      <c r="E37" s="37" t="n">
        <f aca="false">C37-D37</f>
        <v>0</v>
      </c>
    </row>
    <row r="38" customFormat="false" ht="15" hidden="false" customHeight="false" outlineLevel="0" collapsed="false">
      <c r="B38" s="42" t="s">
        <v>185</v>
      </c>
      <c r="C38" s="37" t="n">
        <f aca="false">G19</f>
        <v>686912.649472579</v>
      </c>
      <c r="D38" s="31" t="n">
        <f aca="false">FS_Data!E17</f>
        <v>686912.649472579</v>
      </c>
      <c r="E38" s="37" t="n">
        <f aca="false">C38-D38</f>
        <v>0</v>
      </c>
    </row>
    <row r="39" customFormat="false" ht="15" hidden="false" customHeight="false" outlineLevel="0" collapsed="false">
      <c r="B39" s="42" t="s">
        <v>172</v>
      </c>
      <c r="C39" s="52" t="n">
        <f aca="false">G23</f>
        <v>0.293620956856472</v>
      </c>
      <c r="D39" s="53" t="n">
        <f aca="false">FS_Data!E18</f>
        <v>0.293620956856472</v>
      </c>
      <c r="E39" s="54" t="n">
        <f aca="false">C39-D39</f>
        <v>0</v>
      </c>
    </row>
    <row r="40" customFormat="false" ht="15" hidden="false" customHeight="false" outlineLevel="0" collapsed="false">
      <c r="B40" s="42" t="s">
        <v>186</v>
      </c>
      <c r="C40" s="55" t="n">
        <f aca="false">G24</f>
        <v>3.40575145148383</v>
      </c>
      <c r="D40" s="56" t="n">
        <f aca="false">FS_Data!E19</f>
        <v>3.40575145148383</v>
      </c>
      <c r="E40" s="55" t="n">
        <f aca="false">C40-D40</f>
        <v>0</v>
      </c>
    </row>
  </sheetData>
  <mergeCells count="1">
    <mergeCell ref="I17:I2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T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1"/>
    <col collapsed="false" customWidth="true" hidden="false" outlineLevel="0" max="16" min="5" style="0" width="9.51"/>
    <col collapsed="false" customWidth="true" hidden="false" outlineLevel="0" max="18" min="17" style="0" width="12"/>
    <col collapsed="false" customWidth="true" hidden="false" outlineLevel="0" max="19" min="19" style="0" width="10"/>
    <col collapsed="false" customWidth="true" hidden="false" outlineLevel="0" max="20" min="20" style="0" width="26"/>
  </cols>
  <sheetData>
    <row r="1" customFormat="false" ht="24" hidden="false" customHeight="true" outlineLevel="0" collapsed="false">
      <c r="B1" s="15" t="s">
        <v>187</v>
      </c>
    </row>
    <row r="2" customFormat="false" ht="15" hidden="false" customHeight="false" outlineLevel="0" collapsed="false">
      <c r="B2" s="14" t="s">
        <v>188</v>
      </c>
    </row>
    <row r="3" customFormat="false" ht="15" hidden="false" customHeight="false" outlineLevel="0" collapsed="false">
      <c r="B3" s="16" t="str">
        <f aca="false">HYPERLINK("#Cover!A1","◄ Back to Cover")</f>
        <v>◄ Back to Cover</v>
      </c>
    </row>
    <row r="5" customFormat="false" ht="18" hidden="false" customHeight="true" outlineLevel="0" collapsed="false">
      <c r="B5" s="17" t="s">
        <v>189</v>
      </c>
      <c r="C5" s="1"/>
      <c r="D5" s="1"/>
      <c r="E5" s="1"/>
      <c r="F5" s="1"/>
      <c r="G5" s="1"/>
      <c r="H5" s="1"/>
      <c r="I5" s="1"/>
      <c r="J5" s="1"/>
      <c r="K5" s="1"/>
      <c r="L5" s="1"/>
      <c r="M5" s="1"/>
      <c r="N5" s="1"/>
      <c r="O5" s="1"/>
      <c r="P5" s="1"/>
      <c r="Q5" s="1"/>
      <c r="R5" s="1"/>
      <c r="S5" s="1"/>
      <c r="T5" s="1"/>
    </row>
    <row r="6" customFormat="false" ht="31.5" hidden="false" customHeight="true" outlineLevel="0" collapsed="false">
      <c r="B6" s="26" t="s">
        <v>190</v>
      </c>
      <c r="C6" s="27" t="s">
        <v>191</v>
      </c>
      <c r="D6" s="27"/>
      <c r="E6" s="27" t="s">
        <v>192</v>
      </c>
      <c r="F6" s="27" t="s">
        <v>193</v>
      </c>
      <c r="G6" s="27" t="s">
        <v>194</v>
      </c>
      <c r="H6" s="27" t="s">
        <v>195</v>
      </c>
      <c r="I6" s="27" t="s">
        <v>196</v>
      </c>
      <c r="J6" s="27" t="s">
        <v>197</v>
      </c>
      <c r="K6" s="27" t="s">
        <v>198</v>
      </c>
      <c r="L6" s="27" t="s">
        <v>199</v>
      </c>
      <c r="M6" s="27" t="s">
        <v>200</v>
      </c>
      <c r="N6" s="27" t="s">
        <v>201</v>
      </c>
      <c r="O6" s="27" t="s">
        <v>202</v>
      </c>
      <c r="P6" s="27" t="s">
        <v>203</v>
      </c>
      <c r="Q6" s="27" t="s">
        <v>204</v>
      </c>
      <c r="R6" s="27" t="s">
        <v>205</v>
      </c>
      <c r="S6" s="27" t="s">
        <v>206</v>
      </c>
    </row>
    <row r="7" customFormat="false" ht="15" hidden="false" customHeight="false" outlineLevel="0" collapsed="false">
      <c r="B7" s="57" t="s">
        <v>207</v>
      </c>
      <c r="E7" s="58" t="n">
        <v>1</v>
      </c>
      <c r="F7" s="58" t="n">
        <v>2</v>
      </c>
      <c r="G7" s="58" t="n">
        <v>3</v>
      </c>
      <c r="H7" s="58" t="n">
        <v>4</v>
      </c>
      <c r="I7" s="58" t="n">
        <v>5</v>
      </c>
      <c r="J7" s="58" t="n">
        <v>6</v>
      </c>
      <c r="K7" s="58" t="n">
        <v>7</v>
      </c>
      <c r="L7" s="58" t="n">
        <v>8</v>
      </c>
      <c r="M7" s="58" t="n">
        <v>9</v>
      </c>
      <c r="N7" s="58" t="n">
        <v>10</v>
      </c>
      <c r="O7" s="58" t="n">
        <v>11</v>
      </c>
      <c r="P7" s="58" t="n">
        <v>12</v>
      </c>
    </row>
    <row r="8" customFormat="false" ht="15" hidden="false" customHeight="false" outlineLevel="0" collapsed="false">
      <c r="B8" s="7" t="s">
        <v>80</v>
      </c>
      <c r="E8" s="59" t="n">
        <f aca="false">SUMIFS(S_Sales,S_Year,Cost_Year,S_Month,E$7)</f>
        <v>74463</v>
      </c>
      <c r="F8" s="59" t="n">
        <f aca="false">SUMIFS(S_Sales,S_Year,Cost_Year,S_Month,F$7)</f>
        <v>71689</v>
      </c>
      <c r="G8" s="59" t="n">
        <f aca="false">SUMIFS(S_Sales,S_Year,Cost_Year,S_Month,G$7)</f>
        <v>77757</v>
      </c>
      <c r="H8" s="59" t="n">
        <f aca="false">SUMIFS(S_Sales,S_Year,Cost_Year,S_Month,H$7)</f>
        <v>79023</v>
      </c>
      <c r="I8" s="59" t="n">
        <f aca="false">SUMIFS(S_Sales,S_Year,Cost_Year,S_Month,I$7)</f>
        <v>81946</v>
      </c>
      <c r="J8" s="59" t="n">
        <f aca="false">SUMIFS(S_Sales,S_Year,Cost_Year,S_Month,J$7)</f>
        <v>79418</v>
      </c>
      <c r="K8" s="59" t="n">
        <f aca="false">SUMIFS(S_Sales,S_Year,Cost_Year,S_Month,K$7)</f>
        <v>81667</v>
      </c>
      <c r="L8" s="59" t="n">
        <f aca="false">SUMIFS(S_Sales,S_Year,Cost_Year,S_Month,L$7)</f>
        <v>81105</v>
      </c>
      <c r="M8" s="59" t="n">
        <f aca="false">SUMIFS(S_Sales,S_Year,Cost_Year,S_Month,M$7)</f>
        <v>82028</v>
      </c>
      <c r="N8" s="59" t="n">
        <f aca="false">SUMIFS(S_Sales,S_Year,Cost_Year,S_Month,N$7)</f>
        <v>83643</v>
      </c>
      <c r="O8" s="59" t="n">
        <f aca="false">SUMIFS(S_Sales,S_Year,Cost_Year,S_Month,O$7)</f>
        <v>85801</v>
      </c>
      <c r="P8" s="59" t="n">
        <f aca="false">SUMIFS(S_Sales,S_Year,Cost_Year,S_Month,P$7)</f>
        <v>93902</v>
      </c>
    </row>
    <row r="9" customFormat="false" ht="15" hidden="false" customHeight="false" outlineLevel="0" collapsed="false">
      <c r="B9" s="28" t="s">
        <v>129</v>
      </c>
      <c r="C9" s="60" t="s">
        <v>131</v>
      </c>
      <c r="E9" s="31" t="n">
        <f aca="false">SUMIFS(E_Amt,E_Year,Cost_Year,E_Month,E$7,E_Line,$B9)</f>
        <v>1171</v>
      </c>
      <c r="F9" s="31" t="n">
        <f aca="false">SUMIFS(E_Amt,E_Year,Cost_Year,E_Month,F$7,E_Line,$B9)</f>
        <v>1158</v>
      </c>
      <c r="G9" s="31" t="n">
        <f aca="false">SUMIFS(E_Amt,E_Year,Cost_Year,E_Month,G$7,E_Line,$B9)</f>
        <v>1270</v>
      </c>
      <c r="H9" s="31" t="n">
        <f aca="false">SUMIFS(E_Amt,E_Year,Cost_Year,E_Month,H$7,E_Line,$B9)</f>
        <v>1284</v>
      </c>
      <c r="I9" s="31" t="n">
        <f aca="false">SUMIFS(E_Amt,E_Year,Cost_Year,E_Month,I$7,E_Line,$B9)</f>
        <v>1347</v>
      </c>
      <c r="J9" s="31" t="n">
        <f aca="false">SUMIFS(E_Amt,E_Year,Cost_Year,E_Month,J$7,E_Line,$B9)</f>
        <v>1282</v>
      </c>
      <c r="K9" s="31" t="n">
        <f aca="false">SUMIFS(E_Amt,E_Year,Cost_Year,E_Month,K$7,E_Line,$B9)</f>
        <v>1314</v>
      </c>
      <c r="L9" s="31" t="n">
        <f aca="false">SUMIFS(E_Amt,E_Year,Cost_Year,E_Month,L$7,E_Line,$B9)</f>
        <v>1272</v>
      </c>
      <c r="M9" s="31" t="n">
        <f aca="false">SUMIFS(E_Amt,E_Year,Cost_Year,E_Month,M$7,E_Line,$B9)</f>
        <v>1334</v>
      </c>
      <c r="N9" s="31" t="n">
        <f aca="false">SUMIFS(E_Amt,E_Year,Cost_Year,E_Month,N$7,E_Line,$B9)</f>
        <v>1324</v>
      </c>
      <c r="O9" s="31" t="n">
        <f aca="false">SUMIFS(E_Amt,E_Year,Cost_Year,E_Month,O$7,E_Line,$B9)</f>
        <v>1393</v>
      </c>
      <c r="P9" s="31" t="n">
        <f aca="false">SUMIFS(E_Amt,E_Year,Cost_Year,E_Month,P$7,E_Line,$B9)</f>
        <v>1546</v>
      </c>
      <c r="Q9" s="52" t="n">
        <f aca="false">SLOPE(E9:P9,$E$8:$P$8)</f>
        <v>0.0176367258344309</v>
      </c>
      <c r="R9" s="61" t="n">
        <f aca="false">RSQ(E9:P9,$E$8:$P$8)</f>
        <v>0.962107242343535</v>
      </c>
      <c r="S9" s="62" t="str">
        <f aca="false">IF(AND(R9&gt;=0.5,Q9&gt;=0.002),"Variable",IF(R9&gt;=0.5,"Mixed","Fixed"))</f>
        <v>Variable</v>
      </c>
      <c r="T9" s="63" t="str">
        <f aca="false">IF(S9=C9,"✔ agrees with Project 1",IF(S9="Mixed","◐ semi-variable","✖ review classification"))</f>
        <v>✔ agrees with Project 1</v>
      </c>
    </row>
    <row r="10" customFormat="false" ht="15" hidden="false" customHeight="false" outlineLevel="0" collapsed="false">
      <c r="B10" s="28" t="s">
        <v>132</v>
      </c>
      <c r="C10" s="60" t="s">
        <v>131</v>
      </c>
      <c r="E10" s="31" t="n">
        <f aca="false">SUMIFS(E_Amt,E_Year,Cost_Year,E_Month,E$7,E_Line,$B10)</f>
        <v>655</v>
      </c>
      <c r="F10" s="31" t="n">
        <f aca="false">SUMIFS(E_Amt,E_Year,Cost_Year,E_Month,F$7,E_Line,$B10)</f>
        <v>662</v>
      </c>
      <c r="G10" s="31" t="n">
        <f aca="false">SUMIFS(E_Amt,E_Year,Cost_Year,E_Month,G$7,E_Line,$B10)</f>
        <v>703</v>
      </c>
      <c r="H10" s="31" t="n">
        <f aca="false">SUMIFS(E_Amt,E_Year,Cost_Year,E_Month,H$7,E_Line,$B10)</f>
        <v>717</v>
      </c>
      <c r="I10" s="31" t="n">
        <f aca="false">SUMIFS(E_Amt,E_Year,Cost_Year,E_Month,I$7,E_Line,$B10)</f>
        <v>727</v>
      </c>
      <c r="J10" s="31" t="n">
        <f aca="false">SUMIFS(E_Amt,E_Year,Cost_Year,E_Month,J$7,E_Line,$B10)</f>
        <v>728</v>
      </c>
      <c r="K10" s="31" t="n">
        <f aca="false">SUMIFS(E_Amt,E_Year,Cost_Year,E_Month,K$7,E_Line,$B10)</f>
        <v>747</v>
      </c>
      <c r="L10" s="31" t="n">
        <f aca="false">SUMIFS(E_Amt,E_Year,Cost_Year,E_Month,L$7,E_Line,$B10)</f>
        <v>740</v>
      </c>
      <c r="M10" s="31" t="n">
        <f aca="false">SUMIFS(E_Amt,E_Year,Cost_Year,E_Month,M$7,E_Line,$B10)</f>
        <v>731</v>
      </c>
      <c r="N10" s="31" t="n">
        <f aca="false">SUMIFS(E_Amt,E_Year,Cost_Year,E_Month,N$7,E_Line,$B10)</f>
        <v>945</v>
      </c>
      <c r="O10" s="31" t="n">
        <f aca="false">SUMIFS(E_Amt,E_Year,Cost_Year,E_Month,O$7,E_Line,$B10)</f>
        <v>981</v>
      </c>
      <c r="P10" s="31" t="n">
        <f aca="false">SUMIFS(E_Amt,E_Year,Cost_Year,E_Month,P$7,E_Line,$B10)</f>
        <v>1027</v>
      </c>
      <c r="Q10" s="52" t="n">
        <f aca="false">SLOPE(E10:P10,$E$8:$P$8)</f>
        <v>0.0197930153116844</v>
      </c>
      <c r="R10" s="61" t="n">
        <f aca="false">RSQ(E10:P10,$E$8:$P$8)</f>
        <v>0.756942703559373</v>
      </c>
      <c r="S10" s="62" t="str">
        <f aca="false">IF(AND(R10&gt;=0.5,Q10&gt;=0.002),"Variable",IF(R10&gt;=0.5,"Mixed","Fixed"))</f>
        <v>Variable</v>
      </c>
      <c r="T10" s="63" t="str">
        <f aca="false">IF(S10=C10,"✔ agrees with Project 1",IF(S10="Mixed","◐ semi-variable","✖ review classification"))</f>
        <v>✔ agrees with Project 1</v>
      </c>
    </row>
    <row r="11" customFormat="false" ht="15" hidden="false" customHeight="false" outlineLevel="0" collapsed="false">
      <c r="B11" s="28" t="s">
        <v>133</v>
      </c>
      <c r="C11" s="60" t="s">
        <v>131</v>
      </c>
      <c r="E11" s="31" t="n">
        <f aca="false">SUMIFS(E_Amt,E_Year,Cost_Year,E_Month,E$7,E_Line,$B11)</f>
        <v>1837</v>
      </c>
      <c r="F11" s="31" t="n">
        <f aca="false">SUMIFS(E_Amt,E_Year,Cost_Year,E_Month,F$7,E_Line,$B11)</f>
        <v>1670</v>
      </c>
      <c r="G11" s="31" t="n">
        <f aca="false">SUMIFS(E_Amt,E_Year,Cost_Year,E_Month,G$7,E_Line,$B11)</f>
        <v>1865</v>
      </c>
      <c r="H11" s="31" t="n">
        <f aca="false">SUMIFS(E_Amt,E_Year,Cost_Year,E_Month,H$7,E_Line,$B11)</f>
        <v>1941</v>
      </c>
      <c r="I11" s="31" t="n">
        <f aca="false">SUMIFS(E_Amt,E_Year,Cost_Year,E_Month,I$7,E_Line,$B11)</f>
        <v>1936</v>
      </c>
      <c r="J11" s="31" t="n">
        <f aca="false">SUMIFS(E_Amt,E_Year,Cost_Year,E_Month,J$7,E_Line,$B11)</f>
        <v>1929</v>
      </c>
      <c r="K11" s="31" t="n">
        <f aca="false">SUMIFS(E_Amt,E_Year,Cost_Year,E_Month,K$7,E_Line,$B11)</f>
        <v>2014</v>
      </c>
      <c r="L11" s="31" t="n">
        <f aca="false">SUMIFS(E_Amt,E_Year,Cost_Year,E_Month,L$7,E_Line,$B11)</f>
        <v>1914</v>
      </c>
      <c r="M11" s="31" t="n">
        <f aca="false">SUMIFS(E_Amt,E_Year,Cost_Year,E_Month,M$7,E_Line,$B11)</f>
        <v>2005</v>
      </c>
      <c r="N11" s="31" t="n">
        <f aca="false">SUMIFS(E_Amt,E_Year,Cost_Year,E_Month,N$7,E_Line,$B11)</f>
        <v>1985</v>
      </c>
      <c r="O11" s="31" t="n">
        <f aca="false">SUMIFS(E_Amt,E_Year,Cost_Year,E_Month,O$7,E_Line,$B11)</f>
        <v>2013</v>
      </c>
      <c r="P11" s="31" t="n">
        <f aca="false">SUMIFS(E_Amt,E_Year,Cost_Year,E_Month,P$7,E_Line,$B11)</f>
        <v>2228</v>
      </c>
      <c r="Q11" s="52" t="n">
        <f aca="false">SLOPE(E11:P11,$E$8:$P$8)</f>
        <v>0.0224151423481942</v>
      </c>
      <c r="R11" s="61" t="n">
        <f aca="false">RSQ(E11:P11,$E$8:$P$8)</f>
        <v>0.914524631204764</v>
      </c>
      <c r="S11" s="62" t="str">
        <f aca="false">IF(AND(R11&gt;=0.5,Q11&gt;=0.002),"Variable",IF(R11&gt;=0.5,"Mixed","Fixed"))</f>
        <v>Variable</v>
      </c>
      <c r="T11" s="63" t="str">
        <f aca="false">IF(S11=C11,"✔ agrees with Project 1",IF(S11="Mixed","◐ semi-variable","✖ review classification"))</f>
        <v>✔ agrees with Project 1</v>
      </c>
    </row>
    <row r="12" customFormat="false" ht="15" hidden="false" customHeight="false" outlineLevel="0" collapsed="false">
      <c r="B12" s="28" t="s">
        <v>134</v>
      </c>
      <c r="C12" s="60" t="s">
        <v>135</v>
      </c>
      <c r="E12" s="31" t="n">
        <f aca="false">SUMIFS(E_Amt,E_Year,Cost_Year,E_Month,E$7,E_Line,$B12)</f>
        <v>2107</v>
      </c>
      <c r="F12" s="31" t="n">
        <f aca="false">SUMIFS(E_Amt,E_Year,Cost_Year,E_Month,F$7,E_Line,$B12)</f>
        <v>2121</v>
      </c>
      <c r="G12" s="31" t="n">
        <f aca="false">SUMIFS(E_Amt,E_Year,Cost_Year,E_Month,G$7,E_Line,$B12)</f>
        <v>2096</v>
      </c>
      <c r="H12" s="31" t="n">
        <f aca="false">SUMIFS(E_Amt,E_Year,Cost_Year,E_Month,H$7,E_Line,$B12)</f>
        <v>2104</v>
      </c>
      <c r="I12" s="31" t="n">
        <f aca="false">SUMIFS(E_Amt,E_Year,Cost_Year,E_Month,I$7,E_Line,$B12)</f>
        <v>2058</v>
      </c>
      <c r="J12" s="31" t="n">
        <f aca="false">SUMIFS(E_Amt,E_Year,Cost_Year,E_Month,J$7,E_Line,$B12)</f>
        <v>2064</v>
      </c>
      <c r="K12" s="31" t="n">
        <f aca="false">SUMIFS(E_Amt,E_Year,Cost_Year,E_Month,K$7,E_Line,$B12)</f>
        <v>2061</v>
      </c>
      <c r="L12" s="31" t="n">
        <f aca="false">SUMIFS(E_Amt,E_Year,Cost_Year,E_Month,L$7,E_Line,$B12)</f>
        <v>2065</v>
      </c>
      <c r="M12" s="31" t="n">
        <f aca="false">SUMIFS(E_Amt,E_Year,Cost_Year,E_Month,M$7,E_Line,$B12)</f>
        <v>2102</v>
      </c>
      <c r="N12" s="31" t="n">
        <f aca="false">SUMIFS(E_Amt,E_Year,Cost_Year,E_Month,N$7,E_Line,$B12)</f>
        <v>2058</v>
      </c>
      <c r="O12" s="31" t="n">
        <f aca="false">SUMIFS(E_Amt,E_Year,Cost_Year,E_Month,O$7,E_Line,$B12)</f>
        <v>2106</v>
      </c>
      <c r="P12" s="31" t="n">
        <f aca="false">SUMIFS(E_Amt,E_Year,Cost_Year,E_Month,P$7,E_Line,$B12)</f>
        <v>2050</v>
      </c>
      <c r="Q12" s="52" t="n">
        <f aca="false">SLOPE(E12:P12,$E$8:$P$8)</f>
        <v>-0.0027988275042366</v>
      </c>
      <c r="R12" s="61" t="n">
        <f aca="false">RSQ(E12:P12,$E$8:$P$8)</f>
        <v>0.384882596494601</v>
      </c>
      <c r="S12" s="62" t="str">
        <f aca="false">IF(AND(R12&gt;=0.5,Q12&gt;=0.002),"Variable",IF(R12&gt;=0.5,"Mixed","Fixed"))</f>
        <v>Fixed</v>
      </c>
      <c r="T12" s="63" t="str">
        <f aca="false">IF(S12=C12,"✔ agrees with Project 1",IF(S12="Mixed","◐ semi-variable","✖ review classification"))</f>
        <v>✔ agrees with Project 1</v>
      </c>
    </row>
    <row r="13" customFormat="false" ht="15" hidden="false" customHeight="false" outlineLevel="0" collapsed="false">
      <c r="B13" s="28" t="s">
        <v>136</v>
      </c>
      <c r="C13" s="60" t="s">
        <v>135</v>
      </c>
      <c r="E13" s="31" t="n">
        <f aca="false">SUMIFS(E_Amt,E_Year,Cost_Year,E_Month,E$7,E_Line,$B13)</f>
        <v>2691</v>
      </c>
      <c r="F13" s="31" t="n">
        <f aca="false">SUMIFS(E_Amt,E_Year,Cost_Year,E_Month,F$7,E_Line,$B13)</f>
        <v>2705</v>
      </c>
      <c r="G13" s="31" t="n">
        <f aca="false">SUMIFS(E_Amt,E_Year,Cost_Year,E_Month,G$7,E_Line,$B13)</f>
        <v>2758</v>
      </c>
      <c r="H13" s="31" t="n">
        <f aca="false">SUMIFS(E_Amt,E_Year,Cost_Year,E_Month,H$7,E_Line,$B13)</f>
        <v>2730</v>
      </c>
      <c r="I13" s="31" t="n">
        <f aca="false">SUMIFS(E_Amt,E_Year,Cost_Year,E_Month,I$7,E_Line,$B13)</f>
        <v>2705</v>
      </c>
      <c r="J13" s="31" t="n">
        <f aca="false">SUMIFS(E_Amt,E_Year,Cost_Year,E_Month,J$7,E_Line,$B13)</f>
        <v>2716</v>
      </c>
      <c r="K13" s="31" t="n">
        <f aca="false">SUMIFS(E_Amt,E_Year,Cost_Year,E_Month,K$7,E_Line,$B13)</f>
        <v>2717</v>
      </c>
      <c r="L13" s="31" t="n">
        <f aca="false">SUMIFS(E_Amt,E_Year,Cost_Year,E_Month,L$7,E_Line,$B13)</f>
        <v>2727</v>
      </c>
      <c r="M13" s="31" t="n">
        <f aca="false">SUMIFS(E_Amt,E_Year,Cost_Year,E_Month,M$7,E_Line,$B13)</f>
        <v>2780</v>
      </c>
      <c r="N13" s="31" t="n">
        <f aca="false">SUMIFS(E_Amt,E_Year,Cost_Year,E_Month,N$7,E_Line,$B13)</f>
        <v>2750</v>
      </c>
      <c r="O13" s="31" t="n">
        <f aca="false">SUMIFS(E_Amt,E_Year,Cost_Year,E_Month,O$7,E_Line,$B13)</f>
        <v>2726</v>
      </c>
      <c r="P13" s="31" t="n">
        <f aca="false">SUMIFS(E_Amt,E_Year,Cost_Year,E_Month,P$7,E_Line,$B13)</f>
        <v>2685</v>
      </c>
      <c r="Q13" s="52" t="n">
        <f aca="false">SLOPE(E13:P13,$E$8:$P$8)</f>
        <v>-0.000308563966583577</v>
      </c>
      <c r="R13" s="61" t="n">
        <f aca="false">RSQ(E13:P13,$E$8:$P$8)</f>
        <v>0.00388472127305412</v>
      </c>
      <c r="S13" s="62" t="str">
        <f aca="false">IF(AND(R13&gt;=0.5,Q13&gt;=0.002),"Variable",IF(R13&gt;=0.5,"Mixed","Fixed"))</f>
        <v>Fixed</v>
      </c>
      <c r="T13" s="63" t="str">
        <f aca="false">IF(S13=C13,"✔ agrees with Project 1",IF(S13="Mixed","◐ semi-variable","✖ review classification"))</f>
        <v>✔ agrees with Project 1</v>
      </c>
    </row>
    <row r="14" customFormat="false" ht="15" hidden="false" customHeight="false" outlineLevel="0" collapsed="false">
      <c r="B14" s="28" t="s">
        <v>137</v>
      </c>
      <c r="C14" s="60" t="s">
        <v>135</v>
      </c>
      <c r="E14" s="31" t="n">
        <f aca="false">SUMIFS(E_Amt,E_Year,Cost_Year,E_Month,E$7,E_Line,$B14)</f>
        <v>2500</v>
      </c>
      <c r="F14" s="31" t="n">
        <f aca="false">SUMIFS(E_Amt,E_Year,Cost_Year,E_Month,F$7,E_Line,$B14)</f>
        <v>2531</v>
      </c>
      <c r="G14" s="31" t="n">
        <f aca="false">SUMIFS(E_Amt,E_Year,Cost_Year,E_Month,G$7,E_Line,$B14)</f>
        <v>2474</v>
      </c>
      <c r="H14" s="31" t="n">
        <f aca="false">SUMIFS(E_Amt,E_Year,Cost_Year,E_Month,H$7,E_Line,$B14)</f>
        <v>2562</v>
      </c>
      <c r="I14" s="31" t="n">
        <f aca="false">SUMIFS(E_Amt,E_Year,Cost_Year,E_Month,I$7,E_Line,$B14)</f>
        <v>2567</v>
      </c>
      <c r="J14" s="31" t="n">
        <f aca="false">SUMIFS(E_Amt,E_Year,Cost_Year,E_Month,J$7,E_Line,$B14)</f>
        <v>2512</v>
      </c>
      <c r="K14" s="31" t="n">
        <f aca="false">SUMIFS(E_Amt,E_Year,Cost_Year,E_Month,K$7,E_Line,$B14)</f>
        <v>2540</v>
      </c>
      <c r="L14" s="31" t="n">
        <f aca="false">SUMIFS(E_Amt,E_Year,Cost_Year,E_Month,L$7,E_Line,$B14)</f>
        <v>2553</v>
      </c>
      <c r="M14" s="31" t="n">
        <f aca="false">SUMIFS(E_Amt,E_Year,Cost_Year,E_Month,M$7,E_Line,$B14)</f>
        <v>2520</v>
      </c>
      <c r="N14" s="31" t="n">
        <f aca="false">SUMIFS(E_Amt,E_Year,Cost_Year,E_Month,N$7,E_Line,$B14)</f>
        <v>2495</v>
      </c>
      <c r="O14" s="31" t="n">
        <f aca="false">SUMIFS(E_Amt,E_Year,Cost_Year,E_Month,O$7,E_Line,$B14)</f>
        <v>2486</v>
      </c>
      <c r="P14" s="31" t="n">
        <f aca="false">SUMIFS(E_Amt,E_Year,Cost_Year,E_Month,P$7,E_Line,$B14)</f>
        <v>2473</v>
      </c>
      <c r="Q14" s="52" t="n">
        <f aca="false">SLOPE(E14:P14,$E$8:$P$8)</f>
        <v>-0.00193000804430583</v>
      </c>
      <c r="R14" s="61" t="n">
        <f aca="false">RSQ(E14:P14,$E$8:$P$8)</f>
        <v>0.106349751708902</v>
      </c>
      <c r="S14" s="62" t="str">
        <f aca="false">IF(AND(R14&gt;=0.5,Q14&gt;=0.002),"Variable",IF(R14&gt;=0.5,"Mixed","Fixed"))</f>
        <v>Fixed</v>
      </c>
      <c r="T14" s="63" t="str">
        <f aca="false">IF(S14=C14,"✔ agrees with Project 1",IF(S14="Mixed","◐ semi-variable","✖ review classification"))</f>
        <v>✔ agrees with Project 1</v>
      </c>
    </row>
    <row r="15" customFormat="false" ht="15" hidden="false" customHeight="false" outlineLevel="0" collapsed="false">
      <c r="B15" s="28" t="s">
        <v>139</v>
      </c>
      <c r="C15" s="60" t="s">
        <v>135</v>
      </c>
      <c r="E15" s="31" t="n">
        <f aca="false">SUMIFS(E_Amt,E_Year,Cost_Year,E_Month,E$7,E_Line,$B15)</f>
        <v>673</v>
      </c>
      <c r="F15" s="31" t="n">
        <f aca="false">SUMIFS(E_Amt,E_Year,Cost_Year,E_Month,F$7,E_Line,$B15)</f>
        <v>674</v>
      </c>
      <c r="G15" s="31" t="n">
        <f aca="false">SUMIFS(E_Amt,E_Year,Cost_Year,E_Month,G$7,E_Line,$B15)</f>
        <v>683</v>
      </c>
      <c r="H15" s="31" t="n">
        <f aca="false">SUMIFS(E_Amt,E_Year,Cost_Year,E_Month,H$7,E_Line,$B15)</f>
        <v>667</v>
      </c>
      <c r="I15" s="31" t="n">
        <f aca="false">SUMIFS(E_Amt,E_Year,Cost_Year,E_Month,I$7,E_Line,$B15)</f>
        <v>678</v>
      </c>
      <c r="J15" s="31" t="n">
        <f aca="false">SUMIFS(E_Amt,E_Year,Cost_Year,E_Month,J$7,E_Line,$B15)</f>
        <v>677</v>
      </c>
      <c r="K15" s="31" t="n">
        <f aca="false">SUMIFS(E_Amt,E_Year,Cost_Year,E_Month,K$7,E_Line,$B15)</f>
        <v>685</v>
      </c>
      <c r="L15" s="31" t="n">
        <f aca="false">SUMIFS(E_Amt,E_Year,Cost_Year,E_Month,L$7,E_Line,$B15)</f>
        <v>666</v>
      </c>
      <c r="M15" s="31" t="n">
        <f aca="false">SUMIFS(E_Amt,E_Year,Cost_Year,E_Month,M$7,E_Line,$B15)</f>
        <v>686</v>
      </c>
      <c r="N15" s="31" t="n">
        <f aca="false">SUMIFS(E_Amt,E_Year,Cost_Year,E_Month,N$7,E_Line,$B15)</f>
        <v>684</v>
      </c>
      <c r="O15" s="31" t="n">
        <f aca="false">SUMIFS(E_Amt,E_Year,Cost_Year,E_Month,O$7,E_Line,$B15)</f>
        <v>691</v>
      </c>
      <c r="P15" s="31" t="n">
        <f aca="false">SUMIFS(E_Amt,E_Year,Cost_Year,E_Month,P$7,E_Line,$B15)</f>
        <v>666</v>
      </c>
      <c r="Q15" s="52" t="n">
        <f aca="false">SLOPE(E15:P15,$E$8:$P$8)</f>
        <v>3.57544872023851E-005</v>
      </c>
      <c r="R15" s="61" t="n">
        <f aca="false">RSQ(E15:P15,$E$8:$P$8)</f>
        <v>0.000557968887517373</v>
      </c>
      <c r="S15" s="62" t="str">
        <f aca="false">IF(AND(R15&gt;=0.5,Q15&gt;=0.002),"Variable",IF(R15&gt;=0.5,"Mixed","Fixed"))</f>
        <v>Fixed</v>
      </c>
      <c r="T15" s="63" t="str">
        <f aca="false">IF(S15=C15,"✔ agrees with Project 1",IF(S15="Mixed","◐ semi-variable","✖ review classification"))</f>
        <v>✔ agrees with Project 1</v>
      </c>
    </row>
    <row r="16" customFormat="false" ht="15" hidden="false" customHeight="false" outlineLevel="0" collapsed="false">
      <c r="B16" s="28" t="s">
        <v>140</v>
      </c>
      <c r="C16" s="60" t="s">
        <v>135</v>
      </c>
      <c r="E16" s="31" t="n">
        <f aca="false">SUMIFS(E_Amt,E_Year,Cost_Year,E_Month,E$7,E_Line,$B16)</f>
        <v>335</v>
      </c>
      <c r="F16" s="31" t="n">
        <f aca="false">SUMIFS(E_Amt,E_Year,Cost_Year,E_Month,F$7,E_Line,$B16)</f>
        <v>325</v>
      </c>
      <c r="G16" s="31" t="n">
        <f aca="false">SUMIFS(E_Amt,E_Year,Cost_Year,E_Month,G$7,E_Line,$B16)</f>
        <v>867</v>
      </c>
      <c r="H16" s="31" t="n">
        <f aca="false">SUMIFS(E_Amt,E_Year,Cost_Year,E_Month,H$7,E_Line,$B16)</f>
        <v>330</v>
      </c>
      <c r="I16" s="31" t="n">
        <f aca="false">SUMIFS(E_Amt,E_Year,Cost_Year,E_Month,I$7,E_Line,$B16)</f>
        <v>331</v>
      </c>
      <c r="J16" s="31" t="n">
        <f aca="false">SUMIFS(E_Amt,E_Year,Cost_Year,E_Month,J$7,E_Line,$B16)</f>
        <v>328</v>
      </c>
      <c r="K16" s="31" t="n">
        <f aca="false">SUMIFS(E_Amt,E_Year,Cost_Year,E_Month,K$7,E_Line,$B16)</f>
        <v>333</v>
      </c>
      <c r="L16" s="31" t="n">
        <f aca="false">SUMIFS(E_Amt,E_Year,Cost_Year,E_Month,L$7,E_Line,$B16)</f>
        <v>326</v>
      </c>
      <c r="M16" s="31" t="n">
        <f aca="false">SUMIFS(E_Amt,E_Year,Cost_Year,E_Month,M$7,E_Line,$B16)</f>
        <v>327</v>
      </c>
      <c r="N16" s="31" t="n">
        <f aca="false">SUMIFS(E_Amt,E_Year,Cost_Year,E_Month,N$7,E_Line,$B16)</f>
        <v>334</v>
      </c>
      <c r="O16" s="31" t="n">
        <f aca="false">SUMIFS(E_Amt,E_Year,Cost_Year,E_Month,O$7,E_Line,$B16)</f>
        <v>330</v>
      </c>
      <c r="P16" s="31" t="n">
        <f aca="false">SUMIFS(E_Amt,E_Year,Cost_Year,E_Month,P$7,E_Line,$B16)</f>
        <v>334</v>
      </c>
      <c r="Q16" s="52" t="n">
        <f aca="false">SLOPE(E16:P16,$E$8:$P$8)</f>
        <v>-0.00487402249863466</v>
      </c>
      <c r="R16" s="61" t="n">
        <f aca="false">RSQ(E16:P16,$E$8:$P$8)</f>
        <v>0.031044455259444</v>
      </c>
      <c r="S16" s="62" t="str">
        <f aca="false">IF(AND(R16&gt;=0.5,Q16&gt;=0.002),"Variable",IF(R16&gt;=0.5,"Mixed","Fixed"))</f>
        <v>Fixed</v>
      </c>
      <c r="T16" s="63" t="str">
        <f aca="false">IF(S16=C16,"✔ agrees with Project 1",IF(S16="Mixed","◐ semi-variable","✖ review classification"))</f>
        <v>✔ agrees with Project 1</v>
      </c>
    </row>
    <row r="17" customFormat="false" ht="15" hidden="false" customHeight="false" outlineLevel="0" collapsed="false">
      <c r="B17" s="28" t="s">
        <v>141</v>
      </c>
      <c r="C17" s="60" t="s">
        <v>135</v>
      </c>
      <c r="E17" s="31" t="n">
        <f aca="false">SUMIFS(E_Amt,E_Year,Cost_Year,E_Month,E$7,E_Line,$B17)</f>
        <v>574</v>
      </c>
      <c r="F17" s="31" t="n">
        <f aca="false">SUMIFS(E_Amt,E_Year,Cost_Year,E_Month,F$7,E_Line,$B17)</f>
        <v>580</v>
      </c>
      <c r="G17" s="31" t="n">
        <f aca="false">SUMIFS(E_Amt,E_Year,Cost_Year,E_Month,G$7,E_Line,$B17)</f>
        <v>563</v>
      </c>
      <c r="H17" s="31" t="n">
        <f aca="false">SUMIFS(E_Amt,E_Year,Cost_Year,E_Month,H$7,E_Line,$B17)</f>
        <v>569</v>
      </c>
      <c r="I17" s="31" t="n">
        <f aca="false">SUMIFS(E_Amt,E_Year,Cost_Year,E_Month,I$7,E_Line,$B17)</f>
        <v>561</v>
      </c>
      <c r="J17" s="31" t="n">
        <f aca="false">SUMIFS(E_Amt,E_Year,Cost_Year,E_Month,J$7,E_Line,$B17)</f>
        <v>568</v>
      </c>
      <c r="K17" s="31" t="n">
        <f aca="false">SUMIFS(E_Amt,E_Year,Cost_Year,E_Month,K$7,E_Line,$B17)</f>
        <v>577</v>
      </c>
      <c r="L17" s="31" t="n">
        <f aca="false">SUMIFS(E_Amt,E_Year,Cost_Year,E_Month,L$7,E_Line,$B17)</f>
        <v>580</v>
      </c>
      <c r="M17" s="31" t="n">
        <f aca="false">SUMIFS(E_Amt,E_Year,Cost_Year,E_Month,M$7,E_Line,$B17)</f>
        <v>561</v>
      </c>
      <c r="N17" s="31" t="n">
        <f aca="false">SUMIFS(E_Amt,E_Year,Cost_Year,E_Month,N$7,E_Line,$B17)</f>
        <v>571</v>
      </c>
      <c r="O17" s="31" t="n">
        <f aca="false">SUMIFS(E_Amt,E_Year,Cost_Year,E_Month,O$7,E_Line,$B17)</f>
        <v>567</v>
      </c>
      <c r="P17" s="31" t="n">
        <f aca="false">SUMIFS(E_Amt,E_Year,Cost_Year,E_Month,P$7,E_Line,$B17)</f>
        <v>568</v>
      </c>
      <c r="Q17" s="52" t="n">
        <f aca="false">SLOPE(E17:P17,$E$8:$P$8)</f>
        <v>-0.000408379059441467</v>
      </c>
      <c r="R17" s="61" t="n">
        <f aca="false">RSQ(E17:P17,$E$8:$P$8)</f>
        <v>0.116337629204571</v>
      </c>
      <c r="S17" s="62" t="str">
        <f aca="false">IF(AND(R17&gt;=0.5,Q17&gt;=0.002),"Variable",IF(R17&gt;=0.5,"Mixed","Fixed"))</f>
        <v>Fixed</v>
      </c>
      <c r="T17" s="63" t="str">
        <f aca="false">IF(S17=C17,"✔ agrees with Project 1",IF(S17="Mixed","◐ semi-variable","✖ review classification"))</f>
        <v>✔ agrees with Project 1</v>
      </c>
    </row>
    <row r="18" customFormat="false" ht="15" hidden="false" customHeight="false" outlineLevel="0" collapsed="false">
      <c r="B18" s="28" t="s">
        <v>142</v>
      </c>
      <c r="C18" s="60" t="s">
        <v>135</v>
      </c>
      <c r="E18" s="31" t="n">
        <f aca="false">SUMIFS(E_Amt,E_Year,Cost_Year,E_Month,E$7,E_Line,$B18)</f>
        <v>257</v>
      </c>
      <c r="F18" s="31" t="n">
        <f aca="false">SUMIFS(E_Amt,E_Year,Cost_Year,E_Month,F$7,E_Line,$B18)</f>
        <v>243</v>
      </c>
      <c r="G18" s="31" t="n">
        <f aca="false">SUMIFS(E_Amt,E_Year,Cost_Year,E_Month,G$7,E_Line,$B18)</f>
        <v>237</v>
      </c>
      <c r="H18" s="31" t="n">
        <f aca="false">SUMIFS(E_Amt,E_Year,Cost_Year,E_Month,H$7,E_Line,$B18)</f>
        <v>232</v>
      </c>
      <c r="I18" s="31" t="n">
        <f aca="false">SUMIFS(E_Amt,E_Year,Cost_Year,E_Month,I$7,E_Line,$B18)</f>
        <v>234</v>
      </c>
      <c r="J18" s="31" t="n">
        <f aca="false">SUMIFS(E_Amt,E_Year,Cost_Year,E_Month,J$7,E_Line,$B18)</f>
        <v>219</v>
      </c>
      <c r="K18" s="31" t="n">
        <f aca="false">SUMIFS(E_Amt,E_Year,Cost_Year,E_Month,K$7,E_Line,$B18)</f>
        <v>206</v>
      </c>
      <c r="L18" s="31" t="n">
        <f aca="false">SUMIFS(E_Amt,E_Year,Cost_Year,E_Month,L$7,E_Line,$B18)</f>
        <v>222</v>
      </c>
      <c r="M18" s="31" t="n">
        <f aca="false">SUMIFS(E_Amt,E_Year,Cost_Year,E_Month,M$7,E_Line,$B18)</f>
        <v>210</v>
      </c>
      <c r="N18" s="31" t="n">
        <f aca="false">SUMIFS(E_Amt,E_Year,Cost_Year,E_Month,N$7,E_Line,$B18)</f>
        <v>227</v>
      </c>
      <c r="O18" s="31" t="n">
        <f aca="false">SUMIFS(E_Amt,E_Year,Cost_Year,E_Month,O$7,E_Line,$B18)</f>
        <v>203</v>
      </c>
      <c r="P18" s="31" t="n">
        <f aca="false">SUMIFS(E_Amt,E_Year,Cost_Year,E_Month,P$7,E_Line,$B18)</f>
        <v>239</v>
      </c>
      <c r="Q18" s="52" t="n">
        <f aca="false">SLOPE(E18:P18,$E$8:$P$8)</f>
        <v>-0.00104481414535722</v>
      </c>
      <c r="R18" s="61" t="n">
        <f aca="false">RSQ(E18:P18,$E$8:$P$8)</f>
        <v>0.131458410689145</v>
      </c>
      <c r="S18" s="62" t="str">
        <f aca="false">IF(AND(R18&gt;=0.5,Q18&gt;=0.002),"Variable",IF(R18&gt;=0.5,"Mixed","Fixed"))</f>
        <v>Fixed</v>
      </c>
      <c r="T18" s="63" t="str">
        <f aca="false">IF(S18=C18,"✔ agrees with Project 1",IF(S18="Mixed","◐ semi-variable","✖ review classification"))</f>
        <v>✔ agrees with Project 1</v>
      </c>
    </row>
    <row r="19" customFormat="false" ht="15" hidden="false" customHeight="false" outlineLevel="0" collapsed="false">
      <c r="B19" s="28" t="s">
        <v>143</v>
      </c>
      <c r="C19" s="60" t="s">
        <v>135</v>
      </c>
      <c r="E19" s="31" t="n">
        <f aca="false">SUMIFS(E_Amt,E_Year,Cost_Year,E_Month,E$7,E_Line,$B19)</f>
        <v>456</v>
      </c>
      <c r="F19" s="31" t="n">
        <f aca="false">SUMIFS(E_Amt,E_Year,Cost_Year,E_Month,F$7,E_Line,$B19)</f>
        <v>461</v>
      </c>
      <c r="G19" s="31" t="n">
        <f aca="false">SUMIFS(E_Amt,E_Year,Cost_Year,E_Month,G$7,E_Line,$B19)</f>
        <v>460</v>
      </c>
      <c r="H19" s="31" t="n">
        <f aca="false">SUMIFS(E_Amt,E_Year,Cost_Year,E_Month,H$7,E_Line,$B19)</f>
        <v>453</v>
      </c>
      <c r="I19" s="31" t="n">
        <f aca="false">SUMIFS(E_Amt,E_Year,Cost_Year,E_Month,I$7,E_Line,$B19)</f>
        <v>457</v>
      </c>
      <c r="J19" s="31" t="n">
        <f aca="false">SUMIFS(E_Amt,E_Year,Cost_Year,E_Month,J$7,E_Line,$B19)</f>
        <v>457</v>
      </c>
      <c r="K19" s="31" t="n">
        <f aca="false">SUMIFS(E_Amt,E_Year,Cost_Year,E_Month,K$7,E_Line,$B19)</f>
        <v>454</v>
      </c>
      <c r="L19" s="31" t="n">
        <f aca="false">SUMIFS(E_Amt,E_Year,Cost_Year,E_Month,L$7,E_Line,$B19)</f>
        <v>452</v>
      </c>
      <c r="M19" s="31" t="n">
        <f aca="false">SUMIFS(E_Amt,E_Year,Cost_Year,E_Month,M$7,E_Line,$B19)</f>
        <v>452</v>
      </c>
      <c r="N19" s="31" t="n">
        <f aca="false">SUMIFS(E_Amt,E_Year,Cost_Year,E_Month,N$7,E_Line,$B19)</f>
        <v>459</v>
      </c>
      <c r="O19" s="31" t="n">
        <f aca="false">SUMIFS(E_Amt,E_Year,Cost_Year,E_Month,O$7,E_Line,$B19)</f>
        <v>461</v>
      </c>
      <c r="P19" s="31" t="n">
        <f aca="false">SUMIFS(E_Amt,E_Year,Cost_Year,E_Month,P$7,E_Line,$B19)</f>
        <v>462</v>
      </c>
      <c r="Q19" s="52" t="n">
        <f aca="false">SLOPE(E19:P19,$E$8:$P$8)</f>
        <v>0.000141366939598153</v>
      </c>
      <c r="R19" s="61" t="n">
        <f aca="false">RSQ(E19:P19,$E$8:$P$8)</f>
        <v>0.0472572250275855</v>
      </c>
      <c r="S19" s="62" t="str">
        <f aca="false">IF(AND(R19&gt;=0.5,Q19&gt;=0.002),"Variable",IF(R19&gt;=0.5,"Mixed","Fixed"))</f>
        <v>Fixed</v>
      </c>
      <c r="T19" s="63" t="str">
        <f aca="false">IF(S19=C19,"✔ agrees with Project 1",IF(S19="Mixed","◐ semi-variable","✖ review classification"))</f>
        <v>✔ agrees with Project 1</v>
      </c>
    </row>
    <row r="20" customFormat="false" ht="15" hidden="false" customHeight="false" outlineLevel="0" collapsed="false">
      <c r="B20" s="28" t="s">
        <v>144</v>
      </c>
      <c r="C20" s="60" t="s">
        <v>135</v>
      </c>
      <c r="E20" s="31" t="n">
        <f aca="false">SUMIFS(E_Amt,E_Year,Cost_Year,E_Month,E$7,E_Line,$B20)</f>
        <v>371</v>
      </c>
      <c r="F20" s="31" t="n">
        <f aca="false">SUMIFS(E_Amt,E_Year,Cost_Year,E_Month,F$7,E_Line,$B20)</f>
        <v>374</v>
      </c>
      <c r="G20" s="31" t="n">
        <f aca="false">SUMIFS(E_Amt,E_Year,Cost_Year,E_Month,G$7,E_Line,$B20)</f>
        <v>377</v>
      </c>
      <c r="H20" s="31" t="n">
        <f aca="false">SUMIFS(E_Amt,E_Year,Cost_Year,E_Month,H$7,E_Line,$B20)</f>
        <v>378</v>
      </c>
      <c r="I20" s="31" t="n">
        <f aca="false">SUMIFS(E_Amt,E_Year,Cost_Year,E_Month,I$7,E_Line,$B20)</f>
        <v>371</v>
      </c>
      <c r="J20" s="31" t="n">
        <f aca="false">SUMIFS(E_Amt,E_Year,Cost_Year,E_Month,J$7,E_Line,$B20)</f>
        <v>368</v>
      </c>
      <c r="K20" s="31" t="n">
        <f aca="false">SUMIFS(E_Amt,E_Year,Cost_Year,E_Month,K$7,E_Line,$B20)</f>
        <v>369</v>
      </c>
      <c r="L20" s="31" t="n">
        <f aca="false">SUMIFS(E_Amt,E_Year,Cost_Year,E_Month,L$7,E_Line,$B20)</f>
        <v>366</v>
      </c>
      <c r="M20" s="31" t="n">
        <f aca="false">SUMIFS(E_Amt,E_Year,Cost_Year,E_Month,M$7,E_Line,$B20)</f>
        <v>378</v>
      </c>
      <c r="N20" s="31" t="n">
        <f aca="false">SUMIFS(E_Amt,E_Year,Cost_Year,E_Month,N$7,E_Line,$B20)</f>
        <v>373</v>
      </c>
      <c r="O20" s="31" t="n">
        <f aca="false">SUMIFS(E_Amt,E_Year,Cost_Year,E_Month,O$7,E_Line,$B20)</f>
        <v>366</v>
      </c>
      <c r="P20" s="31" t="n">
        <f aca="false">SUMIFS(E_Amt,E_Year,Cost_Year,E_Month,P$7,E_Line,$B20)</f>
        <v>372</v>
      </c>
      <c r="Q20" s="52" t="n">
        <f aca="false">SLOPE(E20:P20,$E$8:$P$8)</f>
        <v>-0.000166170215116237</v>
      </c>
      <c r="R20" s="61" t="n">
        <f aca="false">RSQ(E20:P20,$E$8:$P$8)</f>
        <v>0.0474477649077026</v>
      </c>
      <c r="S20" s="62" t="str">
        <f aca="false">IF(AND(R20&gt;=0.5,Q20&gt;=0.002),"Variable",IF(R20&gt;=0.5,"Mixed","Fixed"))</f>
        <v>Fixed</v>
      </c>
      <c r="T20" s="63" t="str">
        <f aca="false">IF(S20=C20,"✔ agrees with Project 1",IF(S20="Mixed","◐ semi-variable","✖ review classification"))</f>
        <v>✔ agrees with Project 1</v>
      </c>
    </row>
    <row r="21" customFormat="false" ht="15" hidden="false" customHeight="false" outlineLevel="0" collapsed="false">
      <c r="B21" s="28" t="s">
        <v>145</v>
      </c>
      <c r="C21" s="60" t="s">
        <v>131</v>
      </c>
      <c r="E21" s="31" t="n">
        <f aca="false">SUMIFS(E_Amt,E_Year,Cost_Year,E_Month,E$7,E_Line,$B21)</f>
        <v>114</v>
      </c>
      <c r="F21" s="31" t="n">
        <f aca="false">SUMIFS(E_Amt,E_Year,Cost_Year,E_Month,F$7,E_Line,$B21)</f>
        <v>105</v>
      </c>
      <c r="G21" s="31" t="n">
        <f aca="false">SUMIFS(E_Amt,E_Year,Cost_Year,E_Month,G$7,E_Line,$B21)</f>
        <v>117</v>
      </c>
      <c r="H21" s="31" t="n">
        <f aca="false">SUMIFS(E_Amt,E_Year,Cost_Year,E_Month,H$7,E_Line,$B21)</f>
        <v>121</v>
      </c>
      <c r="I21" s="31" t="n">
        <f aca="false">SUMIFS(E_Amt,E_Year,Cost_Year,E_Month,I$7,E_Line,$B21)</f>
        <v>125</v>
      </c>
      <c r="J21" s="31" t="n">
        <f aca="false">SUMIFS(E_Amt,E_Year,Cost_Year,E_Month,J$7,E_Line,$B21)</f>
        <v>119</v>
      </c>
      <c r="K21" s="31" t="n">
        <f aca="false">SUMIFS(E_Amt,E_Year,Cost_Year,E_Month,K$7,E_Line,$B21)</f>
        <v>119</v>
      </c>
      <c r="L21" s="31" t="n">
        <f aca="false">SUMIFS(E_Amt,E_Year,Cost_Year,E_Month,L$7,E_Line,$B21)</f>
        <v>124</v>
      </c>
      <c r="M21" s="31" t="n">
        <f aca="false">SUMIFS(E_Amt,E_Year,Cost_Year,E_Month,M$7,E_Line,$B21)</f>
        <v>121</v>
      </c>
      <c r="N21" s="31" t="n">
        <f aca="false">SUMIFS(E_Amt,E_Year,Cost_Year,E_Month,N$7,E_Line,$B21)</f>
        <v>127</v>
      </c>
      <c r="O21" s="31" t="n">
        <f aca="false">SUMIFS(E_Amt,E_Year,Cost_Year,E_Month,O$7,E_Line,$B21)</f>
        <v>132</v>
      </c>
      <c r="P21" s="31" t="n">
        <f aca="false">SUMIFS(E_Amt,E_Year,Cost_Year,E_Month,P$7,E_Line,$B21)</f>
        <v>145</v>
      </c>
      <c r="Q21" s="52" t="n">
        <f aca="false">SLOPE(E21:P21,$E$8:$P$8)</f>
        <v>0.001712782541708</v>
      </c>
      <c r="R21" s="61" t="n">
        <f aca="false">RSQ(E21:P21,$E$8:$P$8)</f>
        <v>0.952863294309817</v>
      </c>
      <c r="S21" s="62" t="str">
        <f aca="false">IF(AND(R21&gt;=0.5,Q21&gt;=0.002),"Variable",IF(R21&gt;=0.5,"Mixed","Fixed"))</f>
        <v>Mixed</v>
      </c>
      <c r="T21" s="63" t="str">
        <f aca="false">IF(S21=C21,"✔ agrees with Project 1",IF(S21="Mixed","◐ semi-variable","✖ review classification"))</f>
        <v>◐ semi-variable</v>
      </c>
    </row>
    <row r="22" customFormat="false" ht="15" hidden="false" customHeight="false" outlineLevel="0" collapsed="false">
      <c r="B22" s="33" t="s">
        <v>208</v>
      </c>
      <c r="C22" s="47"/>
      <c r="D22" s="47"/>
      <c r="E22" s="34" t="n">
        <f aca="false">SUM(E9:E21)</f>
        <v>13741</v>
      </c>
      <c r="F22" s="34" t="n">
        <f aca="false">SUM(F9:F21)</f>
        <v>13609</v>
      </c>
      <c r="G22" s="34" t="n">
        <f aca="false">SUM(G9:G21)</f>
        <v>14470</v>
      </c>
      <c r="H22" s="34" t="n">
        <f aca="false">SUM(H9:H21)</f>
        <v>14088</v>
      </c>
      <c r="I22" s="34" t="n">
        <f aca="false">SUM(I9:I21)</f>
        <v>14097</v>
      </c>
      <c r="J22" s="34" t="n">
        <f aca="false">SUM(J9:J21)</f>
        <v>13967</v>
      </c>
      <c r="K22" s="34" t="n">
        <f aca="false">SUM(K9:K21)</f>
        <v>14136</v>
      </c>
      <c r="L22" s="34" t="n">
        <f aca="false">SUM(L9:L21)</f>
        <v>14007</v>
      </c>
      <c r="M22" s="34" t="n">
        <f aca="false">SUM(M9:M21)</f>
        <v>14207</v>
      </c>
      <c r="N22" s="34" t="n">
        <f aca="false">SUM(N9:N21)</f>
        <v>14332</v>
      </c>
      <c r="O22" s="34" t="n">
        <f aca="false">SUM(O9:O21)</f>
        <v>14455</v>
      </c>
      <c r="P22" s="34" t="n">
        <f aca="false">SUM(P9:P21)</f>
        <v>14795</v>
      </c>
      <c r="Q22" s="64" t="n">
        <f aca="false">SLOPE(E22:P22,$E$8:$P$8)</f>
        <v>0.0502040020291425</v>
      </c>
      <c r="R22" s="65" t="n">
        <f aca="false">RSQ(E22:P22,$E$8:$P$8)</f>
        <v>0.745215133805691</v>
      </c>
      <c r="S22" s="47"/>
      <c r="T22" s="47"/>
    </row>
    <row r="24" customFormat="false" ht="18" hidden="false" customHeight="true" outlineLevel="0" collapsed="false">
      <c r="B24" s="17" t="s">
        <v>209</v>
      </c>
      <c r="C24" s="1"/>
      <c r="D24" s="1"/>
      <c r="E24" s="1"/>
      <c r="F24" s="1"/>
      <c r="G24" s="1"/>
      <c r="H24" s="1"/>
      <c r="I24" s="1"/>
      <c r="J24" s="1"/>
      <c r="K24" s="1"/>
      <c r="L24" s="1"/>
      <c r="M24" s="1"/>
      <c r="N24" s="1"/>
      <c r="O24" s="1"/>
      <c r="P24" s="1"/>
      <c r="Q24" s="1"/>
      <c r="R24" s="1"/>
      <c r="S24" s="1"/>
      <c r="T24" s="1"/>
    </row>
    <row r="25" customFormat="false" ht="15" hidden="false" customHeight="false" outlineLevel="0" collapsed="false">
      <c r="B25" s="42" t="s">
        <v>210</v>
      </c>
      <c r="C25" s="39" t="n">
        <f aca="false">INDEX($E$7:$P$7,MATCH(MAX($E$8:$P$8),$E$8:$P$8,0))</f>
        <v>12</v>
      </c>
    </row>
    <row r="26" customFormat="false" ht="15" hidden="false" customHeight="false" outlineLevel="0" collapsed="false">
      <c r="B26" s="42" t="s">
        <v>211</v>
      </c>
      <c r="C26" s="37" t="n">
        <f aca="false">MAX($E$8:$P$8)</f>
        <v>93902</v>
      </c>
    </row>
    <row r="27" customFormat="false" ht="15" hidden="false" customHeight="false" outlineLevel="0" collapsed="false">
      <c r="B27" s="42" t="s">
        <v>212</v>
      </c>
      <c r="C27" s="37" t="n">
        <f aca="false">INDEX($E$22:$P$22,MATCH(MAX($E$8:$P$8),$E$8:$P$8,0))</f>
        <v>14795</v>
      </c>
    </row>
    <row r="28" customFormat="false" ht="15" hidden="false" customHeight="false" outlineLevel="0" collapsed="false">
      <c r="B28" s="42" t="s">
        <v>213</v>
      </c>
      <c r="C28" s="39" t="n">
        <f aca="false">INDEX($E$7:$P$7,MATCH(MIN($E$8:$P$8),$E$8:$P$8,0))</f>
        <v>2</v>
      </c>
    </row>
    <row r="29" customFormat="false" ht="15" hidden="false" customHeight="false" outlineLevel="0" collapsed="false">
      <c r="B29" s="42" t="s">
        <v>214</v>
      </c>
      <c r="C29" s="37" t="n">
        <f aca="false">MIN($E$8:$P$8)</f>
        <v>71689</v>
      </c>
    </row>
    <row r="30" customFormat="false" ht="15" hidden="false" customHeight="false" outlineLevel="0" collapsed="false">
      <c r="B30" s="42" t="s">
        <v>215</v>
      </c>
      <c r="C30" s="37" t="n">
        <f aca="false">INDEX($E$22:$P$22,MATCH(MIN($E$8:$P$8),$E$8:$P$8,0))</f>
        <v>13609</v>
      </c>
    </row>
    <row r="31" customFormat="false" ht="15" hidden="false" customHeight="false" outlineLevel="0" collapsed="false">
      <c r="B31" s="7" t="s">
        <v>216</v>
      </c>
      <c r="C31" s="66" t="n">
        <f aca="false">IFERROR((C27-C30)/(C26-C29),0)</f>
        <v>0.0533921577454644</v>
      </c>
    </row>
    <row r="32" customFormat="false" ht="15" hidden="false" customHeight="false" outlineLevel="0" collapsed="false">
      <c r="B32" s="7" t="s">
        <v>217</v>
      </c>
      <c r="C32" s="32" t="n">
        <f aca="false">C27-C31*C26</f>
        <v>9781.36960338541</v>
      </c>
    </row>
    <row r="33" customFormat="false" ht="15" hidden="false" customHeight="false" outlineLevel="0" collapsed="false">
      <c r="B33" s="42" t="s">
        <v>218</v>
      </c>
      <c r="C33" s="52" t="n">
        <f aca="false">Q22</f>
        <v>0.0502040020291425</v>
      </c>
      <c r="D33" s="37" t="n">
        <f aca="false">INTERCEPT(E22:P22,$E$8:$P$8)</f>
        <v>10090.2933215647</v>
      </c>
    </row>
    <row r="34" customFormat="false" ht="15" hidden="false" customHeight="false" outlineLevel="0" collapsed="false">
      <c r="B34" s="42" t="s">
        <v>219</v>
      </c>
      <c r="C34" s="53" t="n">
        <f aca="false">FS_Data!E13/P1_Sales</f>
        <v>0.0512770941608857</v>
      </c>
      <c r="D34" s="31" t="n">
        <f aca="false">FS_Data!E15/12</f>
        <v>10003.3333333333</v>
      </c>
    </row>
    <row r="36" customFormat="false" ht="39.75" hidden="false" customHeight="true" outlineLevel="0" collapsed="false">
      <c r="B36" s="40" t="s">
        <v>220</v>
      </c>
      <c r="C36" s="40"/>
      <c r="D36" s="40"/>
      <c r="E36" s="40"/>
      <c r="F36" s="40"/>
      <c r="G36" s="40"/>
      <c r="H36" s="40"/>
      <c r="I36" s="40"/>
      <c r="J36" s="40"/>
      <c r="K36" s="40"/>
      <c r="L36" s="40"/>
      <c r="M36" s="40"/>
      <c r="N36" s="40"/>
      <c r="O36" s="40"/>
      <c r="P36" s="40"/>
      <c r="Q36" s="40"/>
      <c r="R36" s="40"/>
      <c r="S36" s="40"/>
      <c r="T36" s="40"/>
    </row>
  </sheetData>
  <mergeCells count="1">
    <mergeCell ref="B36:T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B1:H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8" min="3" style="0" width="14"/>
  </cols>
  <sheetData>
    <row r="1" customFormat="false" ht="24" hidden="false" customHeight="true" outlineLevel="0" collapsed="false">
      <c r="B1" s="15" t="s">
        <v>221</v>
      </c>
    </row>
    <row r="2" customFormat="false" ht="15" hidden="false" customHeight="false" outlineLevel="0" collapsed="false">
      <c r="B2" s="14" t="s">
        <v>222</v>
      </c>
    </row>
    <row r="3" customFormat="false" ht="15" hidden="false" customHeight="false" outlineLevel="0" collapsed="false">
      <c r="B3" s="16" t="str">
        <f aca="false">HYPERLINK("#Cover!A1","◄ Back to Cover")</f>
        <v>◄ Back to Cover</v>
      </c>
    </row>
    <row r="5" customFormat="false" ht="18" hidden="false" customHeight="true" outlineLevel="0" collapsed="false">
      <c r="B5" s="17" t="s">
        <v>223</v>
      </c>
      <c r="C5" s="1"/>
      <c r="D5" s="1"/>
      <c r="E5" s="1"/>
      <c r="F5" s="1"/>
      <c r="G5" s="1"/>
      <c r="H5" s="1"/>
    </row>
    <row r="6" customFormat="false" ht="15" hidden="false" customHeight="false" outlineLevel="0" collapsed="false">
      <c r="B6" s="42" t="s">
        <v>224</v>
      </c>
      <c r="C6" s="67" t="n">
        <v>0</v>
      </c>
    </row>
    <row r="7" customFormat="false" ht="15" hidden="false" customHeight="false" outlineLevel="0" collapsed="false">
      <c r="B7" s="42" t="s">
        <v>225</v>
      </c>
      <c r="C7" s="67" t="n">
        <v>0.05</v>
      </c>
    </row>
    <row r="8" customFormat="false" ht="15" hidden="false" customHeight="false" outlineLevel="0" collapsed="false">
      <c r="B8" s="42" t="s">
        <v>226</v>
      </c>
      <c r="C8" s="67" t="n">
        <v>0.01</v>
      </c>
    </row>
    <row r="9" customFormat="false" ht="15" hidden="false" customHeight="false" outlineLevel="0" collapsed="false">
      <c r="B9" s="42" t="s">
        <v>227</v>
      </c>
      <c r="C9" s="67" t="n">
        <v>0</v>
      </c>
    </row>
    <row r="10" customFormat="false" ht="15" hidden="false" customHeight="false" outlineLevel="0" collapsed="false">
      <c r="B10" s="42" t="s">
        <v>228</v>
      </c>
      <c r="C10" s="67" t="n">
        <v>0.03</v>
      </c>
    </row>
    <row r="12" customFormat="false" ht="30" hidden="false" customHeight="true" outlineLevel="0" collapsed="false">
      <c r="B12" s="26" t="s">
        <v>114</v>
      </c>
      <c r="C12" s="27" t="s">
        <v>229</v>
      </c>
      <c r="D12" s="27" t="s">
        <v>230</v>
      </c>
      <c r="E12" s="27" t="s">
        <v>231</v>
      </c>
      <c r="F12" s="27" t="s">
        <v>232</v>
      </c>
    </row>
    <row r="13" customFormat="false" ht="15" hidden="false" customHeight="false" outlineLevel="0" collapsed="false">
      <c r="B13" s="42" t="s">
        <v>80</v>
      </c>
      <c r="C13" s="31" t="n">
        <f aca="false">CVP_BreakEven!G7</f>
        <v>972442</v>
      </c>
      <c r="D13" s="31" t="n">
        <f aca="false">CVP_BreakEven!G7*(1+C7)*(1+C6)</f>
        <v>1021064.1</v>
      </c>
      <c r="E13" s="37" t="n">
        <f aca="false">D13-C13</f>
        <v>48622.1000000001</v>
      </c>
      <c r="F13" s="35" t="n">
        <f aca="false">IFERROR(D13/C13-1,0)</f>
        <v>0.05</v>
      </c>
    </row>
    <row r="14" customFormat="false" ht="15" hidden="false" customHeight="false" outlineLevel="0" collapsed="false">
      <c r="B14" s="42" t="s">
        <v>155</v>
      </c>
      <c r="C14" s="31" t="n">
        <f aca="false">CVP_BreakEven!G8</f>
        <v>722548</v>
      </c>
      <c r="D14" s="31" t="n">
        <f aca="false">CVP_BreakEven!G8*(1+C7)*(1+C8)</f>
        <v>766262.154</v>
      </c>
      <c r="E14" s="37" t="n">
        <f aca="false">D14-C14</f>
        <v>43714.154</v>
      </c>
      <c r="F14" s="35" t="n">
        <f aca="false">IFERROR(D14/C14-1,0)</f>
        <v>0.0605</v>
      </c>
    </row>
    <row r="15" customFormat="false" ht="15" hidden="false" customHeight="false" outlineLevel="0" collapsed="false">
      <c r="B15" s="42" t="s">
        <v>156</v>
      </c>
      <c r="C15" s="31" t="n">
        <f aca="false">CVP_BreakEven!G9</f>
        <v>49864</v>
      </c>
      <c r="D15" s="31" t="n">
        <f aca="false">CVP_BreakEven!G9*(1+C7)*(1+C9)</f>
        <v>52357.2</v>
      </c>
      <c r="E15" s="37" t="n">
        <f aca="false">D15-C15</f>
        <v>2493.2</v>
      </c>
      <c r="F15" s="35" t="n">
        <f aca="false">IFERROR(D15/C15-1,0)</f>
        <v>0.05</v>
      </c>
    </row>
    <row r="16" customFormat="false" ht="15" hidden="false" customHeight="false" outlineLevel="0" collapsed="false">
      <c r="B16" s="33" t="s">
        <v>157</v>
      </c>
      <c r="C16" s="34" t="n">
        <f aca="false">C13-C14-C15</f>
        <v>200030</v>
      </c>
      <c r="D16" s="34" t="n">
        <f aca="false">D13-D14-D15</f>
        <v>202444.746</v>
      </c>
      <c r="E16" s="34" t="n">
        <f aca="false">D16-C16</f>
        <v>2414.7460000001</v>
      </c>
      <c r="F16" s="68" t="n">
        <f aca="false">IFERROR(D16/C16-1,0)</f>
        <v>0.0120719192121186</v>
      </c>
    </row>
    <row r="17" customFormat="false" ht="15" hidden="false" customHeight="false" outlineLevel="0" collapsed="false">
      <c r="B17" s="42" t="s">
        <v>233</v>
      </c>
      <c r="C17" s="31" t="n">
        <f aca="false">CVP_BreakEven!G14</f>
        <v>141297</v>
      </c>
      <c r="D17" s="31" t="n">
        <f aca="false">CVP_BreakEven!G14*(1+C10)</f>
        <v>145535.91</v>
      </c>
      <c r="E17" s="37" t="n">
        <f aca="false">D17-C17</f>
        <v>4238.91</v>
      </c>
      <c r="F17" s="35" t="n">
        <f aca="false">IFERROR(D17/C17-1,0)</f>
        <v>0.03</v>
      </c>
    </row>
    <row r="18" customFormat="false" ht="15" hidden="false" customHeight="false" outlineLevel="0" collapsed="false">
      <c r="B18" s="33" t="s">
        <v>162</v>
      </c>
      <c r="C18" s="34" t="n">
        <f aca="false">C16-C17</f>
        <v>58733</v>
      </c>
      <c r="D18" s="34" t="n">
        <f aca="false">D16-D17</f>
        <v>56908.8360000001</v>
      </c>
      <c r="E18" s="34" t="n">
        <f aca="false">D18-C18</f>
        <v>-1824.1639999999</v>
      </c>
      <c r="F18" s="68" t="n">
        <f aca="false">IFERROR(D18/C18-1,0)</f>
        <v>-0.0310585871656462</v>
      </c>
    </row>
    <row r="19" customFormat="false" ht="15" hidden="false" customHeight="false" outlineLevel="0" collapsed="false">
      <c r="B19" s="42" t="s">
        <v>158</v>
      </c>
      <c r="C19" s="35" t="n">
        <f aca="false">IFERROR(C16/C13,0)</f>
        <v>0.205698643209569</v>
      </c>
      <c r="D19" s="35" t="n">
        <f aca="false">IFERROR(D16/D13,0)</f>
        <v>0.198268400583274</v>
      </c>
      <c r="E19" s="35" t="n">
        <f aca="false">D19-C19</f>
        <v>-0.00743024262629538</v>
      </c>
      <c r="F19" s="35" t="str">
        <f aca="false">""</f>
        <v/>
      </c>
    </row>
    <row r="20" customFormat="false" ht="15" hidden="false" customHeight="false" outlineLevel="0" collapsed="false">
      <c r="B20" s="42" t="s">
        <v>185</v>
      </c>
      <c r="C20" s="37" t="n">
        <f aca="false">IFERROR(C17/C19,0)</f>
        <v>686912.649472579</v>
      </c>
      <c r="D20" s="37" t="n">
        <f aca="false">IFERROR(D17/D19,0)</f>
        <v>734034.821342466</v>
      </c>
      <c r="E20" s="37" t="n">
        <f aca="false">D20-C20</f>
        <v>47122.171869887</v>
      </c>
      <c r="F20" s="35" t="n">
        <f aca="false">IFERROR(D20/C20-1,0)</f>
        <v>0.0685999477605603</v>
      </c>
    </row>
    <row r="21" customFormat="false" ht="15" hidden="false" customHeight="false" outlineLevel="0" collapsed="false">
      <c r="B21" s="42" t="s">
        <v>172</v>
      </c>
      <c r="C21" s="35" t="n">
        <f aca="false">IFERROR(1-C20/C13,0)</f>
        <v>0.293620956856472</v>
      </c>
      <c r="D21" s="35" t="n">
        <f aca="false">IFERROR(1-D20/D13,0)</f>
        <v>0.281107991807306</v>
      </c>
      <c r="E21" s="35" t="n">
        <f aca="false">D21-C21</f>
        <v>-0.0125129650491659</v>
      </c>
      <c r="F21" s="35" t="str">
        <f aca="false">""</f>
        <v/>
      </c>
    </row>
    <row r="22" customFormat="false" ht="15" hidden="false" customHeight="false" outlineLevel="0" collapsed="false">
      <c r="B22" s="42" t="s">
        <v>186</v>
      </c>
      <c r="C22" s="50" t="n">
        <f aca="false">IFERROR(C16/C18,0)</f>
        <v>3.40575145148383</v>
      </c>
      <c r="D22" s="50" t="n">
        <f aca="false">IFERROR(D16/D18,0)</f>
        <v>3.55735172654032</v>
      </c>
      <c r="E22" s="61" t="n">
        <f aca="false">D22-C22</f>
        <v>0.151600275056484</v>
      </c>
      <c r="F22" s="35" t="str">
        <f aca="false">""</f>
        <v/>
      </c>
    </row>
    <row r="24" customFormat="false" ht="18" hidden="false" customHeight="true" outlineLevel="0" collapsed="false">
      <c r="B24" s="17" t="s">
        <v>234</v>
      </c>
      <c r="C24" s="1"/>
      <c r="D24" s="1"/>
      <c r="E24" s="1"/>
      <c r="F24" s="1"/>
      <c r="G24" s="1"/>
      <c r="H24" s="1"/>
    </row>
    <row r="25" customFormat="false" ht="15" hidden="false" customHeight="false" outlineLevel="0" collapsed="false">
      <c r="B25" s="11" t="s">
        <v>235</v>
      </c>
      <c r="C25" s="69" t="n">
        <v>-0.02</v>
      </c>
      <c r="D25" s="69" t="n">
        <v>-0.01</v>
      </c>
      <c r="E25" s="69" t="n">
        <v>0</v>
      </c>
      <c r="F25" s="69" t="n">
        <v>0.01</v>
      </c>
      <c r="G25" s="69" t="n">
        <v>0.02</v>
      </c>
    </row>
    <row r="26" customFormat="false" ht="15" hidden="false" customHeight="false" outlineLevel="0" collapsed="false">
      <c r="B26" s="70" t="n">
        <v>-0.1</v>
      </c>
      <c r="C26" s="37" t="n">
        <f aca="false">$C$13*(1+$B26)*(1+C$25)-($C$14+$C$15)*(1+$B26)-$C$17</f>
        <v>21226.044</v>
      </c>
      <c r="D26" s="37" t="n">
        <f aca="false">$C$13*(1+$B26)*(1+D$25)-($C$14+$C$15)*(1+$B26)-$C$17</f>
        <v>29978.022</v>
      </c>
      <c r="E26" s="37" t="n">
        <f aca="false">$C$13*(1+$B26)*(1+E$25)-($C$14+$C$15)*(1+$B26)-$C$17</f>
        <v>38730</v>
      </c>
      <c r="F26" s="37" t="n">
        <f aca="false">$C$13*(1+$B26)*(1+F$25)-($C$14+$C$15)*(1+$B26)-$C$17</f>
        <v>47481.978</v>
      </c>
      <c r="G26" s="37" t="n">
        <f aca="false">$C$13*(1+$B26)*(1+G$25)-($C$14+$C$15)*(1+$B26)-$C$17</f>
        <v>56233.956</v>
      </c>
    </row>
    <row r="27" customFormat="false" ht="15" hidden="false" customHeight="false" outlineLevel="0" collapsed="false">
      <c r="B27" s="70" t="n">
        <v>-0.05</v>
      </c>
      <c r="C27" s="37" t="n">
        <f aca="false">$C$13*(1+$B27)*(1+C$25)-($C$14+$C$15)*(1+$B27)-$C$17</f>
        <v>30255.1019999998</v>
      </c>
      <c r="D27" s="37" t="n">
        <f aca="false">$C$13*(1+$B27)*(1+D$25)-($C$14+$C$15)*(1+$B27)-$C$17</f>
        <v>39493.3009999999</v>
      </c>
      <c r="E27" s="37" t="n">
        <f aca="false">$C$13*(1+$B27)*(1+E$25)-($C$14+$C$15)*(1+$B27)-$C$17</f>
        <v>48731.4999999999</v>
      </c>
      <c r="F27" s="37" t="n">
        <f aca="false">$C$13*(1+$B27)*(1+F$25)-($C$14+$C$15)*(1+$B27)-$C$17</f>
        <v>57969.6989999999</v>
      </c>
      <c r="G27" s="37" t="n">
        <f aca="false">$C$13*(1+$B27)*(1+G$25)-($C$14+$C$15)*(1+$B27)-$C$17</f>
        <v>67207.8979999999</v>
      </c>
    </row>
    <row r="28" customFormat="false" ht="15" hidden="false" customHeight="false" outlineLevel="0" collapsed="false">
      <c r="B28" s="70" t="n">
        <v>0</v>
      </c>
      <c r="C28" s="37" t="n">
        <f aca="false">$C$13*(1+$B28)*(1+C$25)-($C$14+$C$15)*(1+$B28)-$C$17</f>
        <v>39284.16</v>
      </c>
      <c r="D28" s="37" t="n">
        <f aca="false">$C$13*(1+$B28)*(1+D$25)-($C$14+$C$15)*(1+$B28)-$C$17</f>
        <v>49008.58</v>
      </c>
      <c r="E28" s="37" t="n">
        <f aca="false">$C$13*(1+$B28)*(1+E$25)-($C$14+$C$15)*(1+$B28)-$C$17</f>
        <v>58733</v>
      </c>
      <c r="F28" s="37" t="n">
        <f aca="false">$C$13*(1+$B28)*(1+F$25)-($C$14+$C$15)*(1+$B28)-$C$17</f>
        <v>68457.42</v>
      </c>
      <c r="G28" s="37" t="n">
        <f aca="false">$C$13*(1+$B28)*(1+G$25)-($C$14+$C$15)*(1+$B28)-$C$17</f>
        <v>78181.84</v>
      </c>
    </row>
    <row r="29" customFormat="false" ht="15" hidden="false" customHeight="false" outlineLevel="0" collapsed="false">
      <c r="B29" s="70" t="n">
        <v>0.05</v>
      </c>
      <c r="C29" s="37" t="n">
        <f aca="false">$C$13*(1+$B29)*(1+C$25)-($C$14+$C$15)*(1+$B29)-$C$17</f>
        <v>48313.2180000001</v>
      </c>
      <c r="D29" s="37" t="n">
        <f aca="false">$C$13*(1+$B29)*(1+D$25)-($C$14+$C$15)*(1+$B29)-$C$17</f>
        <v>58523.8590000001</v>
      </c>
      <c r="E29" s="37" t="n">
        <f aca="false">$C$13*(1+$B29)*(1+E$25)-($C$14+$C$15)*(1+$B29)-$C$17</f>
        <v>68734.5000000001</v>
      </c>
      <c r="F29" s="37" t="n">
        <f aca="false">$C$13*(1+$B29)*(1+F$25)-($C$14+$C$15)*(1+$B29)-$C$17</f>
        <v>78945.1410000002</v>
      </c>
      <c r="G29" s="37" t="n">
        <f aca="false">$C$13*(1+$B29)*(1+G$25)-($C$14+$C$15)*(1+$B29)-$C$17</f>
        <v>89155.7820000001</v>
      </c>
    </row>
    <row r="30" customFormat="false" ht="15" hidden="false" customHeight="false" outlineLevel="0" collapsed="false">
      <c r="B30" s="70" t="n">
        <v>0.1</v>
      </c>
      <c r="C30" s="37" t="n">
        <f aca="false">$C$13*(1+$B30)*(1+C$25)-($C$14+$C$15)*(1+$B30)-$C$17</f>
        <v>57342.2760000001</v>
      </c>
      <c r="D30" s="37" t="n">
        <f aca="false">$C$13*(1+$B30)*(1+D$25)-($C$14+$C$15)*(1+$B30)-$C$17</f>
        <v>68039.1380000002</v>
      </c>
      <c r="E30" s="37" t="n">
        <f aca="false">$C$13*(1+$B30)*(1+E$25)-($C$14+$C$15)*(1+$B30)-$C$17</f>
        <v>78736.0000000001</v>
      </c>
      <c r="F30" s="37" t="n">
        <f aca="false">$C$13*(1+$B30)*(1+F$25)-($C$14+$C$15)*(1+$B30)-$C$17</f>
        <v>89432.8620000001</v>
      </c>
      <c r="G30" s="37" t="n">
        <f aca="false">$C$13*(1+$B30)*(1+G$25)-($C$14+$C$15)*(1+$B30)-$C$17</f>
        <v>100129.724</v>
      </c>
    </row>
    <row r="32" customFormat="false" ht="18" hidden="false" customHeight="true" outlineLevel="0" collapsed="false">
      <c r="B32" s="17" t="s">
        <v>236</v>
      </c>
      <c r="C32" s="1"/>
      <c r="D32" s="1"/>
      <c r="E32" s="1"/>
      <c r="F32" s="1"/>
      <c r="G32" s="1"/>
      <c r="H32" s="1"/>
    </row>
    <row r="33" customFormat="false" ht="15" hidden="false" customHeight="false" outlineLevel="0" collapsed="false">
      <c r="B33" s="11" t="s">
        <v>237</v>
      </c>
      <c r="C33" s="69" t="n">
        <v>-0.05</v>
      </c>
      <c r="D33" s="69" t="n">
        <v>-0.025</v>
      </c>
      <c r="E33" s="69" t="n">
        <v>0</v>
      </c>
      <c r="F33" s="69" t="n">
        <v>0.025</v>
      </c>
      <c r="G33" s="69" t="n">
        <v>0.05</v>
      </c>
    </row>
    <row r="34" customFormat="false" ht="15" hidden="false" customHeight="false" outlineLevel="0" collapsed="false">
      <c r="B34" s="70" t="n">
        <v>-0.1</v>
      </c>
      <c r="C34" s="37" t="n">
        <f aca="false">IFERROR($C$17*(1+$B34)/(1-($C$14+$C$15)/$C$13*(1+C$33)),0)</f>
        <v>518175.204866864</v>
      </c>
      <c r="D34" s="37" t="n">
        <f aca="false">IFERROR($C$17*(1+$B34)/(1-($C$14+$C$15)/$C$13*(1+D$33)),0)</f>
        <v>563794.357656117</v>
      </c>
      <c r="E34" s="37" t="n">
        <f aca="false">IFERROR($C$17*(1+$B34)/(1-($C$14+$C$15)/$C$13*(1+E$33)),0)</f>
        <v>618221.384525321</v>
      </c>
      <c r="F34" s="37" t="n">
        <f aca="false">IFERROR($C$17*(1+$B34)/(1-($C$14+$C$15)/$C$13*(1+F$33)),0)</f>
        <v>684279.708004163</v>
      </c>
      <c r="G34" s="37" t="n">
        <f aca="false">IFERROR($C$17*(1+$B34)/(1-($C$14+$C$15)/$C$13*(1+G$33)),0)</f>
        <v>766143.877287197</v>
      </c>
    </row>
    <row r="35" customFormat="false" ht="15" hidden="false" customHeight="false" outlineLevel="0" collapsed="false">
      <c r="B35" s="70" t="n">
        <v>-0.05</v>
      </c>
      <c r="C35" s="37" t="n">
        <f aca="false">IFERROR($C$17*(1+$B35)/(1-($C$14+$C$15)/$C$13*(1+C$33)),0)</f>
        <v>546962.716248356</v>
      </c>
      <c r="D35" s="37" t="n">
        <f aca="false">IFERROR($C$17*(1+$B35)/(1-($C$14+$C$15)/$C$13*(1+D$33)),0)</f>
        <v>595116.26641479</v>
      </c>
      <c r="E35" s="37" t="n">
        <f aca="false">IFERROR($C$17*(1+$B35)/(1-($C$14+$C$15)/$C$13*(1+E$33)),0)</f>
        <v>652567.01699895</v>
      </c>
      <c r="F35" s="37" t="n">
        <f aca="false">IFERROR($C$17*(1+$B35)/(1-($C$14+$C$15)/$C$13*(1+F$33)),0)</f>
        <v>722295.247337728</v>
      </c>
      <c r="G35" s="37" t="n">
        <f aca="false">IFERROR($C$17*(1+$B35)/(1-($C$14+$C$15)/$C$13*(1+G$33)),0)</f>
        <v>808707.426025374</v>
      </c>
    </row>
    <row r="36" customFormat="false" ht="15" hidden="false" customHeight="false" outlineLevel="0" collapsed="false">
      <c r="B36" s="70" t="n">
        <v>0</v>
      </c>
      <c r="C36" s="37" t="n">
        <f aca="false">IFERROR($C$17*(1+$B36)/(1-($C$14+$C$15)/$C$13*(1+C$33)),0)</f>
        <v>575750.227629849</v>
      </c>
      <c r="D36" s="37" t="n">
        <f aca="false">IFERROR($C$17*(1+$B36)/(1-($C$14+$C$15)/$C$13*(1+D$33)),0)</f>
        <v>626438.175173463</v>
      </c>
      <c r="E36" s="37" t="n">
        <f aca="false">IFERROR($C$17*(1+$B36)/(1-($C$14+$C$15)/$C$13*(1+E$33)),0)</f>
        <v>686912.649472579</v>
      </c>
      <c r="F36" s="37" t="n">
        <f aca="false">IFERROR($C$17*(1+$B36)/(1-($C$14+$C$15)/$C$13*(1+F$33)),0)</f>
        <v>760310.786671293</v>
      </c>
      <c r="G36" s="37" t="n">
        <f aca="false">IFERROR($C$17*(1+$B36)/(1-($C$14+$C$15)/$C$13*(1+G$33)),0)</f>
        <v>851270.974763552</v>
      </c>
    </row>
    <row r="37" customFormat="false" ht="15" hidden="false" customHeight="false" outlineLevel="0" collapsed="false">
      <c r="B37" s="70" t="n">
        <v>0.05</v>
      </c>
      <c r="C37" s="37" t="n">
        <f aca="false">IFERROR($C$17*(1+$B37)/(1-($C$14+$C$15)/$C$13*(1+C$33)),0)</f>
        <v>604537.739011341</v>
      </c>
      <c r="D37" s="37" t="n">
        <f aca="false">IFERROR($C$17*(1+$B37)/(1-($C$14+$C$15)/$C$13*(1+D$33)),0)</f>
        <v>657760.083932137</v>
      </c>
      <c r="E37" s="37" t="n">
        <f aca="false">IFERROR($C$17*(1+$B37)/(1-($C$14+$C$15)/$C$13*(1+E$33)),0)</f>
        <v>721258.281946208</v>
      </c>
      <c r="F37" s="37" t="n">
        <f aca="false">IFERROR($C$17*(1+$B37)/(1-($C$14+$C$15)/$C$13*(1+F$33)),0)</f>
        <v>798326.326004857</v>
      </c>
      <c r="G37" s="37" t="n">
        <f aca="false">IFERROR($C$17*(1+$B37)/(1-($C$14+$C$15)/$C$13*(1+G$33)),0)</f>
        <v>893834.52350173</v>
      </c>
    </row>
    <row r="38" customFormat="false" ht="15" hidden="false" customHeight="false" outlineLevel="0" collapsed="false">
      <c r="B38" s="70" t="n">
        <v>0.1</v>
      </c>
      <c r="C38" s="37" t="n">
        <f aca="false">IFERROR($C$17*(1+$B38)/(1-($C$14+$C$15)/$C$13*(1+C$33)),0)</f>
        <v>633325.250392834</v>
      </c>
      <c r="D38" s="37" t="n">
        <f aca="false">IFERROR($C$17*(1+$B38)/(1-($C$14+$C$15)/$C$13*(1+D$33)),0)</f>
        <v>689081.99269081</v>
      </c>
      <c r="E38" s="37" t="n">
        <f aca="false">IFERROR($C$17*(1+$B38)/(1-($C$14+$C$15)/$C$13*(1+E$33)),0)</f>
        <v>755603.914419837</v>
      </c>
      <c r="F38" s="37" t="n">
        <f aca="false">IFERROR($C$17*(1+$B38)/(1-($C$14+$C$15)/$C$13*(1+F$33)),0)</f>
        <v>836341.865338422</v>
      </c>
      <c r="G38" s="37" t="n">
        <f aca="false">IFERROR($C$17*(1+$B38)/(1-($C$14+$C$15)/$C$13*(1+G$33)),0)</f>
        <v>936398.072239907</v>
      </c>
    </row>
    <row r="40" customFormat="false" ht="33.75" hidden="false" customHeight="true" outlineLevel="0" collapsed="false">
      <c r="B40" s="40" t="s">
        <v>238</v>
      </c>
      <c r="C40" s="40"/>
      <c r="D40" s="40"/>
      <c r="E40" s="40"/>
      <c r="F40" s="40"/>
      <c r="G40" s="40"/>
      <c r="H40" s="40"/>
    </row>
  </sheetData>
  <mergeCells count="1">
    <mergeCell ref="B40:H40"/>
  </mergeCells>
  <conditionalFormatting sqref="C26:G30">
    <cfRule type="cellIs" priority="2" operator="lessThan" aboveAverage="0" equalAverage="0" bottom="0" percent="0" rank="0" text="" dxfId="2">
      <formula>0</formula>
    </cfRule>
    <cfRule type="cellIs" priority="3" operator="greaterThanOrEqual" aboveAverage="0" equalAverage="0" bottom="0" percent="0" rank="0" text="" dxfId="3">
      <formula>$C$18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B1:I2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8" min="3" style="0" width="15"/>
    <col collapsed="false" customWidth="true" hidden="false" outlineLevel="0" max="9" min="9" style="0" width="52"/>
  </cols>
  <sheetData>
    <row r="1" customFormat="false" ht="24" hidden="false" customHeight="true" outlineLevel="0" collapsed="false">
      <c r="B1" s="15" t="s">
        <v>239</v>
      </c>
    </row>
    <row r="2" customFormat="false" ht="15" hidden="false" customHeight="false" outlineLevel="0" collapsed="false">
      <c r="B2" s="14" t="s">
        <v>240</v>
      </c>
    </row>
    <row r="3" customFormat="false" ht="15" hidden="false" customHeight="false" outlineLevel="0" collapsed="false">
      <c r="B3" s="16" t="str">
        <f aca="false">HYPERLINK("#Cover!A1","◄ Back to Cover")</f>
        <v>◄ Back to Cover</v>
      </c>
    </row>
    <row r="5" customFormat="false" ht="18" hidden="false" customHeight="true" outlineLevel="0" collapsed="false">
      <c r="B5" s="17" t="s">
        <v>241</v>
      </c>
      <c r="C5" s="1"/>
      <c r="D5" s="1"/>
      <c r="E5" s="1"/>
      <c r="F5" s="1"/>
      <c r="G5" s="1"/>
      <c r="H5" s="1"/>
      <c r="I5" s="1"/>
    </row>
    <row r="6" customFormat="false" ht="15" hidden="false" customHeight="false" outlineLevel="0" collapsed="false">
      <c r="B6" s="42" t="s">
        <v>242</v>
      </c>
      <c r="C6" s="71" t="n">
        <v>2025</v>
      </c>
      <c r="I6" s="14" t="s">
        <v>243</v>
      </c>
    </row>
    <row r="7" customFormat="false" ht="15" hidden="false" customHeight="false" outlineLevel="0" collapsed="false">
      <c r="B7" s="42" t="s">
        <v>244</v>
      </c>
      <c r="C7" s="72" t="n">
        <v>75000</v>
      </c>
    </row>
    <row r="9" customFormat="false" ht="18" hidden="false" customHeight="true" outlineLevel="0" collapsed="false">
      <c r="B9" s="17" t="s">
        <v>245</v>
      </c>
      <c r="C9" s="1"/>
      <c r="D9" s="1"/>
      <c r="E9" s="1"/>
      <c r="F9" s="1"/>
      <c r="G9" s="1"/>
      <c r="H9" s="1"/>
      <c r="I9" s="1"/>
    </row>
    <row r="10" customFormat="false" ht="43.5" hidden="false" customHeight="true" outlineLevel="0" collapsed="false">
      <c r="B10" s="26" t="s">
        <v>246</v>
      </c>
      <c r="C10" s="27" t="s">
        <v>79</v>
      </c>
      <c r="D10" s="27" t="s">
        <v>247</v>
      </c>
      <c r="E10" s="27" t="s">
        <v>248</v>
      </c>
      <c r="F10" s="27" t="s">
        <v>249</v>
      </c>
      <c r="G10" s="27" t="s">
        <v>250</v>
      </c>
      <c r="H10" s="27" t="s">
        <v>251</v>
      </c>
      <c r="I10" s="27" t="s">
        <v>252</v>
      </c>
    </row>
    <row r="11" customFormat="false" ht="15" hidden="false" customHeight="false" outlineLevel="0" collapsed="false">
      <c r="B11" s="42" t="s">
        <v>73</v>
      </c>
      <c r="C11" s="73" t="n">
        <v>590</v>
      </c>
      <c r="D11" s="74" t="n">
        <v>1</v>
      </c>
      <c r="E11" s="67" t="n">
        <v>0.38</v>
      </c>
      <c r="F11" s="67" t="n">
        <v>0.36</v>
      </c>
      <c r="G11" s="72" t="n">
        <v>410</v>
      </c>
      <c r="H11" s="67" t="n">
        <v>0.8</v>
      </c>
      <c r="I11" s="14" t="s">
        <v>253</v>
      </c>
    </row>
    <row r="12" customFormat="false" ht="15" hidden="false" customHeight="false" outlineLevel="0" collapsed="false">
      <c r="B12" s="42" t="s">
        <v>74</v>
      </c>
      <c r="C12" s="73" t="n">
        <v>650</v>
      </c>
      <c r="D12" s="74" t="n">
        <v>1.3</v>
      </c>
      <c r="E12" s="67" t="n">
        <v>0.32</v>
      </c>
      <c r="F12" s="67" t="n">
        <v>0.24</v>
      </c>
      <c r="G12" s="72" t="n">
        <v>360</v>
      </c>
      <c r="H12" s="67" t="n">
        <v>0.7</v>
      </c>
      <c r="I12" s="14" t="s">
        <v>254</v>
      </c>
    </row>
    <row r="13" customFormat="false" ht="15" hidden="false" customHeight="false" outlineLevel="0" collapsed="false">
      <c r="B13" s="42" t="s">
        <v>75</v>
      </c>
      <c r="C13" s="73" t="n">
        <v>280</v>
      </c>
      <c r="D13" s="74" t="n">
        <v>1.5</v>
      </c>
      <c r="E13" s="67" t="n">
        <v>0.18</v>
      </c>
      <c r="F13" s="67" t="n">
        <v>0.18</v>
      </c>
      <c r="G13" s="72" t="n">
        <v>230</v>
      </c>
      <c r="H13" s="67" t="n">
        <v>0.85</v>
      </c>
      <c r="I13" s="14" t="s">
        <v>255</v>
      </c>
    </row>
    <row r="14" customFormat="false" ht="15" hidden="false" customHeight="false" outlineLevel="0" collapsed="false">
      <c r="B14" s="42" t="s">
        <v>76</v>
      </c>
      <c r="C14" s="73" t="n">
        <v>160</v>
      </c>
      <c r="D14" s="74" t="n">
        <v>1.1</v>
      </c>
      <c r="E14" s="67" t="n">
        <v>0.12</v>
      </c>
      <c r="F14" s="67" t="n">
        <v>0.22</v>
      </c>
      <c r="G14" s="72" t="n">
        <v>300</v>
      </c>
      <c r="H14" s="67" t="n">
        <v>0.9</v>
      </c>
      <c r="I14" s="14" t="s">
        <v>256</v>
      </c>
    </row>
    <row r="15" customFormat="false" ht="15" hidden="false" customHeight="false" outlineLevel="0" collapsed="false">
      <c r="B15" s="33" t="s">
        <v>77</v>
      </c>
      <c r="C15" s="75" t="n">
        <f aca="false">SUM(C11:C14)</f>
        <v>1680</v>
      </c>
      <c r="D15" s="47"/>
      <c r="E15" s="68" t="n">
        <f aca="false">SUM(E11:E14)</f>
        <v>1</v>
      </c>
      <c r="F15" s="68" t="n">
        <f aca="false">SUM(F11:F14)</f>
        <v>1</v>
      </c>
      <c r="G15" s="34" t="n">
        <f aca="false">SUM(G11:G14)</f>
        <v>1300</v>
      </c>
      <c r="H15" s="47"/>
    </row>
    <row r="16" customFormat="false" ht="30" hidden="false" customHeight="true" outlineLevel="0" collapsed="false">
      <c r="B16" s="40" t="s">
        <v>257</v>
      </c>
      <c r="C16" s="40"/>
      <c r="D16" s="40"/>
      <c r="E16" s="40"/>
      <c r="F16" s="40"/>
      <c r="G16" s="40"/>
      <c r="H16" s="40"/>
      <c r="I16" s="40"/>
    </row>
    <row r="18" customFormat="false" ht="18" hidden="false" customHeight="true" outlineLevel="0" collapsed="false">
      <c r="B18" s="17" t="s">
        <v>258</v>
      </c>
      <c r="C18" s="1"/>
      <c r="D18" s="1"/>
      <c r="E18" s="1"/>
      <c r="F18" s="1"/>
      <c r="G18" s="1"/>
      <c r="H18" s="1"/>
      <c r="I18" s="1"/>
    </row>
    <row r="19" customFormat="false" ht="15" hidden="false" customHeight="false" outlineLevel="0" collapsed="false">
      <c r="B19" s="7" t="s">
        <v>80</v>
      </c>
      <c r="C19" s="14" t="s">
        <v>259</v>
      </c>
    </row>
    <row r="20" customFormat="false" ht="15" hidden="false" customHeight="false" outlineLevel="0" collapsed="false">
      <c r="B20" s="7" t="s">
        <v>115</v>
      </c>
      <c r="C20" s="14" t="s">
        <v>260</v>
      </c>
    </row>
    <row r="21" customFormat="false" ht="15" hidden="false" customHeight="false" outlineLevel="0" collapsed="false">
      <c r="B21" s="7" t="s">
        <v>117</v>
      </c>
      <c r="C21" s="14" t="s">
        <v>261</v>
      </c>
    </row>
    <row r="22" customFormat="false" ht="15" hidden="false" customHeight="false" outlineLevel="0" collapsed="false">
      <c r="B22" s="7" t="s">
        <v>119</v>
      </c>
      <c r="C22" s="14" t="s">
        <v>262</v>
      </c>
    </row>
    <row r="23" customFormat="false" ht="15" hidden="false" customHeight="false" outlineLevel="0" collapsed="false">
      <c r="B23" s="7" t="s">
        <v>120</v>
      </c>
      <c r="C23" s="14" t="s">
        <v>263</v>
      </c>
    </row>
    <row r="24" customFormat="false" ht="15" hidden="false" customHeight="false" outlineLevel="0" collapsed="false">
      <c r="B24" s="7" t="s">
        <v>122</v>
      </c>
      <c r="C24" s="14" t="s">
        <v>264</v>
      </c>
    </row>
  </sheetData>
  <mergeCells count="1">
    <mergeCell ref="B16:I1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B1:F2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5" min="3" style="0" width="13"/>
    <col collapsed="false" customWidth="true" hidden="false" outlineLevel="0" max="6" min="6" style="0" width="50"/>
  </cols>
  <sheetData>
    <row r="1" customFormat="false" ht="24" hidden="false" customHeight="true" outlineLevel="0" collapsed="false">
      <c r="B1" s="15" t="s">
        <v>265</v>
      </c>
    </row>
    <row r="2" customFormat="false" ht="15" hidden="false" customHeight="false" outlineLevel="0" collapsed="false">
      <c r="B2" s="14" t="s">
        <v>266</v>
      </c>
    </row>
    <row r="3" customFormat="false" ht="15" hidden="false" customHeight="false" outlineLevel="0" collapsed="false">
      <c r="B3" s="16" t="str">
        <f aca="false">HYPERLINK("#Cover!A1","◄ Back to Cover")</f>
        <v>◄ Back to Cover</v>
      </c>
    </row>
    <row r="4" customFormat="false" ht="24" hidden="false" customHeight="true" outlineLevel="0" collapsed="false">
      <c r="B4" s="40" t="s">
        <v>267</v>
      </c>
      <c r="C4" s="40"/>
      <c r="D4" s="40"/>
      <c r="E4" s="40"/>
      <c r="F4" s="40"/>
    </row>
    <row r="6" customFormat="false" ht="30" hidden="false" customHeight="true" outlineLevel="0" collapsed="false">
      <c r="B6" s="26" t="s">
        <v>114</v>
      </c>
      <c r="C6" s="27" t="s">
        <v>268</v>
      </c>
      <c r="D6" s="27" t="s">
        <v>269</v>
      </c>
      <c r="E6" s="27" t="s">
        <v>270</v>
      </c>
      <c r="F6" s="27" t="s">
        <v>271</v>
      </c>
    </row>
    <row r="7" customFormat="false" ht="15" hidden="false" customHeight="false" outlineLevel="0" collapsed="false">
      <c r="B7" s="42" t="s">
        <v>80</v>
      </c>
      <c r="C7" s="76" t="n">
        <v>821118</v>
      </c>
      <c r="D7" s="76" t="n">
        <v>897238</v>
      </c>
      <c r="E7" s="76" t="n">
        <v>972442</v>
      </c>
      <c r="F7" s="14" t="s">
        <v>272</v>
      </c>
    </row>
    <row r="8" customFormat="false" ht="15" hidden="false" customHeight="false" outlineLevel="0" collapsed="false">
      <c r="B8" s="42" t="s">
        <v>273</v>
      </c>
      <c r="C8" s="76" t="n">
        <v>613977</v>
      </c>
      <c r="D8" s="76" t="n">
        <v>668558</v>
      </c>
      <c r="E8" s="76" t="n">
        <v>722548</v>
      </c>
      <c r="F8" s="14" t="s">
        <v>272</v>
      </c>
    </row>
    <row r="9" customFormat="false" ht="15" hidden="false" customHeight="false" outlineLevel="0" collapsed="false">
      <c r="B9" s="42" t="s">
        <v>274</v>
      </c>
      <c r="C9" s="76" t="n">
        <v>168920</v>
      </c>
      <c r="D9" s="76" t="n">
        <v>180377</v>
      </c>
      <c r="E9" s="76" t="n">
        <v>191161</v>
      </c>
      <c r="F9" s="14" t="s">
        <v>275</v>
      </c>
    </row>
    <row r="10" customFormat="false" ht="15" hidden="false" customHeight="false" outlineLevel="0" collapsed="false">
      <c r="B10" s="42" t="s">
        <v>162</v>
      </c>
      <c r="C10" s="76" t="n">
        <v>38221</v>
      </c>
      <c r="D10" s="76" t="n">
        <v>48303</v>
      </c>
      <c r="E10" s="76" t="n">
        <v>58733</v>
      </c>
      <c r="F10" s="14" t="s">
        <v>272</v>
      </c>
    </row>
    <row r="12" customFormat="false" ht="15" hidden="false" customHeight="false" outlineLevel="0" collapsed="false">
      <c r="B12" s="11" t="s">
        <v>276</v>
      </c>
    </row>
    <row r="13" customFormat="false" ht="15" hidden="false" customHeight="false" outlineLevel="0" collapsed="false">
      <c r="B13" s="42" t="s">
        <v>156</v>
      </c>
      <c r="E13" s="76" t="n">
        <v>49864</v>
      </c>
      <c r="F13" s="14" t="s">
        <v>277</v>
      </c>
    </row>
    <row r="14" customFormat="false" ht="15" hidden="false" customHeight="false" outlineLevel="0" collapsed="false">
      <c r="B14" s="42" t="s">
        <v>157</v>
      </c>
      <c r="E14" s="76" t="n">
        <v>200030</v>
      </c>
      <c r="F14" s="14" t="s">
        <v>277</v>
      </c>
    </row>
    <row r="15" customFormat="false" ht="15" hidden="false" customHeight="false" outlineLevel="0" collapsed="false">
      <c r="B15" s="42" t="s">
        <v>159</v>
      </c>
      <c r="E15" s="76" t="n">
        <v>120040</v>
      </c>
      <c r="F15" s="14" t="s">
        <v>277</v>
      </c>
    </row>
    <row r="16" customFormat="false" ht="15" hidden="false" customHeight="false" outlineLevel="0" collapsed="false">
      <c r="B16" s="42" t="s">
        <v>160</v>
      </c>
      <c r="E16" s="76" t="n">
        <v>21257</v>
      </c>
      <c r="F16" s="14" t="s">
        <v>277</v>
      </c>
    </row>
    <row r="17" customFormat="false" ht="15" hidden="false" customHeight="false" outlineLevel="0" collapsed="false">
      <c r="B17" s="42" t="s">
        <v>185</v>
      </c>
      <c r="E17" s="77" t="n">
        <v>686912.649472579</v>
      </c>
      <c r="F17" s="14" t="s">
        <v>277</v>
      </c>
    </row>
    <row r="18" customFormat="false" ht="15" hidden="false" customHeight="false" outlineLevel="0" collapsed="false">
      <c r="B18" s="42" t="s">
        <v>278</v>
      </c>
      <c r="E18" s="78" t="n">
        <v>0.293620956856472</v>
      </c>
      <c r="F18" s="14" t="s">
        <v>277</v>
      </c>
    </row>
    <row r="19" customFormat="false" ht="15" hidden="false" customHeight="false" outlineLevel="0" collapsed="false">
      <c r="B19" s="42" t="s">
        <v>186</v>
      </c>
      <c r="E19" s="79" t="n">
        <v>3.40575145148383</v>
      </c>
      <c r="F19" s="14" t="s">
        <v>277</v>
      </c>
    </row>
    <row r="21" customFormat="false" ht="15" hidden="false" customHeight="false" outlineLevel="0" collapsed="false">
      <c r="B21" s="11" t="s">
        <v>279</v>
      </c>
    </row>
    <row r="22" customFormat="false" ht="15" hidden="false" customHeight="false" outlineLevel="0" collapsed="false">
      <c r="B22" s="42" t="s">
        <v>280</v>
      </c>
      <c r="E22" s="76" t="n">
        <v>3825</v>
      </c>
      <c r="F22" s="14" t="s">
        <v>281</v>
      </c>
    </row>
    <row r="23" customFormat="false" ht="15" hidden="false" customHeight="false" outlineLevel="0" collapsed="false">
      <c r="B23" s="42" t="s">
        <v>282</v>
      </c>
      <c r="E23" s="76" t="n">
        <v>4583</v>
      </c>
      <c r="F23" s="14" t="s">
        <v>281</v>
      </c>
    </row>
    <row r="24" customFormat="false" ht="15" hidden="false" customHeight="false" outlineLevel="0" collapsed="false">
      <c r="B24" s="42" t="s">
        <v>283</v>
      </c>
      <c r="E24" s="76" t="n">
        <v>8429</v>
      </c>
      <c r="F24" s="14" t="s">
        <v>281</v>
      </c>
    </row>
    <row r="25" customFormat="false" ht="15" hidden="false" customHeight="false" outlineLevel="0" collapsed="false">
      <c r="B25" s="42" t="s">
        <v>284</v>
      </c>
      <c r="E25" s="76" t="n">
        <v>4420</v>
      </c>
      <c r="F25" s="14" t="s">
        <v>281</v>
      </c>
    </row>
    <row r="26" customFormat="false" ht="15" hidden="false" customHeight="false" outlineLevel="0" collapsed="false">
      <c r="B26" s="7" t="s">
        <v>285</v>
      </c>
      <c r="E26" s="32" t="n">
        <f aca="false">SUM(E22:E25)</f>
        <v>21257</v>
      </c>
    </row>
  </sheetData>
  <mergeCells count="1">
    <mergeCell ref="B4:F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J4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4" min="4" style="0" width="8"/>
    <col collapsed="false" customWidth="true" hidden="false" outlineLevel="0" max="5" min="5" style="0" width="11"/>
    <col collapsed="false" customWidth="true" hidden="false" outlineLevel="0" max="6" min="6" style="0" width="26"/>
    <col collapsed="false" customWidth="true" hidden="false" outlineLevel="0" max="9" min="7" style="0" width="12"/>
    <col collapsed="false" customWidth="true" hidden="false" outlineLevel="0" max="10" min="10" style="0" width="18"/>
  </cols>
  <sheetData>
    <row r="1" customFormat="false" ht="17.35" hidden="false" customHeight="false" outlineLevel="0" collapsed="false">
      <c r="A1" s="80" t="s">
        <v>286</v>
      </c>
    </row>
    <row r="2" customFormat="false" ht="15" hidden="false" customHeight="false" outlineLevel="0" collapsed="false">
      <c r="A2" s="14" t="s">
        <v>287</v>
      </c>
    </row>
    <row r="3" customFormat="false" ht="15" hidden="false" customHeight="false" outlineLevel="0" collapsed="false">
      <c r="A3" s="16" t="str">
        <f aca="false">HYPERLINK("#Cover!A1","◄ Back to Cover")</f>
        <v>◄ Back to Cover</v>
      </c>
    </row>
    <row r="4" customFormat="false" ht="19.5" hidden="false" customHeight="true" outlineLevel="0" collapsed="false">
      <c r="A4" s="26" t="s">
        <v>288</v>
      </c>
      <c r="B4" s="27" t="s">
        <v>56</v>
      </c>
      <c r="C4" s="27" t="s">
        <v>289</v>
      </c>
      <c r="D4" s="27" t="s">
        <v>290</v>
      </c>
      <c r="E4" s="27" t="s">
        <v>291</v>
      </c>
      <c r="F4" s="27" t="s">
        <v>292</v>
      </c>
      <c r="G4" s="27" t="s">
        <v>80</v>
      </c>
      <c r="H4" s="27" t="s">
        <v>273</v>
      </c>
      <c r="I4" s="27" t="s">
        <v>82</v>
      </c>
      <c r="J4" s="27" t="s">
        <v>293</v>
      </c>
    </row>
    <row r="5" customFormat="false" ht="15" hidden="false" customHeight="false" outlineLevel="0" collapsed="false">
      <c r="A5" s="81" t="n">
        <v>44957</v>
      </c>
      <c r="B5" s="82" t="n">
        <v>2023</v>
      </c>
      <c r="C5" s="82" t="n">
        <v>1</v>
      </c>
      <c r="D5" s="83" t="s">
        <v>294</v>
      </c>
      <c r="E5" s="83" t="s">
        <v>295</v>
      </c>
      <c r="F5" s="83" t="s">
        <v>73</v>
      </c>
      <c r="G5" s="76" t="n">
        <v>14280</v>
      </c>
      <c r="H5" s="76" t="n">
        <v>10782</v>
      </c>
      <c r="I5" s="37" t="n">
        <f aca="false">G5-H5</f>
        <v>3498</v>
      </c>
      <c r="J5" s="83" t="s">
        <v>296</v>
      </c>
    </row>
    <row r="6" customFormat="false" ht="15" hidden="false" customHeight="false" outlineLevel="0" collapsed="false">
      <c r="A6" s="81" t="n">
        <v>44957</v>
      </c>
      <c r="B6" s="82" t="n">
        <v>2023</v>
      </c>
      <c r="C6" s="82" t="n">
        <v>1</v>
      </c>
      <c r="D6" s="83" t="s">
        <v>294</v>
      </c>
      <c r="E6" s="83" t="s">
        <v>297</v>
      </c>
      <c r="F6" s="83" t="s">
        <v>73</v>
      </c>
      <c r="G6" s="76" t="n">
        <v>5799</v>
      </c>
      <c r="H6" s="76" t="n">
        <v>4397</v>
      </c>
      <c r="I6" s="37" t="n">
        <f aca="false">G6-H6</f>
        <v>1402</v>
      </c>
      <c r="J6" s="83" t="s">
        <v>298</v>
      </c>
    </row>
    <row r="7" customFormat="false" ht="15" hidden="false" customHeight="false" outlineLevel="0" collapsed="false">
      <c r="A7" s="81" t="n">
        <v>44957</v>
      </c>
      <c r="B7" s="82" t="n">
        <v>2023</v>
      </c>
      <c r="C7" s="82" t="n">
        <v>1</v>
      </c>
      <c r="D7" s="83" t="s">
        <v>294</v>
      </c>
      <c r="E7" s="83" t="s">
        <v>299</v>
      </c>
      <c r="F7" s="83" t="s">
        <v>73</v>
      </c>
      <c r="G7" s="76" t="n">
        <v>4673</v>
      </c>
      <c r="H7" s="76" t="n">
        <v>3516</v>
      </c>
      <c r="I7" s="37" t="n">
        <f aca="false">G7-H7</f>
        <v>1157</v>
      </c>
      <c r="J7" s="83" t="s">
        <v>300</v>
      </c>
    </row>
    <row r="8" customFormat="false" ht="15" hidden="false" customHeight="false" outlineLevel="0" collapsed="false">
      <c r="A8" s="81" t="n">
        <v>44957</v>
      </c>
      <c r="B8" s="82" t="n">
        <v>2023</v>
      </c>
      <c r="C8" s="82" t="n">
        <v>1</v>
      </c>
      <c r="D8" s="83" t="s">
        <v>294</v>
      </c>
      <c r="E8" s="83" t="s">
        <v>295</v>
      </c>
      <c r="F8" s="83" t="s">
        <v>74</v>
      </c>
      <c r="G8" s="76" t="n">
        <v>10453</v>
      </c>
      <c r="H8" s="76" t="n">
        <v>7688</v>
      </c>
      <c r="I8" s="37" t="n">
        <f aca="false">G8-H8</f>
        <v>2765</v>
      </c>
      <c r="J8" s="83" t="s">
        <v>301</v>
      </c>
    </row>
    <row r="9" customFormat="false" ht="15" hidden="false" customHeight="false" outlineLevel="0" collapsed="false">
      <c r="A9" s="81" t="n">
        <v>44957</v>
      </c>
      <c r="B9" s="82" t="n">
        <v>2023</v>
      </c>
      <c r="C9" s="82" t="n">
        <v>1</v>
      </c>
      <c r="D9" s="83" t="s">
        <v>294</v>
      </c>
      <c r="E9" s="83" t="s">
        <v>297</v>
      </c>
      <c r="F9" s="83" t="s">
        <v>74</v>
      </c>
      <c r="G9" s="76" t="n">
        <v>4190</v>
      </c>
      <c r="H9" s="76" t="n">
        <v>3081</v>
      </c>
      <c r="I9" s="37" t="n">
        <f aca="false">G9-H9</f>
        <v>1109</v>
      </c>
      <c r="J9" s="83" t="s">
        <v>302</v>
      </c>
    </row>
    <row r="10" customFormat="false" ht="15" hidden="false" customHeight="false" outlineLevel="0" collapsed="false">
      <c r="A10" s="81" t="n">
        <v>44957</v>
      </c>
      <c r="B10" s="82" t="n">
        <v>2023</v>
      </c>
      <c r="C10" s="82" t="n">
        <v>1</v>
      </c>
      <c r="D10" s="83" t="s">
        <v>294</v>
      </c>
      <c r="E10" s="83" t="s">
        <v>299</v>
      </c>
      <c r="F10" s="83" t="s">
        <v>74</v>
      </c>
      <c r="G10" s="76" t="n">
        <v>3451</v>
      </c>
      <c r="H10" s="76" t="n">
        <v>2545</v>
      </c>
      <c r="I10" s="37" t="n">
        <f aca="false">G10-H10</f>
        <v>906</v>
      </c>
      <c r="J10" s="83" t="s">
        <v>303</v>
      </c>
    </row>
    <row r="11" customFormat="false" ht="15" hidden="false" customHeight="false" outlineLevel="0" collapsed="false">
      <c r="A11" s="81" t="n">
        <v>44957</v>
      </c>
      <c r="B11" s="82" t="n">
        <v>2023</v>
      </c>
      <c r="C11" s="82" t="n">
        <v>1</v>
      </c>
      <c r="D11" s="83" t="s">
        <v>294</v>
      </c>
      <c r="E11" s="83" t="s">
        <v>295</v>
      </c>
      <c r="F11" s="83" t="s">
        <v>75</v>
      </c>
      <c r="G11" s="76" t="n">
        <v>6743</v>
      </c>
      <c r="H11" s="76" t="n">
        <v>4759</v>
      </c>
      <c r="I11" s="37" t="n">
        <f aca="false">G11-H11</f>
        <v>1984</v>
      </c>
      <c r="J11" s="83" t="s">
        <v>304</v>
      </c>
    </row>
    <row r="12" customFormat="false" ht="15" hidden="false" customHeight="false" outlineLevel="0" collapsed="false">
      <c r="A12" s="81" t="n">
        <v>44957</v>
      </c>
      <c r="B12" s="82" t="n">
        <v>2023</v>
      </c>
      <c r="C12" s="82" t="n">
        <v>1</v>
      </c>
      <c r="D12" s="83" t="s">
        <v>294</v>
      </c>
      <c r="E12" s="83" t="s">
        <v>297</v>
      </c>
      <c r="F12" s="83" t="s">
        <v>75</v>
      </c>
      <c r="G12" s="76" t="n">
        <v>2593</v>
      </c>
      <c r="H12" s="76" t="n">
        <v>1831</v>
      </c>
      <c r="I12" s="37" t="n">
        <f aca="false">G12-H12</f>
        <v>762</v>
      </c>
      <c r="J12" s="83" t="s">
        <v>305</v>
      </c>
    </row>
    <row r="13" customFormat="false" ht="15" hidden="false" customHeight="false" outlineLevel="0" collapsed="false">
      <c r="A13" s="81" t="n">
        <v>44957</v>
      </c>
      <c r="B13" s="82" t="n">
        <v>2023</v>
      </c>
      <c r="C13" s="82" t="n">
        <v>1</v>
      </c>
      <c r="D13" s="83" t="s">
        <v>294</v>
      </c>
      <c r="E13" s="83" t="s">
        <v>299</v>
      </c>
      <c r="F13" s="83" t="s">
        <v>75</v>
      </c>
      <c r="G13" s="76" t="n">
        <v>2125</v>
      </c>
      <c r="H13" s="76" t="n">
        <v>1504</v>
      </c>
      <c r="I13" s="37" t="n">
        <f aca="false">G13-H13</f>
        <v>621</v>
      </c>
      <c r="J13" s="83" t="s">
        <v>306</v>
      </c>
    </row>
    <row r="14" customFormat="false" ht="15" hidden="false" customHeight="false" outlineLevel="0" collapsed="false">
      <c r="A14" s="81" t="n">
        <v>44957</v>
      </c>
      <c r="B14" s="82" t="n">
        <v>2023</v>
      </c>
      <c r="C14" s="82" t="n">
        <v>1</v>
      </c>
      <c r="D14" s="83" t="s">
        <v>294</v>
      </c>
      <c r="E14" s="83" t="s">
        <v>295</v>
      </c>
      <c r="F14" s="83" t="s">
        <v>76</v>
      </c>
      <c r="G14" s="76" t="n">
        <v>4615</v>
      </c>
      <c r="H14" s="76" t="n">
        <v>3775</v>
      </c>
      <c r="I14" s="37" t="n">
        <f aca="false">G14-H14</f>
        <v>840</v>
      </c>
      <c r="J14" s="83" t="s">
        <v>307</v>
      </c>
    </row>
    <row r="15" customFormat="false" ht="15" hidden="false" customHeight="false" outlineLevel="0" collapsed="false">
      <c r="A15" s="81" t="n">
        <v>44957</v>
      </c>
      <c r="B15" s="82" t="n">
        <v>2023</v>
      </c>
      <c r="C15" s="82" t="n">
        <v>1</v>
      </c>
      <c r="D15" s="83" t="s">
        <v>294</v>
      </c>
      <c r="E15" s="83" t="s">
        <v>297</v>
      </c>
      <c r="F15" s="83" t="s">
        <v>76</v>
      </c>
      <c r="G15" s="76" t="n">
        <v>1856</v>
      </c>
      <c r="H15" s="76" t="n">
        <v>1516</v>
      </c>
      <c r="I15" s="37" t="n">
        <f aca="false">G15-H15</f>
        <v>340</v>
      </c>
      <c r="J15" s="83" t="s">
        <v>308</v>
      </c>
    </row>
    <row r="16" customFormat="false" ht="15" hidden="false" customHeight="false" outlineLevel="0" collapsed="false">
      <c r="A16" s="81" t="n">
        <v>44957</v>
      </c>
      <c r="B16" s="82" t="n">
        <v>2023</v>
      </c>
      <c r="C16" s="82" t="n">
        <v>1</v>
      </c>
      <c r="D16" s="83" t="s">
        <v>294</v>
      </c>
      <c r="E16" s="83" t="s">
        <v>299</v>
      </c>
      <c r="F16" s="83" t="s">
        <v>76</v>
      </c>
      <c r="G16" s="76" t="n">
        <v>1490</v>
      </c>
      <c r="H16" s="76" t="n">
        <v>1211</v>
      </c>
      <c r="I16" s="37" t="n">
        <f aca="false">G16-H16</f>
        <v>279</v>
      </c>
      <c r="J16" s="83" t="s">
        <v>309</v>
      </c>
    </row>
    <row r="17" customFormat="false" ht="15" hidden="false" customHeight="false" outlineLevel="0" collapsed="false">
      <c r="A17" s="81" t="n">
        <v>44985</v>
      </c>
      <c r="B17" s="82" t="n">
        <v>2023</v>
      </c>
      <c r="C17" s="82" t="n">
        <v>2</v>
      </c>
      <c r="D17" s="83" t="s">
        <v>294</v>
      </c>
      <c r="E17" s="83" t="s">
        <v>295</v>
      </c>
      <c r="F17" s="83" t="s">
        <v>73</v>
      </c>
      <c r="G17" s="76" t="n">
        <v>14550</v>
      </c>
      <c r="H17" s="76" t="n">
        <v>11042</v>
      </c>
      <c r="I17" s="37" t="n">
        <f aca="false">G17-H17</f>
        <v>3508</v>
      </c>
      <c r="J17" s="83" t="s">
        <v>310</v>
      </c>
    </row>
    <row r="18" customFormat="false" ht="15" hidden="false" customHeight="false" outlineLevel="0" collapsed="false">
      <c r="A18" s="81" t="n">
        <v>44985</v>
      </c>
      <c r="B18" s="82" t="n">
        <v>2023</v>
      </c>
      <c r="C18" s="82" t="n">
        <v>2</v>
      </c>
      <c r="D18" s="83" t="s">
        <v>294</v>
      </c>
      <c r="E18" s="83" t="s">
        <v>297</v>
      </c>
      <c r="F18" s="83" t="s">
        <v>73</v>
      </c>
      <c r="G18" s="76" t="n">
        <v>5711</v>
      </c>
      <c r="H18" s="76" t="n">
        <v>4338</v>
      </c>
      <c r="I18" s="37" t="n">
        <f aca="false">G18-H18</f>
        <v>1373</v>
      </c>
      <c r="J18" s="83" t="s">
        <v>311</v>
      </c>
    </row>
    <row r="19" customFormat="false" ht="15" hidden="false" customHeight="false" outlineLevel="0" collapsed="false">
      <c r="A19" s="81" t="n">
        <v>44985</v>
      </c>
      <c r="B19" s="82" t="n">
        <v>2023</v>
      </c>
      <c r="C19" s="82" t="n">
        <v>2</v>
      </c>
      <c r="D19" s="83" t="s">
        <v>294</v>
      </c>
      <c r="E19" s="83" t="s">
        <v>299</v>
      </c>
      <c r="F19" s="83" t="s">
        <v>73</v>
      </c>
      <c r="G19" s="76" t="n">
        <v>4637</v>
      </c>
      <c r="H19" s="76" t="n">
        <v>3483</v>
      </c>
      <c r="I19" s="37" t="n">
        <f aca="false">G19-H19</f>
        <v>1154</v>
      </c>
      <c r="J19" s="83" t="s">
        <v>312</v>
      </c>
    </row>
    <row r="20" customFormat="false" ht="15" hidden="false" customHeight="false" outlineLevel="0" collapsed="false">
      <c r="A20" s="81" t="n">
        <v>44985</v>
      </c>
      <c r="B20" s="82" t="n">
        <v>2023</v>
      </c>
      <c r="C20" s="82" t="n">
        <v>2</v>
      </c>
      <c r="D20" s="83" t="s">
        <v>294</v>
      </c>
      <c r="E20" s="83" t="s">
        <v>295</v>
      </c>
      <c r="F20" s="83" t="s">
        <v>74</v>
      </c>
      <c r="G20" s="76" t="n">
        <v>9958</v>
      </c>
      <c r="H20" s="76" t="n">
        <v>7324</v>
      </c>
      <c r="I20" s="37" t="n">
        <f aca="false">G20-H20</f>
        <v>2634</v>
      </c>
      <c r="J20" s="83" t="s">
        <v>313</v>
      </c>
    </row>
    <row r="21" customFormat="false" ht="15" hidden="false" customHeight="false" outlineLevel="0" collapsed="false">
      <c r="A21" s="81" t="n">
        <v>44985</v>
      </c>
      <c r="B21" s="82" t="n">
        <v>2023</v>
      </c>
      <c r="C21" s="82" t="n">
        <v>2</v>
      </c>
      <c r="D21" s="83" t="s">
        <v>294</v>
      </c>
      <c r="E21" s="83" t="s">
        <v>297</v>
      </c>
      <c r="F21" s="83" t="s">
        <v>74</v>
      </c>
      <c r="G21" s="76" t="n">
        <v>3937</v>
      </c>
      <c r="H21" s="76" t="n">
        <v>2892</v>
      </c>
      <c r="I21" s="37" t="n">
        <f aca="false">G21-H21</f>
        <v>1045</v>
      </c>
      <c r="J21" s="83" t="s">
        <v>314</v>
      </c>
    </row>
    <row r="22" customFormat="false" ht="15" hidden="false" customHeight="false" outlineLevel="0" collapsed="false">
      <c r="A22" s="81" t="n">
        <v>44985</v>
      </c>
      <c r="B22" s="82" t="n">
        <v>2023</v>
      </c>
      <c r="C22" s="82" t="n">
        <v>2</v>
      </c>
      <c r="D22" s="83" t="s">
        <v>294</v>
      </c>
      <c r="E22" s="83" t="s">
        <v>299</v>
      </c>
      <c r="F22" s="83" t="s">
        <v>74</v>
      </c>
      <c r="G22" s="76" t="n">
        <v>3368</v>
      </c>
      <c r="H22" s="76" t="n">
        <v>2482</v>
      </c>
      <c r="I22" s="37" t="n">
        <f aca="false">G22-H22</f>
        <v>886</v>
      </c>
      <c r="J22" s="83" t="s">
        <v>315</v>
      </c>
    </row>
    <row r="23" customFormat="false" ht="15" hidden="false" customHeight="false" outlineLevel="0" collapsed="false">
      <c r="A23" s="81" t="n">
        <v>44985</v>
      </c>
      <c r="B23" s="82" t="n">
        <v>2023</v>
      </c>
      <c r="C23" s="82" t="n">
        <v>2</v>
      </c>
      <c r="D23" s="83" t="s">
        <v>294</v>
      </c>
      <c r="E23" s="83" t="s">
        <v>295</v>
      </c>
      <c r="F23" s="83" t="s">
        <v>75</v>
      </c>
      <c r="G23" s="76" t="n">
        <v>6458</v>
      </c>
      <c r="H23" s="76" t="n">
        <v>4527</v>
      </c>
      <c r="I23" s="37" t="n">
        <f aca="false">G23-H23</f>
        <v>1931</v>
      </c>
      <c r="J23" s="83" t="s">
        <v>316</v>
      </c>
    </row>
    <row r="24" customFormat="false" ht="15" hidden="false" customHeight="false" outlineLevel="0" collapsed="false">
      <c r="A24" s="81" t="n">
        <v>44985</v>
      </c>
      <c r="B24" s="82" t="n">
        <v>2023</v>
      </c>
      <c r="C24" s="82" t="n">
        <v>2</v>
      </c>
      <c r="D24" s="83" t="s">
        <v>294</v>
      </c>
      <c r="E24" s="83" t="s">
        <v>297</v>
      </c>
      <c r="F24" s="83" t="s">
        <v>75</v>
      </c>
      <c r="G24" s="76" t="n">
        <v>2582</v>
      </c>
      <c r="H24" s="76" t="n">
        <v>1817</v>
      </c>
      <c r="I24" s="37" t="n">
        <f aca="false">G24-H24</f>
        <v>765</v>
      </c>
      <c r="J24" s="83" t="s">
        <v>317</v>
      </c>
    </row>
    <row r="25" customFormat="false" ht="15" hidden="false" customHeight="false" outlineLevel="0" collapsed="false">
      <c r="A25" s="81" t="n">
        <v>44985</v>
      </c>
      <c r="B25" s="82" t="n">
        <v>2023</v>
      </c>
      <c r="C25" s="82" t="n">
        <v>2</v>
      </c>
      <c r="D25" s="83" t="s">
        <v>294</v>
      </c>
      <c r="E25" s="83" t="s">
        <v>299</v>
      </c>
      <c r="F25" s="83" t="s">
        <v>75</v>
      </c>
      <c r="G25" s="76" t="n">
        <v>2096</v>
      </c>
      <c r="H25" s="76" t="n">
        <v>1476</v>
      </c>
      <c r="I25" s="37" t="n">
        <f aca="false">G25-H25</f>
        <v>620</v>
      </c>
      <c r="J25" s="83" t="s">
        <v>318</v>
      </c>
    </row>
    <row r="26" customFormat="false" ht="15" hidden="false" customHeight="false" outlineLevel="0" collapsed="false">
      <c r="A26" s="81" t="n">
        <v>44985</v>
      </c>
      <c r="B26" s="82" t="n">
        <v>2023</v>
      </c>
      <c r="C26" s="82" t="n">
        <v>2</v>
      </c>
      <c r="D26" s="83" t="s">
        <v>294</v>
      </c>
      <c r="E26" s="83" t="s">
        <v>295</v>
      </c>
      <c r="F26" s="83" t="s">
        <v>76</v>
      </c>
      <c r="G26" s="76" t="n">
        <v>4581</v>
      </c>
      <c r="H26" s="76" t="n">
        <v>3733</v>
      </c>
      <c r="I26" s="37" t="n">
        <f aca="false">G26-H26</f>
        <v>848</v>
      </c>
      <c r="J26" s="83" t="s">
        <v>319</v>
      </c>
    </row>
    <row r="27" customFormat="false" ht="15" hidden="false" customHeight="false" outlineLevel="0" collapsed="false">
      <c r="A27" s="81" t="n">
        <v>44985</v>
      </c>
      <c r="B27" s="82" t="n">
        <v>2023</v>
      </c>
      <c r="C27" s="82" t="n">
        <v>2</v>
      </c>
      <c r="D27" s="83" t="s">
        <v>294</v>
      </c>
      <c r="E27" s="83" t="s">
        <v>297</v>
      </c>
      <c r="F27" s="83" t="s">
        <v>76</v>
      </c>
      <c r="G27" s="76" t="n">
        <v>1766</v>
      </c>
      <c r="H27" s="76" t="n">
        <v>1439</v>
      </c>
      <c r="I27" s="37" t="n">
        <f aca="false">G27-H27</f>
        <v>327</v>
      </c>
      <c r="J27" s="83" t="s">
        <v>320</v>
      </c>
    </row>
    <row r="28" customFormat="false" ht="15" hidden="false" customHeight="false" outlineLevel="0" collapsed="false">
      <c r="A28" s="81" t="n">
        <v>44985</v>
      </c>
      <c r="B28" s="82" t="n">
        <v>2023</v>
      </c>
      <c r="C28" s="82" t="n">
        <v>2</v>
      </c>
      <c r="D28" s="83" t="s">
        <v>294</v>
      </c>
      <c r="E28" s="83" t="s">
        <v>299</v>
      </c>
      <c r="F28" s="83" t="s">
        <v>76</v>
      </c>
      <c r="G28" s="76" t="n">
        <v>1515</v>
      </c>
      <c r="H28" s="76" t="n">
        <v>1236</v>
      </c>
      <c r="I28" s="37" t="n">
        <f aca="false">G28-H28</f>
        <v>279</v>
      </c>
      <c r="J28" s="83" t="s">
        <v>321</v>
      </c>
    </row>
    <row r="29" customFormat="false" ht="15" hidden="false" customHeight="false" outlineLevel="0" collapsed="false">
      <c r="A29" s="81" t="n">
        <v>45016</v>
      </c>
      <c r="B29" s="82" t="n">
        <v>2023</v>
      </c>
      <c r="C29" s="82" t="n">
        <v>3</v>
      </c>
      <c r="D29" s="83" t="s">
        <v>294</v>
      </c>
      <c r="E29" s="83" t="s">
        <v>295</v>
      </c>
      <c r="F29" s="83" t="s">
        <v>73</v>
      </c>
      <c r="G29" s="76" t="n">
        <v>15078</v>
      </c>
      <c r="H29" s="76" t="n">
        <v>11441</v>
      </c>
      <c r="I29" s="37" t="n">
        <f aca="false">G29-H29</f>
        <v>3637</v>
      </c>
      <c r="J29" s="83" t="s">
        <v>322</v>
      </c>
    </row>
    <row r="30" customFormat="false" ht="15" hidden="false" customHeight="false" outlineLevel="0" collapsed="false">
      <c r="A30" s="81" t="n">
        <v>45016</v>
      </c>
      <c r="B30" s="82" t="n">
        <v>2023</v>
      </c>
      <c r="C30" s="82" t="n">
        <v>3</v>
      </c>
      <c r="D30" s="83" t="s">
        <v>294</v>
      </c>
      <c r="E30" s="83" t="s">
        <v>297</v>
      </c>
      <c r="F30" s="83" t="s">
        <v>73</v>
      </c>
      <c r="G30" s="76" t="n">
        <v>5896</v>
      </c>
      <c r="H30" s="76" t="n">
        <v>4447</v>
      </c>
      <c r="I30" s="37" t="n">
        <f aca="false">G30-H30</f>
        <v>1449</v>
      </c>
      <c r="J30" s="83" t="s">
        <v>323</v>
      </c>
    </row>
    <row r="31" customFormat="false" ht="15" hidden="false" customHeight="false" outlineLevel="0" collapsed="false">
      <c r="A31" s="81" t="n">
        <v>45016</v>
      </c>
      <c r="B31" s="82" t="n">
        <v>2023</v>
      </c>
      <c r="C31" s="82" t="n">
        <v>3</v>
      </c>
      <c r="D31" s="83" t="s">
        <v>294</v>
      </c>
      <c r="E31" s="83" t="s">
        <v>299</v>
      </c>
      <c r="F31" s="83" t="s">
        <v>73</v>
      </c>
      <c r="G31" s="76" t="n">
        <v>5068</v>
      </c>
      <c r="H31" s="76" t="n">
        <v>3825</v>
      </c>
      <c r="I31" s="37" t="n">
        <f aca="false">G31-H31</f>
        <v>1243</v>
      </c>
      <c r="J31" s="83" t="s">
        <v>324</v>
      </c>
    </row>
    <row r="32" customFormat="false" ht="15" hidden="false" customHeight="false" outlineLevel="0" collapsed="false">
      <c r="A32" s="81" t="n">
        <v>45016</v>
      </c>
      <c r="B32" s="82" t="n">
        <v>2023</v>
      </c>
      <c r="C32" s="82" t="n">
        <v>3</v>
      </c>
      <c r="D32" s="83" t="s">
        <v>294</v>
      </c>
      <c r="E32" s="83" t="s">
        <v>295</v>
      </c>
      <c r="F32" s="83" t="s">
        <v>74</v>
      </c>
      <c r="G32" s="76" t="n">
        <v>11519</v>
      </c>
      <c r="H32" s="76" t="n">
        <v>8418</v>
      </c>
      <c r="I32" s="37" t="n">
        <f aca="false">G32-H32</f>
        <v>3101</v>
      </c>
      <c r="J32" s="83" t="s">
        <v>325</v>
      </c>
    </row>
    <row r="33" customFormat="false" ht="15" hidden="false" customHeight="false" outlineLevel="0" collapsed="false">
      <c r="A33" s="81" t="n">
        <v>45016</v>
      </c>
      <c r="B33" s="82" t="n">
        <v>2023</v>
      </c>
      <c r="C33" s="82" t="n">
        <v>3</v>
      </c>
      <c r="D33" s="83" t="s">
        <v>294</v>
      </c>
      <c r="E33" s="83" t="s">
        <v>297</v>
      </c>
      <c r="F33" s="83" t="s">
        <v>74</v>
      </c>
      <c r="G33" s="76" t="n">
        <v>4488</v>
      </c>
      <c r="H33" s="76" t="n">
        <v>3284</v>
      </c>
      <c r="I33" s="37" t="n">
        <f aca="false">G33-H33</f>
        <v>1204</v>
      </c>
      <c r="J33" s="83" t="s">
        <v>326</v>
      </c>
    </row>
    <row r="34" customFormat="false" ht="15" hidden="false" customHeight="false" outlineLevel="0" collapsed="false">
      <c r="A34" s="81" t="n">
        <v>45016</v>
      </c>
      <c r="B34" s="82" t="n">
        <v>2023</v>
      </c>
      <c r="C34" s="82" t="n">
        <v>3</v>
      </c>
      <c r="D34" s="83" t="s">
        <v>294</v>
      </c>
      <c r="E34" s="83" t="s">
        <v>299</v>
      </c>
      <c r="F34" s="83" t="s">
        <v>74</v>
      </c>
      <c r="G34" s="76" t="n">
        <v>3667</v>
      </c>
      <c r="H34" s="76" t="n">
        <v>2702</v>
      </c>
      <c r="I34" s="37" t="n">
        <f aca="false">G34-H34</f>
        <v>965</v>
      </c>
      <c r="J34" s="83" t="s">
        <v>327</v>
      </c>
    </row>
    <row r="35" customFormat="false" ht="15" hidden="false" customHeight="false" outlineLevel="0" collapsed="false">
      <c r="A35" s="81" t="n">
        <v>45016</v>
      </c>
      <c r="B35" s="82" t="n">
        <v>2023</v>
      </c>
      <c r="C35" s="82" t="n">
        <v>3</v>
      </c>
      <c r="D35" s="83" t="s">
        <v>294</v>
      </c>
      <c r="E35" s="83" t="s">
        <v>295</v>
      </c>
      <c r="F35" s="83" t="s">
        <v>75</v>
      </c>
      <c r="G35" s="76" t="n">
        <v>7016</v>
      </c>
      <c r="H35" s="76" t="n">
        <v>4923</v>
      </c>
      <c r="I35" s="37" t="n">
        <f aca="false">G35-H35</f>
        <v>2093</v>
      </c>
      <c r="J35" s="83" t="s">
        <v>328</v>
      </c>
    </row>
    <row r="36" customFormat="false" ht="15" hidden="false" customHeight="false" outlineLevel="0" collapsed="false">
      <c r="A36" s="81" t="n">
        <v>45016</v>
      </c>
      <c r="B36" s="82" t="n">
        <v>2023</v>
      </c>
      <c r="C36" s="82" t="n">
        <v>3</v>
      </c>
      <c r="D36" s="83" t="s">
        <v>294</v>
      </c>
      <c r="E36" s="83" t="s">
        <v>297</v>
      </c>
      <c r="F36" s="83" t="s">
        <v>75</v>
      </c>
      <c r="G36" s="76" t="n">
        <v>2739</v>
      </c>
      <c r="H36" s="76" t="n">
        <v>1930</v>
      </c>
      <c r="I36" s="37" t="n">
        <f aca="false">G36-H36</f>
        <v>809</v>
      </c>
      <c r="J36" s="83" t="s">
        <v>329</v>
      </c>
    </row>
    <row r="37" customFormat="false" ht="15" hidden="false" customHeight="false" outlineLevel="0" collapsed="false">
      <c r="A37" s="81" t="n">
        <v>45016</v>
      </c>
      <c r="B37" s="82" t="n">
        <v>2023</v>
      </c>
      <c r="C37" s="82" t="n">
        <v>3</v>
      </c>
      <c r="D37" s="83" t="s">
        <v>294</v>
      </c>
      <c r="E37" s="83" t="s">
        <v>299</v>
      </c>
      <c r="F37" s="83" t="s">
        <v>75</v>
      </c>
      <c r="G37" s="76" t="n">
        <v>2244</v>
      </c>
      <c r="H37" s="76" t="n">
        <v>1577</v>
      </c>
      <c r="I37" s="37" t="n">
        <f aca="false">G37-H37</f>
        <v>667</v>
      </c>
      <c r="J37" s="83" t="s">
        <v>330</v>
      </c>
    </row>
    <row r="38" customFormat="false" ht="15" hidden="false" customHeight="false" outlineLevel="0" collapsed="false">
      <c r="A38" s="81" t="n">
        <v>45016</v>
      </c>
      <c r="B38" s="82" t="n">
        <v>2023</v>
      </c>
      <c r="C38" s="82" t="n">
        <v>3</v>
      </c>
      <c r="D38" s="83" t="s">
        <v>294</v>
      </c>
      <c r="E38" s="83" t="s">
        <v>295</v>
      </c>
      <c r="F38" s="83" t="s">
        <v>76</v>
      </c>
      <c r="G38" s="76" t="n">
        <v>4810</v>
      </c>
      <c r="H38" s="76" t="n">
        <v>3926</v>
      </c>
      <c r="I38" s="37" t="n">
        <f aca="false">G38-H38</f>
        <v>884</v>
      </c>
      <c r="J38" s="83" t="s">
        <v>331</v>
      </c>
    </row>
    <row r="39" customFormat="false" ht="15" hidden="false" customHeight="false" outlineLevel="0" collapsed="false">
      <c r="A39" s="81" t="n">
        <v>45016</v>
      </c>
      <c r="B39" s="82" t="n">
        <v>2023</v>
      </c>
      <c r="C39" s="82" t="n">
        <v>3</v>
      </c>
      <c r="D39" s="83" t="s">
        <v>294</v>
      </c>
      <c r="E39" s="83" t="s">
        <v>297</v>
      </c>
      <c r="F39" s="83" t="s">
        <v>76</v>
      </c>
      <c r="G39" s="76" t="n">
        <v>1860</v>
      </c>
      <c r="H39" s="76" t="n">
        <v>1515</v>
      </c>
      <c r="I39" s="37" t="n">
        <f aca="false">G39-H39</f>
        <v>345</v>
      </c>
      <c r="J39" s="83" t="s">
        <v>332</v>
      </c>
    </row>
    <row r="40" customFormat="false" ht="15" hidden="false" customHeight="false" outlineLevel="0" collapsed="false">
      <c r="A40" s="81" t="n">
        <v>45016</v>
      </c>
      <c r="B40" s="82" t="n">
        <v>2023</v>
      </c>
      <c r="C40" s="82" t="n">
        <v>3</v>
      </c>
      <c r="D40" s="83" t="s">
        <v>294</v>
      </c>
      <c r="E40" s="83" t="s">
        <v>299</v>
      </c>
      <c r="F40" s="83" t="s">
        <v>76</v>
      </c>
      <c r="G40" s="76" t="n">
        <v>1580</v>
      </c>
      <c r="H40" s="76" t="n">
        <v>1295</v>
      </c>
      <c r="I40" s="37" t="n">
        <f aca="false">G40-H40</f>
        <v>285</v>
      </c>
      <c r="J40" s="83" t="s">
        <v>333</v>
      </c>
    </row>
    <row r="41" customFormat="false" ht="15" hidden="false" customHeight="false" outlineLevel="0" collapsed="false">
      <c r="A41" s="81" t="n">
        <v>45046</v>
      </c>
      <c r="B41" s="82" t="n">
        <v>2023</v>
      </c>
      <c r="C41" s="82" t="n">
        <v>4</v>
      </c>
      <c r="D41" s="83" t="s">
        <v>334</v>
      </c>
      <c r="E41" s="83" t="s">
        <v>295</v>
      </c>
      <c r="F41" s="83" t="s">
        <v>73</v>
      </c>
      <c r="G41" s="76" t="n">
        <v>15285</v>
      </c>
      <c r="H41" s="76" t="n">
        <v>11548</v>
      </c>
      <c r="I41" s="37" t="n">
        <f aca="false">G41-H41</f>
        <v>3737</v>
      </c>
      <c r="J41" s="83" t="s">
        <v>335</v>
      </c>
    </row>
    <row r="42" customFormat="false" ht="15" hidden="false" customHeight="false" outlineLevel="0" collapsed="false">
      <c r="A42" s="81" t="n">
        <v>45046</v>
      </c>
      <c r="B42" s="82" t="n">
        <v>2023</v>
      </c>
      <c r="C42" s="82" t="n">
        <v>4</v>
      </c>
      <c r="D42" s="83" t="s">
        <v>334</v>
      </c>
      <c r="E42" s="83" t="s">
        <v>297</v>
      </c>
      <c r="F42" s="83" t="s">
        <v>73</v>
      </c>
      <c r="G42" s="76" t="n">
        <v>6106</v>
      </c>
      <c r="H42" s="76" t="n">
        <v>4599</v>
      </c>
      <c r="I42" s="37" t="n">
        <f aca="false">G42-H42</f>
        <v>1507</v>
      </c>
      <c r="J42" s="83" t="s">
        <v>336</v>
      </c>
    </row>
    <row r="43" customFormat="false" ht="15" hidden="false" customHeight="false" outlineLevel="0" collapsed="false">
      <c r="A43" s="81" t="n">
        <v>45046</v>
      </c>
      <c r="B43" s="82" t="n">
        <v>2023</v>
      </c>
      <c r="C43" s="82" t="n">
        <v>4</v>
      </c>
      <c r="D43" s="83" t="s">
        <v>334</v>
      </c>
      <c r="E43" s="83" t="s">
        <v>299</v>
      </c>
      <c r="F43" s="83" t="s">
        <v>73</v>
      </c>
      <c r="G43" s="76" t="n">
        <v>5083</v>
      </c>
      <c r="H43" s="76" t="n">
        <v>3838</v>
      </c>
      <c r="I43" s="37" t="n">
        <f aca="false">G43-H43</f>
        <v>1245</v>
      </c>
      <c r="J43" s="83" t="s">
        <v>337</v>
      </c>
    </row>
    <row r="44" customFormat="false" ht="15" hidden="false" customHeight="false" outlineLevel="0" collapsed="false">
      <c r="A44" s="81" t="n">
        <v>45046</v>
      </c>
      <c r="B44" s="82" t="n">
        <v>2023</v>
      </c>
      <c r="C44" s="82" t="n">
        <v>4</v>
      </c>
      <c r="D44" s="83" t="s">
        <v>334</v>
      </c>
      <c r="E44" s="83" t="s">
        <v>295</v>
      </c>
      <c r="F44" s="83" t="s">
        <v>74</v>
      </c>
      <c r="G44" s="76" t="n">
        <v>11604</v>
      </c>
      <c r="H44" s="76" t="n">
        <v>8568</v>
      </c>
      <c r="I44" s="37" t="n">
        <f aca="false">G44-H44</f>
        <v>3036</v>
      </c>
      <c r="J44" s="83" t="s">
        <v>338</v>
      </c>
    </row>
    <row r="45" customFormat="false" ht="15" hidden="false" customHeight="false" outlineLevel="0" collapsed="false">
      <c r="A45" s="81" t="n">
        <v>45046</v>
      </c>
      <c r="B45" s="82" t="n">
        <v>2023</v>
      </c>
      <c r="C45" s="82" t="n">
        <v>4</v>
      </c>
      <c r="D45" s="83" t="s">
        <v>334</v>
      </c>
      <c r="E45" s="83" t="s">
        <v>297</v>
      </c>
      <c r="F45" s="83" t="s">
        <v>74</v>
      </c>
      <c r="G45" s="76" t="n">
        <v>4589</v>
      </c>
      <c r="H45" s="76" t="n">
        <v>3365</v>
      </c>
      <c r="I45" s="37" t="n">
        <f aca="false">G45-H45</f>
        <v>1224</v>
      </c>
      <c r="J45" s="83" t="s">
        <v>339</v>
      </c>
    </row>
    <row r="46" customFormat="false" ht="15" hidden="false" customHeight="false" outlineLevel="0" collapsed="false">
      <c r="A46" s="81" t="n">
        <v>45046</v>
      </c>
      <c r="B46" s="82" t="n">
        <v>2023</v>
      </c>
      <c r="C46" s="82" t="n">
        <v>4</v>
      </c>
      <c r="D46" s="83" t="s">
        <v>334</v>
      </c>
      <c r="E46" s="83" t="s">
        <v>299</v>
      </c>
      <c r="F46" s="83" t="s">
        <v>74</v>
      </c>
      <c r="G46" s="76" t="n">
        <v>3753</v>
      </c>
      <c r="H46" s="76" t="n">
        <v>2743</v>
      </c>
      <c r="I46" s="37" t="n">
        <f aca="false">G46-H46</f>
        <v>1010</v>
      </c>
      <c r="J46" s="83" t="s">
        <v>340</v>
      </c>
    </row>
    <row r="47" customFormat="false" ht="15" hidden="false" customHeight="false" outlineLevel="0" collapsed="false">
      <c r="A47" s="81" t="n">
        <v>45046</v>
      </c>
      <c r="B47" s="82" t="n">
        <v>2023</v>
      </c>
      <c r="C47" s="82" t="n">
        <v>4</v>
      </c>
      <c r="D47" s="83" t="s">
        <v>334</v>
      </c>
      <c r="E47" s="83" t="s">
        <v>295</v>
      </c>
      <c r="F47" s="83" t="s">
        <v>75</v>
      </c>
      <c r="G47" s="76" t="n">
        <v>6993</v>
      </c>
      <c r="H47" s="76" t="n">
        <v>4936</v>
      </c>
      <c r="I47" s="37" t="n">
        <f aca="false">G47-H47</f>
        <v>2057</v>
      </c>
      <c r="J47" s="83" t="s">
        <v>341</v>
      </c>
    </row>
    <row r="48" customFormat="false" ht="15" hidden="false" customHeight="false" outlineLevel="0" collapsed="false">
      <c r="A48" s="81" t="n">
        <v>45046</v>
      </c>
      <c r="B48" s="82" t="n">
        <v>2023</v>
      </c>
      <c r="C48" s="82" t="n">
        <v>4</v>
      </c>
      <c r="D48" s="83" t="s">
        <v>334</v>
      </c>
      <c r="E48" s="83" t="s">
        <v>297</v>
      </c>
      <c r="F48" s="83" t="s">
        <v>75</v>
      </c>
      <c r="G48" s="76" t="n">
        <v>2741</v>
      </c>
      <c r="H48" s="76" t="n">
        <v>1933</v>
      </c>
      <c r="I48" s="37" t="n">
        <f aca="false">G48-H48</f>
        <v>808</v>
      </c>
      <c r="J48" s="83" t="s">
        <v>342</v>
      </c>
    </row>
    <row r="49" customFormat="false" ht="15" hidden="false" customHeight="false" outlineLevel="0" collapsed="false">
      <c r="A49" s="81" t="n">
        <v>45046</v>
      </c>
      <c r="B49" s="82" t="n">
        <v>2023</v>
      </c>
      <c r="C49" s="82" t="n">
        <v>4</v>
      </c>
      <c r="D49" s="83" t="s">
        <v>334</v>
      </c>
      <c r="E49" s="83" t="s">
        <v>299</v>
      </c>
      <c r="F49" s="83" t="s">
        <v>75</v>
      </c>
      <c r="G49" s="76" t="n">
        <v>2268</v>
      </c>
      <c r="H49" s="76" t="n">
        <v>1607</v>
      </c>
      <c r="I49" s="37" t="n">
        <f aca="false">G49-H49</f>
        <v>661</v>
      </c>
      <c r="J49" s="83" t="s">
        <v>343</v>
      </c>
    </row>
    <row r="50" customFormat="false" ht="15" hidden="false" customHeight="false" outlineLevel="0" collapsed="false">
      <c r="A50" s="81" t="n">
        <v>45046</v>
      </c>
      <c r="B50" s="82" t="n">
        <v>2023</v>
      </c>
      <c r="C50" s="82" t="n">
        <v>4</v>
      </c>
      <c r="D50" s="83" t="s">
        <v>334</v>
      </c>
      <c r="E50" s="83" t="s">
        <v>295</v>
      </c>
      <c r="F50" s="83" t="s">
        <v>76</v>
      </c>
      <c r="G50" s="76" t="n">
        <v>4657</v>
      </c>
      <c r="H50" s="76" t="n">
        <v>3795</v>
      </c>
      <c r="I50" s="37" t="n">
        <f aca="false">G50-H50</f>
        <v>862</v>
      </c>
      <c r="J50" s="83" t="s">
        <v>344</v>
      </c>
    </row>
    <row r="51" customFormat="false" ht="15" hidden="false" customHeight="false" outlineLevel="0" collapsed="false">
      <c r="A51" s="81" t="n">
        <v>45046</v>
      </c>
      <c r="B51" s="82" t="n">
        <v>2023</v>
      </c>
      <c r="C51" s="82" t="n">
        <v>4</v>
      </c>
      <c r="D51" s="83" t="s">
        <v>334</v>
      </c>
      <c r="E51" s="83" t="s">
        <v>297</v>
      </c>
      <c r="F51" s="83" t="s">
        <v>76</v>
      </c>
      <c r="G51" s="76" t="n">
        <v>1875</v>
      </c>
      <c r="H51" s="76" t="n">
        <v>1534</v>
      </c>
      <c r="I51" s="37" t="n">
        <f aca="false">G51-H51</f>
        <v>341</v>
      </c>
      <c r="J51" s="83" t="s">
        <v>345</v>
      </c>
    </row>
    <row r="52" customFormat="false" ht="15" hidden="false" customHeight="false" outlineLevel="0" collapsed="false">
      <c r="A52" s="81" t="n">
        <v>45046</v>
      </c>
      <c r="B52" s="82" t="n">
        <v>2023</v>
      </c>
      <c r="C52" s="82" t="n">
        <v>4</v>
      </c>
      <c r="D52" s="83" t="s">
        <v>334</v>
      </c>
      <c r="E52" s="83" t="s">
        <v>299</v>
      </c>
      <c r="F52" s="83" t="s">
        <v>76</v>
      </c>
      <c r="G52" s="76" t="n">
        <v>1577</v>
      </c>
      <c r="H52" s="76" t="n">
        <v>1286</v>
      </c>
      <c r="I52" s="37" t="n">
        <f aca="false">G52-H52</f>
        <v>291</v>
      </c>
      <c r="J52" s="83" t="s">
        <v>346</v>
      </c>
    </row>
    <row r="53" customFormat="false" ht="15" hidden="false" customHeight="false" outlineLevel="0" collapsed="false">
      <c r="A53" s="81" t="n">
        <v>45077</v>
      </c>
      <c r="B53" s="82" t="n">
        <v>2023</v>
      </c>
      <c r="C53" s="82" t="n">
        <v>5</v>
      </c>
      <c r="D53" s="83" t="s">
        <v>334</v>
      </c>
      <c r="E53" s="83" t="s">
        <v>295</v>
      </c>
      <c r="F53" s="83" t="s">
        <v>73</v>
      </c>
      <c r="G53" s="76" t="n">
        <v>16098</v>
      </c>
      <c r="H53" s="76" t="n">
        <v>12202</v>
      </c>
      <c r="I53" s="37" t="n">
        <f aca="false">G53-H53</f>
        <v>3896</v>
      </c>
      <c r="J53" s="83" t="s">
        <v>347</v>
      </c>
    </row>
    <row r="54" customFormat="false" ht="15" hidden="false" customHeight="false" outlineLevel="0" collapsed="false">
      <c r="A54" s="81" t="n">
        <v>45077</v>
      </c>
      <c r="B54" s="82" t="n">
        <v>2023</v>
      </c>
      <c r="C54" s="82" t="n">
        <v>5</v>
      </c>
      <c r="D54" s="83" t="s">
        <v>334</v>
      </c>
      <c r="E54" s="83" t="s">
        <v>297</v>
      </c>
      <c r="F54" s="83" t="s">
        <v>73</v>
      </c>
      <c r="G54" s="76" t="n">
        <v>6163</v>
      </c>
      <c r="H54" s="76" t="n">
        <v>4676</v>
      </c>
      <c r="I54" s="37" t="n">
        <f aca="false">G54-H54</f>
        <v>1487</v>
      </c>
      <c r="J54" s="83" t="s">
        <v>348</v>
      </c>
    </row>
    <row r="55" customFormat="false" ht="15" hidden="false" customHeight="false" outlineLevel="0" collapsed="false">
      <c r="A55" s="81" t="n">
        <v>45077</v>
      </c>
      <c r="B55" s="82" t="n">
        <v>2023</v>
      </c>
      <c r="C55" s="82" t="n">
        <v>5</v>
      </c>
      <c r="D55" s="83" t="s">
        <v>334</v>
      </c>
      <c r="E55" s="83" t="s">
        <v>299</v>
      </c>
      <c r="F55" s="83" t="s">
        <v>73</v>
      </c>
      <c r="G55" s="76" t="n">
        <v>5024</v>
      </c>
      <c r="H55" s="76" t="n">
        <v>3802</v>
      </c>
      <c r="I55" s="37" t="n">
        <f aca="false">G55-H55</f>
        <v>1222</v>
      </c>
      <c r="J55" s="83" t="s">
        <v>349</v>
      </c>
    </row>
    <row r="56" customFormat="false" ht="15" hidden="false" customHeight="false" outlineLevel="0" collapsed="false">
      <c r="A56" s="81" t="n">
        <v>45077</v>
      </c>
      <c r="B56" s="82" t="n">
        <v>2023</v>
      </c>
      <c r="C56" s="82" t="n">
        <v>5</v>
      </c>
      <c r="D56" s="83" t="s">
        <v>334</v>
      </c>
      <c r="E56" s="83" t="s">
        <v>295</v>
      </c>
      <c r="F56" s="83" t="s">
        <v>74</v>
      </c>
      <c r="G56" s="76" t="n">
        <v>12158</v>
      </c>
      <c r="H56" s="76" t="n">
        <v>8938</v>
      </c>
      <c r="I56" s="37" t="n">
        <f aca="false">G56-H56</f>
        <v>3220</v>
      </c>
      <c r="J56" s="83" t="s">
        <v>350</v>
      </c>
    </row>
    <row r="57" customFormat="false" ht="15" hidden="false" customHeight="false" outlineLevel="0" collapsed="false">
      <c r="A57" s="81" t="n">
        <v>45077</v>
      </c>
      <c r="B57" s="82" t="n">
        <v>2023</v>
      </c>
      <c r="C57" s="82" t="n">
        <v>5</v>
      </c>
      <c r="D57" s="83" t="s">
        <v>334</v>
      </c>
      <c r="E57" s="83" t="s">
        <v>297</v>
      </c>
      <c r="F57" s="83" t="s">
        <v>74</v>
      </c>
      <c r="G57" s="76" t="n">
        <v>4727</v>
      </c>
      <c r="H57" s="76" t="n">
        <v>3494</v>
      </c>
      <c r="I57" s="37" t="n">
        <f aca="false">G57-H57</f>
        <v>1233</v>
      </c>
      <c r="J57" s="83" t="s">
        <v>351</v>
      </c>
    </row>
    <row r="58" customFormat="false" ht="15" hidden="false" customHeight="false" outlineLevel="0" collapsed="false">
      <c r="A58" s="81" t="n">
        <v>45077</v>
      </c>
      <c r="B58" s="82" t="n">
        <v>2023</v>
      </c>
      <c r="C58" s="82" t="n">
        <v>5</v>
      </c>
      <c r="D58" s="83" t="s">
        <v>334</v>
      </c>
      <c r="E58" s="83" t="s">
        <v>299</v>
      </c>
      <c r="F58" s="83" t="s">
        <v>74</v>
      </c>
      <c r="G58" s="76" t="n">
        <v>4026</v>
      </c>
      <c r="H58" s="76" t="n">
        <v>2971</v>
      </c>
      <c r="I58" s="37" t="n">
        <f aca="false">G58-H58</f>
        <v>1055</v>
      </c>
      <c r="J58" s="83" t="s">
        <v>352</v>
      </c>
    </row>
    <row r="59" customFormat="false" ht="15" hidden="false" customHeight="false" outlineLevel="0" collapsed="false">
      <c r="A59" s="81" t="n">
        <v>45077</v>
      </c>
      <c r="B59" s="82" t="n">
        <v>2023</v>
      </c>
      <c r="C59" s="82" t="n">
        <v>5</v>
      </c>
      <c r="D59" s="83" t="s">
        <v>334</v>
      </c>
      <c r="E59" s="83" t="s">
        <v>295</v>
      </c>
      <c r="F59" s="83" t="s">
        <v>75</v>
      </c>
      <c r="G59" s="76" t="n">
        <v>7134</v>
      </c>
      <c r="H59" s="76" t="n">
        <v>5003</v>
      </c>
      <c r="I59" s="37" t="n">
        <f aca="false">G59-H59</f>
        <v>2131</v>
      </c>
      <c r="J59" s="83" t="s">
        <v>353</v>
      </c>
    </row>
    <row r="60" customFormat="false" ht="15" hidden="false" customHeight="false" outlineLevel="0" collapsed="false">
      <c r="A60" s="81" t="n">
        <v>45077</v>
      </c>
      <c r="B60" s="82" t="n">
        <v>2023</v>
      </c>
      <c r="C60" s="82" t="n">
        <v>5</v>
      </c>
      <c r="D60" s="83" t="s">
        <v>334</v>
      </c>
      <c r="E60" s="83" t="s">
        <v>297</v>
      </c>
      <c r="F60" s="83" t="s">
        <v>75</v>
      </c>
      <c r="G60" s="76" t="n">
        <v>2793</v>
      </c>
      <c r="H60" s="76" t="n">
        <v>1969</v>
      </c>
      <c r="I60" s="37" t="n">
        <f aca="false">G60-H60</f>
        <v>824</v>
      </c>
      <c r="J60" s="83" t="s">
        <v>354</v>
      </c>
    </row>
    <row r="61" customFormat="false" ht="15" hidden="false" customHeight="false" outlineLevel="0" collapsed="false">
      <c r="A61" s="81" t="n">
        <v>45077</v>
      </c>
      <c r="B61" s="82" t="n">
        <v>2023</v>
      </c>
      <c r="C61" s="82" t="n">
        <v>5</v>
      </c>
      <c r="D61" s="83" t="s">
        <v>334</v>
      </c>
      <c r="E61" s="83" t="s">
        <v>299</v>
      </c>
      <c r="F61" s="83" t="s">
        <v>75</v>
      </c>
      <c r="G61" s="76" t="n">
        <v>2283</v>
      </c>
      <c r="H61" s="76" t="n">
        <v>1614</v>
      </c>
      <c r="I61" s="37" t="n">
        <f aca="false">G61-H61</f>
        <v>669</v>
      </c>
      <c r="J61" s="83" t="s">
        <v>355</v>
      </c>
    </row>
    <row r="62" customFormat="false" ht="15" hidden="false" customHeight="false" outlineLevel="0" collapsed="false">
      <c r="A62" s="81" t="n">
        <v>45077</v>
      </c>
      <c r="B62" s="82" t="n">
        <v>2023</v>
      </c>
      <c r="C62" s="82" t="n">
        <v>5</v>
      </c>
      <c r="D62" s="83" t="s">
        <v>334</v>
      </c>
      <c r="E62" s="83" t="s">
        <v>295</v>
      </c>
      <c r="F62" s="83" t="s">
        <v>76</v>
      </c>
      <c r="G62" s="76" t="n">
        <v>4772</v>
      </c>
      <c r="H62" s="76" t="n">
        <v>3887</v>
      </c>
      <c r="I62" s="37" t="n">
        <f aca="false">G62-H62</f>
        <v>885</v>
      </c>
      <c r="J62" s="83" t="s">
        <v>356</v>
      </c>
    </row>
    <row r="63" customFormat="false" ht="15" hidden="false" customHeight="false" outlineLevel="0" collapsed="false">
      <c r="A63" s="81" t="n">
        <v>45077</v>
      </c>
      <c r="B63" s="82" t="n">
        <v>2023</v>
      </c>
      <c r="C63" s="82" t="n">
        <v>5</v>
      </c>
      <c r="D63" s="83" t="s">
        <v>334</v>
      </c>
      <c r="E63" s="83" t="s">
        <v>297</v>
      </c>
      <c r="F63" s="83" t="s">
        <v>76</v>
      </c>
      <c r="G63" s="76" t="n">
        <v>1847</v>
      </c>
      <c r="H63" s="76" t="n">
        <v>1496</v>
      </c>
      <c r="I63" s="37" t="n">
        <f aca="false">G63-H63</f>
        <v>351</v>
      </c>
      <c r="J63" s="83" t="s">
        <v>357</v>
      </c>
    </row>
    <row r="64" customFormat="false" ht="15" hidden="false" customHeight="false" outlineLevel="0" collapsed="false">
      <c r="A64" s="81" t="n">
        <v>45077</v>
      </c>
      <c r="B64" s="82" t="n">
        <v>2023</v>
      </c>
      <c r="C64" s="82" t="n">
        <v>5</v>
      </c>
      <c r="D64" s="83" t="s">
        <v>334</v>
      </c>
      <c r="E64" s="83" t="s">
        <v>299</v>
      </c>
      <c r="F64" s="83" t="s">
        <v>76</v>
      </c>
      <c r="G64" s="76" t="n">
        <v>1579</v>
      </c>
      <c r="H64" s="76" t="n">
        <v>1294</v>
      </c>
      <c r="I64" s="37" t="n">
        <f aca="false">G64-H64</f>
        <v>285</v>
      </c>
      <c r="J64" s="83" t="s">
        <v>358</v>
      </c>
    </row>
    <row r="65" customFormat="false" ht="15" hidden="false" customHeight="false" outlineLevel="0" collapsed="false">
      <c r="A65" s="81" t="n">
        <v>45107</v>
      </c>
      <c r="B65" s="82" t="n">
        <v>2023</v>
      </c>
      <c r="C65" s="82" t="n">
        <v>6</v>
      </c>
      <c r="D65" s="83" t="s">
        <v>334</v>
      </c>
      <c r="E65" s="83" t="s">
        <v>295</v>
      </c>
      <c r="F65" s="83" t="s">
        <v>73</v>
      </c>
      <c r="G65" s="76" t="n">
        <v>15168</v>
      </c>
      <c r="H65" s="76" t="n">
        <v>11492</v>
      </c>
      <c r="I65" s="37" t="n">
        <f aca="false">G65-H65</f>
        <v>3676</v>
      </c>
      <c r="J65" s="83" t="s">
        <v>359</v>
      </c>
    </row>
    <row r="66" customFormat="false" ht="15" hidden="false" customHeight="false" outlineLevel="0" collapsed="false">
      <c r="A66" s="81" t="n">
        <v>45107</v>
      </c>
      <c r="B66" s="82" t="n">
        <v>2023</v>
      </c>
      <c r="C66" s="82" t="n">
        <v>6</v>
      </c>
      <c r="D66" s="83" t="s">
        <v>334</v>
      </c>
      <c r="E66" s="83" t="s">
        <v>297</v>
      </c>
      <c r="F66" s="83" t="s">
        <v>73</v>
      </c>
      <c r="G66" s="76" t="n">
        <v>6076</v>
      </c>
      <c r="H66" s="76" t="n">
        <v>4594</v>
      </c>
      <c r="I66" s="37" t="n">
        <f aca="false">G66-H66</f>
        <v>1482</v>
      </c>
      <c r="J66" s="83" t="s">
        <v>360</v>
      </c>
    </row>
    <row r="67" customFormat="false" ht="15" hidden="false" customHeight="false" outlineLevel="0" collapsed="false">
      <c r="A67" s="81" t="n">
        <v>45107</v>
      </c>
      <c r="B67" s="82" t="n">
        <v>2023</v>
      </c>
      <c r="C67" s="82" t="n">
        <v>6</v>
      </c>
      <c r="D67" s="83" t="s">
        <v>334</v>
      </c>
      <c r="E67" s="83" t="s">
        <v>299</v>
      </c>
      <c r="F67" s="83" t="s">
        <v>73</v>
      </c>
      <c r="G67" s="76" t="n">
        <v>5173</v>
      </c>
      <c r="H67" s="76" t="n">
        <v>3927</v>
      </c>
      <c r="I67" s="37" t="n">
        <f aca="false">G67-H67</f>
        <v>1246</v>
      </c>
      <c r="J67" s="83" t="s">
        <v>361</v>
      </c>
    </row>
    <row r="68" customFormat="false" ht="15" hidden="false" customHeight="false" outlineLevel="0" collapsed="false">
      <c r="A68" s="81" t="n">
        <v>45107</v>
      </c>
      <c r="B68" s="82" t="n">
        <v>2023</v>
      </c>
      <c r="C68" s="82" t="n">
        <v>6</v>
      </c>
      <c r="D68" s="83" t="s">
        <v>334</v>
      </c>
      <c r="E68" s="83" t="s">
        <v>295</v>
      </c>
      <c r="F68" s="83" t="s">
        <v>74</v>
      </c>
      <c r="G68" s="76" t="n">
        <v>11962</v>
      </c>
      <c r="H68" s="76" t="n">
        <v>8806</v>
      </c>
      <c r="I68" s="37" t="n">
        <f aca="false">G68-H68</f>
        <v>3156</v>
      </c>
      <c r="J68" s="83" t="s">
        <v>362</v>
      </c>
    </row>
    <row r="69" customFormat="false" ht="15" hidden="false" customHeight="false" outlineLevel="0" collapsed="false">
      <c r="A69" s="81" t="n">
        <v>45107</v>
      </c>
      <c r="B69" s="82" t="n">
        <v>2023</v>
      </c>
      <c r="C69" s="82" t="n">
        <v>6</v>
      </c>
      <c r="D69" s="83" t="s">
        <v>334</v>
      </c>
      <c r="E69" s="83" t="s">
        <v>297</v>
      </c>
      <c r="F69" s="83" t="s">
        <v>74</v>
      </c>
      <c r="G69" s="76" t="n">
        <v>4599</v>
      </c>
      <c r="H69" s="76" t="n">
        <v>3373</v>
      </c>
      <c r="I69" s="37" t="n">
        <f aca="false">G69-H69</f>
        <v>1226</v>
      </c>
      <c r="J69" s="83" t="s">
        <v>363</v>
      </c>
    </row>
    <row r="70" customFormat="false" ht="15" hidden="false" customHeight="false" outlineLevel="0" collapsed="false">
      <c r="A70" s="81" t="n">
        <v>45107</v>
      </c>
      <c r="B70" s="82" t="n">
        <v>2023</v>
      </c>
      <c r="C70" s="82" t="n">
        <v>6</v>
      </c>
      <c r="D70" s="83" t="s">
        <v>334</v>
      </c>
      <c r="E70" s="83" t="s">
        <v>299</v>
      </c>
      <c r="F70" s="83" t="s">
        <v>74</v>
      </c>
      <c r="G70" s="76" t="n">
        <v>3899</v>
      </c>
      <c r="H70" s="76" t="n">
        <v>2875</v>
      </c>
      <c r="I70" s="37" t="n">
        <f aca="false">G70-H70</f>
        <v>1024</v>
      </c>
      <c r="J70" s="83" t="s">
        <v>364</v>
      </c>
    </row>
    <row r="71" customFormat="false" ht="15" hidden="false" customHeight="false" outlineLevel="0" collapsed="false">
      <c r="A71" s="81" t="n">
        <v>45107</v>
      </c>
      <c r="B71" s="82" t="n">
        <v>2023</v>
      </c>
      <c r="C71" s="82" t="n">
        <v>6</v>
      </c>
      <c r="D71" s="83" t="s">
        <v>334</v>
      </c>
      <c r="E71" s="83" t="s">
        <v>295</v>
      </c>
      <c r="F71" s="83" t="s">
        <v>75</v>
      </c>
      <c r="G71" s="76" t="n">
        <v>7262</v>
      </c>
      <c r="H71" s="76" t="n">
        <v>5119</v>
      </c>
      <c r="I71" s="37" t="n">
        <f aca="false">G71-H71</f>
        <v>2143</v>
      </c>
      <c r="J71" s="83" t="s">
        <v>365</v>
      </c>
    </row>
    <row r="72" customFormat="false" ht="15" hidden="false" customHeight="false" outlineLevel="0" collapsed="false">
      <c r="A72" s="81" t="n">
        <v>45107</v>
      </c>
      <c r="B72" s="82" t="n">
        <v>2023</v>
      </c>
      <c r="C72" s="82" t="n">
        <v>6</v>
      </c>
      <c r="D72" s="83" t="s">
        <v>334</v>
      </c>
      <c r="E72" s="83" t="s">
        <v>297</v>
      </c>
      <c r="F72" s="83" t="s">
        <v>75</v>
      </c>
      <c r="G72" s="76" t="n">
        <v>2841</v>
      </c>
      <c r="H72" s="76" t="n">
        <v>1994</v>
      </c>
      <c r="I72" s="37" t="n">
        <f aca="false">G72-H72</f>
        <v>847</v>
      </c>
      <c r="J72" s="83" t="s">
        <v>366</v>
      </c>
    </row>
    <row r="73" customFormat="false" ht="15" hidden="false" customHeight="false" outlineLevel="0" collapsed="false">
      <c r="A73" s="81" t="n">
        <v>45107</v>
      </c>
      <c r="B73" s="82" t="n">
        <v>2023</v>
      </c>
      <c r="C73" s="82" t="n">
        <v>6</v>
      </c>
      <c r="D73" s="83" t="s">
        <v>334</v>
      </c>
      <c r="E73" s="83" t="s">
        <v>299</v>
      </c>
      <c r="F73" s="83" t="s">
        <v>75</v>
      </c>
      <c r="G73" s="76" t="n">
        <v>2278</v>
      </c>
      <c r="H73" s="76" t="n">
        <v>1608</v>
      </c>
      <c r="I73" s="37" t="n">
        <f aca="false">G73-H73</f>
        <v>670</v>
      </c>
      <c r="J73" s="83" t="s">
        <v>367</v>
      </c>
    </row>
    <row r="74" customFormat="false" ht="15" hidden="false" customHeight="false" outlineLevel="0" collapsed="false">
      <c r="A74" s="81" t="n">
        <v>45107</v>
      </c>
      <c r="B74" s="82" t="n">
        <v>2023</v>
      </c>
      <c r="C74" s="82" t="n">
        <v>6</v>
      </c>
      <c r="D74" s="83" t="s">
        <v>334</v>
      </c>
      <c r="E74" s="83" t="s">
        <v>295</v>
      </c>
      <c r="F74" s="83" t="s">
        <v>76</v>
      </c>
      <c r="G74" s="76" t="n">
        <v>4905</v>
      </c>
      <c r="H74" s="76" t="n">
        <v>4016</v>
      </c>
      <c r="I74" s="37" t="n">
        <f aca="false">G74-H74</f>
        <v>889</v>
      </c>
      <c r="J74" s="83" t="s">
        <v>368</v>
      </c>
    </row>
    <row r="75" customFormat="false" ht="15" hidden="false" customHeight="false" outlineLevel="0" collapsed="false">
      <c r="A75" s="81" t="n">
        <v>45107</v>
      </c>
      <c r="B75" s="82" t="n">
        <v>2023</v>
      </c>
      <c r="C75" s="82" t="n">
        <v>6</v>
      </c>
      <c r="D75" s="83" t="s">
        <v>334</v>
      </c>
      <c r="E75" s="83" t="s">
        <v>297</v>
      </c>
      <c r="F75" s="83" t="s">
        <v>76</v>
      </c>
      <c r="G75" s="76" t="n">
        <v>1893</v>
      </c>
      <c r="H75" s="76" t="n">
        <v>1535</v>
      </c>
      <c r="I75" s="37" t="n">
        <f aca="false">G75-H75</f>
        <v>358</v>
      </c>
      <c r="J75" s="83" t="s">
        <v>369</v>
      </c>
    </row>
    <row r="76" customFormat="false" ht="15" hidden="false" customHeight="false" outlineLevel="0" collapsed="false">
      <c r="A76" s="81" t="n">
        <v>45107</v>
      </c>
      <c r="B76" s="82" t="n">
        <v>2023</v>
      </c>
      <c r="C76" s="82" t="n">
        <v>6</v>
      </c>
      <c r="D76" s="83" t="s">
        <v>334</v>
      </c>
      <c r="E76" s="83" t="s">
        <v>299</v>
      </c>
      <c r="F76" s="83" t="s">
        <v>76</v>
      </c>
      <c r="G76" s="76" t="n">
        <v>1580</v>
      </c>
      <c r="H76" s="76" t="n">
        <v>1294</v>
      </c>
      <c r="I76" s="37" t="n">
        <f aca="false">G76-H76</f>
        <v>286</v>
      </c>
      <c r="J76" s="83" t="s">
        <v>370</v>
      </c>
    </row>
    <row r="77" customFormat="false" ht="15" hidden="false" customHeight="false" outlineLevel="0" collapsed="false">
      <c r="A77" s="81" t="n">
        <v>45138</v>
      </c>
      <c r="B77" s="82" t="n">
        <v>2023</v>
      </c>
      <c r="C77" s="82" t="n">
        <v>7</v>
      </c>
      <c r="D77" s="83" t="s">
        <v>371</v>
      </c>
      <c r="E77" s="83" t="s">
        <v>295</v>
      </c>
      <c r="F77" s="83" t="s">
        <v>73</v>
      </c>
      <c r="G77" s="76" t="n">
        <v>16301</v>
      </c>
      <c r="H77" s="76" t="n">
        <v>12369</v>
      </c>
      <c r="I77" s="37" t="n">
        <f aca="false">G77-H77</f>
        <v>3932</v>
      </c>
      <c r="J77" s="83" t="s">
        <v>372</v>
      </c>
    </row>
    <row r="78" customFormat="false" ht="15" hidden="false" customHeight="false" outlineLevel="0" collapsed="false">
      <c r="A78" s="81" t="n">
        <v>45138</v>
      </c>
      <c r="B78" s="82" t="n">
        <v>2023</v>
      </c>
      <c r="C78" s="82" t="n">
        <v>7</v>
      </c>
      <c r="D78" s="83" t="s">
        <v>371</v>
      </c>
      <c r="E78" s="83" t="s">
        <v>297</v>
      </c>
      <c r="F78" s="83" t="s">
        <v>73</v>
      </c>
      <c r="G78" s="76" t="n">
        <v>6282</v>
      </c>
      <c r="H78" s="76" t="n">
        <v>4738</v>
      </c>
      <c r="I78" s="37" t="n">
        <f aca="false">G78-H78</f>
        <v>1544</v>
      </c>
      <c r="J78" s="83" t="s">
        <v>373</v>
      </c>
    </row>
    <row r="79" customFormat="false" ht="15" hidden="false" customHeight="false" outlineLevel="0" collapsed="false">
      <c r="A79" s="81" t="n">
        <v>45138</v>
      </c>
      <c r="B79" s="82" t="n">
        <v>2023</v>
      </c>
      <c r="C79" s="82" t="n">
        <v>7</v>
      </c>
      <c r="D79" s="83" t="s">
        <v>371</v>
      </c>
      <c r="E79" s="83" t="s">
        <v>299</v>
      </c>
      <c r="F79" s="83" t="s">
        <v>73</v>
      </c>
      <c r="G79" s="76" t="n">
        <v>5348</v>
      </c>
      <c r="H79" s="76" t="n">
        <v>4039</v>
      </c>
      <c r="I79" s="37" t="n">
        <f aca="false">G79-H79</f>
        <v>1309</v>
      </c>
      <c r="J79" s="83" t="s">
        <v>374</v>
      </c>
    </row>
    <row r="80" customFormat="false" ht="15" hidden="false" customHeight="false" outlineLevel="0" collapsed="false">
      <c r="A80" s="81" t="n">
        <v>45138</v>
      </c>
      <c r="B80" s="82" t="n">
        <v>2023</v>
      </c>
      <c r="C80" s="82" t="n">
        <v>7</v>
      </c>
      <c r="D80" s="83" t="s">
        <v>371</v>
      </c>
      <c r="E80" s="83" t="s">
        <v>295</v>
      </c>
      <c r="F80" s="83" t="s">
        <v>74</v>
      </c>
      <c r="G80" s="76" t="n">
        <v>11188</v>
      </c>
      <c r="H80" s="76" t="n">
        <v>8175</v>
      </c>
      <c r="I80" s="37" t="n">
        <f aca="false">G80-H80</f>
        <v>3013</v>
      </c>
      <c r="J80" s="83" t="s">
        <v>375</v>
      </c>
    </row>
    <row r="81" customFormat="false" ht="15" hidden="false" customHeight="false" outlineLevel="0" collapsed="false">
      <c r="A81" s="81" t="n">
        <v>45138</v>
      </c>
      <c r="B81" s="82" t="n">
        <v>2023</v>
      </c>
      <c r="C81" s="82" t="n">
        <v>7</v>
      </c>
      <c r="D81" s="83" t="s">
        <v>371</v>
      </c>
      <c r="E81" s="83" t="s">
        <v>297</v>
      </c>
      <c r="F81" s="83" t="s">
        <v>74</v>
      </c>
      <c r="G81" s="76" t="n">
        <v>4412</v>
      </c>
      <c r="H81" s="76" t="n">
        <v>3258</v>
      </c>
      <c r="I81" s="37" t="n">
        <f aca="false">G81-H81</f>
        <v>1154</v>
      </c>
      <c r="J81" s="83" t="s">
        <v>376</v>
      </c>
    </row>
    <row r="82" customFormat="false" ht="15" hidden="false" customHeight="false" outlineLevel="0" collapsed="false">
      <c r="A82" s="81" t="n">
        <v>45138</v>
      </c>
      <c r="B82" s="82" t="n">
        <v>2023</v>
      </c>
      <c r="C82" s="82" t="n">
        <v>7</v>
      </c>
      <c r="D82" s="83" t="s">
        <v>371</v>
      </c>
      <c r="E82" s="83" t="s">
        <v>299</v>
      </c>
      <c r="F82" s="83" t="s">
        <v>74</v>
      </c>
      <c r="G82" s="76" t="n">
        <v>3632</v>
      </c>
      <c r="H82" s="76" t="n">
        <v>2665</v>
      </c>
      <c r="I82" s="37" t="n">
        <f aca="false">G82-H82</f>
        <v>967</v>
      </c>
      <c r="J82" s="83" t="s">
        <v>377</v>
      </c>
    </row>
    <row r="83" customFormat="false" ht="15" hidden="false" customHeight="false" outlineLevel="0" collapsed="false">
      <c r="A83" s="81" t="n">
        <v>45138</v>
      </c>
      <c r="B83" s="82" t="n">
        <v>2023</v>
      </c>
      <c r="C83" s="82" t="n">
        <v>7</v>
      </c>
      <c r="D83" s="83" t="s">
        <v>371</v>
      </c>
      <c r="E83" s="83" t="s">
        <v>295</v>
      </c>
      <c r="F83" s="83" t="s">
        <v>75</v>
      </c>
      <c r="G83" s="76" t="n">
        <v>7222</v>
      </c>
      <c r="H83" s="76" t="n">
        <v>5108</v>
      </c>
      <c r="I83" s="37" t="n">
        <f aca="false">G83-H83</f>
        <v>2114</v>
      </c>
      <c r="J83" s="83" t="s">
        <v>378</v>
      </c>
    </row>
    <row r="84" customFormat="false" ht="15" hidden="false" customHeight="false" outlineLevel="0" collapsed="false">
      <c r="A84" s="81" t="n">
        <v>45138</v>
      </c>
      <c r="B84" s="82" t="n">
        <v>2023</v>
      </c>
      <c r="C84" s="82" t="n">
        <v>7</v>
      </c>
      <c r="D84" s="83" t="s">
        <v>371</v>
      </c>
      <c r="E84" s="83" t="s">
        <v>297</v>
      </c>
      <c r="F84" s="83" t="s">
        <v>75</v>
      </c>
      <c r="G84" s="76" t="n">
        <v>2807</v>
      </c>
      <c r="H84" s="76" t="n">
        <v>1979</v>
      </c>
      <c r="I84" s="37" t="n">
        <f aca="false">G84-H84</f>
        <v>828</v>
      </c>
      <c r="J84" s="83" t="s">
        <v>379</v>
      </c>
    </row>
    <row r="85" customFormat="false" ht="15" hidden="false" customHeight="false" outlineLevel="0" collapsed="false">
      <c r="A85" s="81" t="n">
        <v>45138</v>
      </c>
      <c r="B85" s="82" t="n">
        <v>2023</v>
      </c>
      <c r="C85" s="82" t="n">
        <v>7</v>
      </c>
      <c r="D85" s="83" t="s">
        <v>371</v>
      </c>
      <c r="E85" s="83" t="s">
        <v>299</v>
      </c>
      <c r="F85" s="83" t="s">
        <v>75</v>
      </c>
      <c r="G85" s="76" t="n">
        <v>2362</v>
      </c>
      <c r="H85" s="76" t="n">
        <v>1661</v>
      </c>
      <c r="I85" s="37" t="n">
        <f aca="false">G85-H85</f>
        <v>701</v>
      </c>
      <c r="J85" s="83" t="s">
        <v>380</v>
      </c>
    </row>
    <row r="86" customFormat="false" ht="15" hidden="false" customHeight="false" outlineLevel="0" collapsed="false">
      <c r="A86" s="81" t="n">
        <v>45138</v>
      </c>
      <c r="B86" s="82" t="n">
        <v>2023</v>
      </c>
      <c r="C86" s="82" t="n">
        <v>7</v>
      </c>
      <c r="D86" s="83" t="s">
        <v>371</v>
      </c>
      <c r="E86" s="83" t="s">
        <v>295</v>
      </c>
      <c r="F86" s="83" t="s">
        <v>76</v>
      </c>
      <c r="G86" s="76" t="n">
        <v>4795</v>
      </c>
      <c r="H86" s="76" t="n">
        <v>3890</v>
      </c>
      <c r="I86" s="37" t="n">
        <f aca="false">G86-H86</f>
        <v>905</v>
      </c>
      <c r="J86" s="83" t="s">
        <v>381</v>
      </c>
    </row>
    <row r="87" customFormat="false" ht="15" hidden="false" customHeight="false" outlineLevel="0" collapsed="false">
      <c r="A87" s="81" t="n">
        <v>45138</v>
      </c>
      <c r="B87" s="82" t="n">
        <v>2023</v>
      </c>
      <c r="C87" s="82" t="n">
        <v>7</v>
      </c>
      <c r="D87" s="83" t="s">
        <v>371</v>
      </c>
      <c r="E87" s="83" t="s">
        <v>297</v>
      </c>
      <c r="F87" s="83" t="s">
        <v>76</v>
      </c>
      <c r="G87" s="76" t="n">
        <v>1973</v>
      </c>
      <c r="H87" s="76" t="n">
        <v>1609</v>
      </c>
      <c r="I87" s="37" t="n">
        <f aca="false">G87-H87</f>
        <v>364</v>
      </c>
      <c r="J87" s="83" t="s">
        <v>382</v>
      </c>
    </row>
    <row r="88" customFormat="false" ht="15" hidden="false" customHeight="false" outlineLevel="0" collapsed="false">
      <c r="A88" s="81" t="n">
        <v>45138</v>
      </c>
      <c r="B88" s="82" t="n">
        <v>2023</v>
      </c>
      <c r="C88" s="82" t="n">
        <v>7</v>
      </c>
      <c r="D88" s="83" t="s">
        <v>371</v>
      </c>
      <c r="E88" s="83" t="s">
        <v>299</v>
      </c>
      <c r="F88" s="83" t="s">
        <v>76</v>
      </c>
      <c r="G88" s="76" t="n">
        <v>1616</v>
      </c>
      <c r="H88" s="76" t="n">
        <v>1312</v>
      </c>
      <c r="I88" s="37" t="n">
        <f aca="false">G88-H88</f>
        <v>304</v>
      </c>
      <c r="J88" s="83" t="s">
        <v>383</v>
      </c>
    </row>
    <row r="89" customFormat="false" ht="15" hidden="false" customHeight="false" outlineLevel="0" collapsed="false">
      <c r="A89" s="81" t="n">
        <v>45169</v>
      </c>
      <c r="B89" s="82" t="n">
        <v>2023</v>
      </c>
      <c r="C89" s="82" t="n">
        <v>8</v>
      </c>
      <c r="D89" s="83" t="s">
        <v>371</v>
      </c>
      <c r="E89" s="83" t="s">
        <v>295</v>
      </c>
      <c r="F89" s="83" t="s">
        <v>73</v>
      </c>
      <c r="G89" s="76" t="n">
        <v>16362</v>
      </c>
      <c r="H89" s="76" t="n">
        <v>12343</v>
      </c>
      <c r="I89" s="37" t="n">
        <f aca="false">G89-H89</f>
        <v>4019</v>
      </c>
      <c r="J89" s="83" t="s">
        <v>384</v>
      </c>
    </row>
    <row r="90" customFormat="false" ht="15" hidden="false" customHeight="false" outlineLevel="0" collapsed="false">
      <c r="A90" s="81" t="n">
        <v>45169</v>
      </c>
      <c r="B90" s="82" t="n">
        <v>2023</v>
      </c>
      <c r="C90" s="82" t="n">
        <v>8</v>
      </c>
      <c r="D90" s="83" t="s">
        <v>371</v>
      </c>
      <c r="E90" s="83" t="s">
        <v>297</v>
      </c>
      <c r="F90" s="83" t="s">
        <v>73</v>
      </c>
      <c r="G90" s="76" t="n">
        <v>6417</v>
      </c>
      <c r="H90" s="76" t="n">
        <v>4851</v>
      </c>
      <c r="I90" s="37" t="n">
        <f aca="false">G90-H90</f>
        <v>1566</v>
      </c>
      <c r="J90" s="83" t="s">
        <v>385</v>
      </c>
    </row>
    <row r="91" customFormat="false" ht="15" hidden="false" customHeight="false" outlineLevel="0" collapsed="false">
      <c r="A91" s="81" t="n">
        <v>45169</v>
      </c>
      <c r="B91" s="82" t="n">
        <v>2023</v>
      </c>
      <c r="C91" s="82" t="n">
        <v>8</v>
      </c>
      <c r="D91" s="83" t="s">
        <v>371</v>
      </c>
      <c r="E91" s="83" t="s">
        <v>299</v>
      </c>
      <c r="F91" s="83" t="s">
        <v>73</v>
      </c>
      <c r="G91" s="76" t="n">
        <v>5411</v>
      </c>
      <c r="H91" s="76" t="n">
        <v>4064</v>
      </c>
      <c r="I91" s="37" t="n">
        <f aca="false">G91-H91</f>
        <v>1347</v>
      </c>
      <c r="J91" s="83" t="s">
        <v>386</v>
      </c>
    </row>
    <row r="92" customFormat="false" ht="15" hidden="false" customHeight="false" outlineLevel="0" collapsed="false">
      <c r="A92" s="81" t="n">
        <v>45169</v>
      </c>
      <c r="B92" s="82" t="n">
        <v>2023</v>
      </c>
      <c r="C92" s="82" t="n">
        <v>8</v>
      </c>
      <c r="D92" s="83" t="s">
        <v>371</v>
      </c>
      <c r="E92" s="83" t="s">
        <v>295</v>
      </c>
      <c r="F92" s="83" t="s">
        <v>74</v>
      </c>
      <c r="G92" s="76" t="n">
        <v>11548</v>
      </c>
      <c r="H92" s="76" t="n">
        <v>8457</v>
      </c>
      <c r="I92" s="37" t="n">
        <f aca="false">G92-H92</f>
        <v>3091</v>
      </c>
      <c r="J92" s="83" t="s">
        <v>387</v>
      </c>
    </row>
    <row r="93" customFormat="false" ht="15" hidden="false" customHeight="false" outlineLevel="0" collapsed="false">
      <c r="A93" s="81" t="n">
        <v>45169</v>
      </c>
      <c r="B93" s="82" t="n">
        <v>2023</v>
      </c>
      <c r="C93" s="82" t="n">
        <v>8</v>
      </c>
      <c r="D93" s="83" t="s">
        <v>371</v>
      </c>
      <c r="E93" s="83" t="s">
        <v>297</v>
      </c>
      <c r="F93" s="83" t="s">
        <v>74</v>
      </c>
      <c r="G93" s="76" t="n">
        <v>4724</v>
      </c>
      <c r="H93" s="76" t="n">
        <v>3453</v>
      </c>
      <c r="I93" s="37" t="n">
        <f aca="false">G93-H93</f>
        <v>1271</v>
      </c>
      <c r="J93" s="83" t="s">
        <v>388</v>
      </c>
    </row>
    <row r="94" customFormat="false" ht="15" hidden="false" customHeight="false" outlineLevel="0" collapsed="false">
      <c r="A94" s="81" t="n">
        <v>45169</v>
      </c>
      <c r="B94" s="82" t="n">
        <v>2023</v>
      </c>
      <c r="C94" s="82" t="n">
        <v>8</v>
      </c>
      <c r="D94" s="83" t="s">
        <v>371</v>
      </c>
      <c r="E94" s="83" t="s">
        <v>299</v>
      </c>
      <c r="F94" s="83" t="s">
        <v>74</v>
      </c>
      <c r="G94" s="76" t="n">
        <v>3816</v>
      </c>
      <c r="H94" s="76" t="n">
        <v>2816</v>
      </c>
      <c r="I94" s="37" t="n">
        <f aca="false">G94-H94</f>
        <v>1000</v>
      </c>
      <c r="J94" s="83" t="s">
        <v>389</v>
      </c>
    </row>
    <row r="95" customFormat="false" ht="15" hidden="false" customHeight="false" outlineLevel="0" collapsed="false">
      <c r="A95" s="81" t="n">
        <v>45169</v>
      </c>
      <c r="B95" s="82" t="n">
        <v>2023</v>
      </c>
      <c r="C95" s="82" t="n">
        <v>8</v>
      </c>
      <c r="D95" s="83" t="s">
        <v>371</v>
      </c>
      <c r="E95" s="83" t="s">
        <v>295</v>
      </c>
      <c r="F95" s="83" t="s">
        <v>75</v>
      </c>
      <c r="G95" s="76" t="n">
        <v>7407</v>
      </c>
      <c r="H95" s="76" t="n">
        <v>5238</v>
      </c>
      <c r="I95" s="37" t="n">
        <f aca="false">G95-H95</f>
        <v>2169</v>
      </c>
      <c r="J95" s="83" t="s">
        <v>390</v>
      </c>
    </row>
    <row r="96" customFormat="false" ht="15" hidden="false" customHeight="false" outlineLevel="0" collapsed="false">
      <c r="A96" s="81" t="n">
        <v>45169</v>
      </c>
      <c r="B96" s="82" t="n">
        <v>2023</v>
      </c>
      <c r="C96" s="82" t="n">
        <v>8</v>
      </c>
      <c r="D96" s="83" t="s">
        <v>371</v>
      </c>
      <c r="E96" s="83" t="s">
        <v>297</v>
      </c>
      <c r="F96" s="83" t="s">
        <v>75</v>
      </c>
      <c r="G96" s="76" t="n">
        <v>2891</v>
      </c>
      <c r="H96" s="76" t="n">
        <v>2043</v>
      </c>
      <c r="I96" s="37" t="n">
        <f aca="false">G96-H96</f>
        <v>848</v>
      </c>
      <c r="J96" s="83" t="s">
        <v>391</v>
      </c>
    </row>
    <row r="97" customFormat="false" ht="15" hidden="false" customHeight="false" outlineLevel="0" collapsed="false">
      <c r="A97" s="81" t="n">
        <v>45169</v>
      </c>
      <c r="B97" s="82" t="n">
        <v>2023</v>
      </c>
      <c r="C97" s="82" t="n">
        <v>8</v>
      </c>
      <c r="D97" s="83" t="s">
        <v>371</v>
      </c>
      <c r="E97" s="83" t="s">
        <v>299</v>
      </c>
      <c r="F97" s="83" t="s">
        <v>75</v>
      </c>
      <c r="G97" s="76" t="n">
        <v>2489</v>
      </c>
      <c r="H97" s="76" t="n">
        <v>1747</v>
      </c>
      <c r="I97" s="37" t="n">
        <f aca="false">G97-H97</f>
        <v>742</v>
      </c>
      <c r="J97" s="83" t="s">
        <v>392</v>
      </c>
    </row>
    <row r="98" customFormat="false" ht="15" hidden="false" customHeight="false" outlineLevel="0" collapsed="false">
      <c r="A98" s="81" t="n">
        <v>45169</v>
      </c>
      <c r="B98" s="82" t="n">
        <v>2023</v>
      </c>
      <c r="C98" s="82" t="n">
        <v>8</v>
      </c>
      <c r="D98" s="83" t="s">
        <v>371</v>
      </c>
      <c r="E98" s="83" t="s">
        <v>295</v>
      </c>
      <c r="F98" s="83" t="s">
        <v>76</v>
      </c>
      <c r="G98" s="76" t="n">
        <v>4902</v>
      </c>
      <c r="H98" s="76" t="n">
        <v>4009</v>
      </c>
      <c r="I98" s="37" t="n">
        <f aca="false">G98-H98</f>
        <v>893</v>
      </c>
      <c r="J98" s="83" t="s">
        <v>393</v>
      </c>
    </row>
    <row r="99" customFormat="false" ht="15" hidden="false" customHeight="false" outlineLevel="0" collapsed="false">
      <c r="A99" s="81" t="n">
        <v>45169</v>
      </c>
      <c r="B99" s="82" t="n">
        <v>2023</v>
      </c>
      <c r="C99" s="82" t="n">
        <v>8</v>
      </c>
      <c r="D99" s="83" t="s">
        <v>371</v>
      </c>
      <c r="E99" s="83" t="s">
        <v>297</v>
      </c>
      <c r="F99" s="83" t="s">
        <v>76</v>
      </c>
      <c r="G99" s="76" t="n">
        <v>1942</v>
      </c>
      <c r="H99" s="76" t="n">
        <v>1591</v>
      </c>
      <c r="I99" s="37" t="n">
        <f aca="false">G99-H99</f>
        <v>351</v>
      </c>
      <c r="J99" s="83" t="s">
        <v>394</v>
      </c>
    </row>
    <row r="100" customFormat="false" ht="15" hidden="false" customHeight="false" outlineLevel="0" collapsed="false">
      <c r="A100" s="81" t="n">
        <v>45169</v>
      </c>
      <c r="B100" s="82" t="n">
        <v>2023</v>
      </c>
      <c r="C100" s="82" t="n">
        <v>8</v>
      </c>
      <c r="D100" s="83" t="s">
        <v>371</v>
      </c>
      <c r="E100" s="83" t="s">
        <v>299</v>
      </c>
      <c r="F100" s="83" t="s">
        <v>76</v>
      </c>
      <c r="G100" s="76" t="n">
        <v>1570</v>
      </c>
      <c r="H100" s="76" t="n">
        <v>1285</v>
      </c>
      <c r="I100" s="37" t="n">
        <f aca="false">G100-H100</f>
        <v>285</v>
      </c>
      <c r="J100" s="83" t="s">
        <v>395</v>
      </c>
    </row>
    <row r="101" customFormat="false" ht="15" hidden="false" customHeight="false" outlineLevel="0" collapsed="false">
      <c r="A101" s="81" t="n">
        <v>45199</v>
      </c>
      <c r="B101" s="82" t="n">
        <v>2023</v>
      </c>
      <c r="C101" s="82" t="n">
        <v>9</v>
      </c>
      <c r="D101" s="83" t="s">
        <v>371</v>
      </c>
      <c r="E101" s="83" t="s">
        <v>295</v>
      </c>
      <c r="F101" s="83" t="s">
        <v>73</v>
      </c>
      <c r="G101" s="76" t="n">
        <v>16079</v>
      </c>
      <c r="H101" s="76" t="n">
        <v>12129</v>
      </c>
      <c r="I101" s="37" t="n">
        <f aca="false">G101-H101</f>
        <v>3950</v>
      </c>
      <c r="J101" s="83" t="s">
        <v>396</v>
      </c>
    </row>
    <row r="102" customFormat="false" ht="15" hidden="false" customHeight="false" outlineLevel="0" collapsed="false">
      <c r="A102" s="81" t="n">
        <v>45199</v>
      </c>
      <c r="B102" s="82" t="n">
        <v>2023</v>
      </c>
      <c r="C102" s="82" t="n">
        <v>9</v>
      </c>
      <c r="D102" s="83" t="s">
        <v>371</v>
      </c>
      <c r="E102" s="83" t="s">
        <v>297</v>
      </c>
      <c r="F102" s="83" t="s">
        <v>73</v>
      </c>
      <c r="G102" s="76" t="n">
        <v>6385</v>
      </c>
      <c r="H102" s="76" t="n">
        <v>4796</v>
      </c>
      <c r="I102" s="37" t="n">
        <f aca="false">G102-H102</f>
        <v>1589</v>
      </c>
      <c r="J102" s="83" t="s">
        <v>397</v>
      </c>
    </row>
    <row r="103" customFormat="false" ht="15" hidden="false" customHeight="false" outlineLevel="0" collapsed="false">
      <c r="A103" s="81" t="n">
        <v>45199</v>
      </c>
      <c r="B103" s="82" t="n">
        <v>2023</v>
      </c>
      <c r="C103" s="82" t="n">
        <v>9</v>
      </c>
      <c r="D103" s="83" t="s">
        <v>371</v>
      </c>
      <c r="E103" s="83" t="s">
        <v>299</v>
      </c>
      <c r="F103" s="83" t="s">
        <v>73</v>
      </c>
      <c r="G103" s="76" t="n">
        <v>5240</v>
      </c>
      <c r="H103" s="76" t="n">
        <v>3949</v>
      </c>
      <c r="I103" s="37" t="n">
        <f aca="false">G103-H103</f>
        <v>1291</v>
      </c>
      <c r="J103" s="83" t="s">
        <v>398</v>
      </c>
    </row>
    <row r="104" customFormat="false" ht="15" hidden="false" customHeight="false" outlineLevel="0" collapsed="false">
      <c r="A104" s="81" t="n">
        <v>45199</v>
      </c>
      <c r="B104" s="82" t="n">
        <v>2023</v>
      </c>
      <c r="C104" s="82" t="n">
        <v>9</v>
      </c>
      <c r="D104" s="83" t="s">
        <v>371</v>
      </c>
      <c r="E104" s="83" t="s">
        <v>295</v>
      </c>
      <c r="F104" s="83" t="s">
        <v>74</v>
      </c>
      <c r="G104" s="76" t="n">
        <v>11344</v>
      </c>
      <c r="H104" s="76" t="n">
        <v>8338</v>
      </c>
      <c r="I104" s="37" t="n">
        <f aca="false">G104-H104</f>
        <v>3006</v>
      </c>
      <c r="J104" s="83" t="s">
        <v>399</v>
      </c>
    </row>
    <row r="105" customFormat="false" ht="15" hidden="false" customHeight="false" outlineLevel="0" collapsed="false">
      <c r="A105" s="81" t="n">
        <v>45199</v>
      </c>
      <c r="B105" s="82" t="n">
        <v>2023</v>
      </c>
      <c r="C105" s="82" t="n">
        <v>9</v>
      </c>
      <c r="D105" s="83" t="s">
        <v>371</v>
      </c>
      <c r="E105" s="83" t="s">
        <v>297</v>
      </c>
      <c r="F105" s="83" t="s">
        <v>74</v>
      </c>
      <c r="G105" s="76" t="n">
        <v>4640</v>
      </c>
      <c r="H105" s="76" t="n">
        <v>3407</v>
      </c>
      <c r="I105" s="37" t="n">
        <f aca="false">G105-H105</f>
        <v>1233</v>
      </c>
      <c r="J105" s="83" t="s">
        <v>400</v>
      </c>
    </row>
    <row r="106" customFormat="false" ht="15" hidden="false" customHeight="false" outlineLevel="0" collapsed="false">
      <c r="A106" s="81" t="n">
        <v>45199</v>
      </c>
      <c r="B106" s="82" t="n">
        <v>2023</v>
      </c>
      <c r="C106" s="82" t="n">
        <v>9</v>
      </c>
      <c r="D106" s="83" t="s">
        <v>371</v>
      </c>
      <c r="E106" s="83" t="s">
        <v>299</v>
      </c>
      <c r="F106" s="83" t="s">
        <v>74</v>
      </c>
      <c r="G106" s="76" t="n">
        <v>3762</v>
      </c>
      <c r="H106" s="76" t="n">
        <v>2759</v>
      </c>
      <c r="I106" s="37" t="n">
        <f aca="false">G106-H106</f>
        <v>1003</v>
      </c>
      <c r="J106" s="83" t="s">
        <v>401</v>
      </c>
    </row>
    <row r="107" customFormat="false" ht="15" hidden="false" customHeight="false" outlineLevel="0" collapsed="false">
      <c r="A107" s="81" t="n">
        <v>45199</v>
      </c>
      <c r="B107" s="82" t="n">
        <v>2023</v>
      </c>
      <c r="C107" s="82" t="n">
        <v>9</v>
      </c>
      <c r="D107" s="83" t="s">
        <v>371</v>
      </c>
      <c r="E107" s="83" t="s">
        <v>295</v>
      </c>
      <c r="F107" s="83" t="s">
        <v>75</v>
      </c>
      <c r="G107" s="76" t="n">
        <v>7349</v>
      </c>
      <c r="H107" s="76" t="n">
        <v>5157</v>
      </c>
      <c r="I107" s="37" t="n">
        <f aca="false">G107-H107</f>
        <v>2192</v>
      </c>
      <c r="J107" s="83" t="s">
        <v>402</v>
      </c>
    </row>
    <row r="108" customFormat="false" ht="15" hidden="false" customHeight="false" outlineLevel="0" collapsed="false">
      <c r="A108" s="81" t="n">
        <v>45199</v>
      </c>
      <c r="B108" s="82" t="n">
        <v>2023</v>
      </c>
      <c r="C108" s="82" t="n">
        <v>9</v>
      </c>
      <c r="D108" s="83" t="s">
        <v>371</v>
      </c>
      <c r="E108" s="83" t="s">
        <v>297</v>
      </c>
      <c r="F108" s="83" t="s">
        <v>75</v>
      </c>
      <c r="G108" s="76" t="n">
        <v>2969</v>
      </c>
      <c r="H108" s="76" t="n">
        <v>2101</v>
      </c>
      <c r="I108" s="37" t="n">
        <f aca="false">G108-H108</f>
        <v>868</v>
      </c>
      <c r="J108" s="83" t="s">
        <v>403</v>
      </c>
    </row>
    <row r="109" customFormat="false" ht="15" hidden="false" customHeight="false" outlineLevel="0" collapsed="false">
      <c r="A109" s="81" t="n">
        <v>45199</v>
      </c>
      <c r="B109" s="82" t="n">
        <v>2023</v>
      </c>
      <c r="C109" s="82" t="n">
        <v>9</v>
      </c>
      <c r="D109" s="83" t="s">
        <v>371</v>
      </c>
      <c r="E109" s="83" t="s">
        <v>299</v>
      </c>
      <c r="F109" s="83" t="s">
        <v>75</v>
      </c>
      <c r="G109" s="76" t="n">
        <v>2456</v>
      </c>
      <c r="H109" s="76" t="n">
        <v>1739</v>
      </c>
      <c r="I109" s="37" t="n">
        <f aca="false">G109-H109</f>
        <v>717</v>
      </c>
      <c r="J109" s="83" t="s">
        <v>404</v>
      </c>
    </row>
    <row r="110" customFormat="false" ht="15" hidden="false" customHeight="false" outlineLevel="0" collapsed="false">
      <c r="A110" s="81" t="n">
        <v>45199</v>
      </c>
      <c r="B110" s="82" t="n">
        <v>2023</v>
      </c>
      <c r="C110" s="82" t="n">
        <v>9</v>
      </c>
      <c r="D110" s="83" t="s">
        <v>371</v>
      </c>
      <c r="E110" s="83" t="s">
        <v>295</v>
      </c>
      <c r="F110" s="83" t="s">
        <v>76</v>
      </c>
      <c r="G110" s="76" t="n">
        <v>4791</v>
      </c>
      <c r="H110" s="76" t="n">
        <v>3926</v>
      </c>
      <c r="I110" s="37" t="n">
        <f aca="false">G110-H110</f>
        <v>865</v>
      </c>
      <c r="J110" s="83" t="s">
        <v>405</v>
      </c>
    </row>
    <row r="111" customFormat="false" ht="15" hidden="false" customHeight="false" outlineLevel="0" collapsed="false">
      <c r="A111" s="81" t="n">
        <v>45199</v>
      </c>
      <c r="B111" s="82" t="n">
        <v>2023</v>
      </c>
      <c r="C111" s="82" t="n">
        <v>9</v>
      </c>
      <c r="D111" s="83" t="s">
        <v>371</v>
      </c>
      <c r="E111" s="83" t="s">
        <v>297</v>
      </c>
      <c r="F111" s="83" t="s">
        <v>76</v>
      </c>
      <c r="G111" s="76" t="n">
        <v>1975</v>
      </c>
      <c r="H111" s="76" t="n">
        <v>1612</v>
      </c>
      <c r="I111" s="37" t="n">
        <f aca="false">G111-H111</f>
        <v>363</v>
      </c>
      <c r="J111" s="83" t="s">
        <v>406</v>
      </c>
    </row>
    <row r="112" customFormat="false" ht="15" hidden="false" customHeight="false" outlineLevel="0" collapsed="false">
      <c r="A112" s="81" t="n">
        <v>45199</v>
      </c>
      <c r="B112" s="82" t="n">
        <v>2023</v>
      </c>
      <c r="C112" s="82" t="n">
        <v>9</v>
      </c>
      <c r="D112" s="83" t="s">
        <v>371</v>
      </c>
      <c r="E112" s="83" t="s">
        <v>299</v>
      </c>
      <c r="F112" s="83" t="s">
        <v>76</v>
      </c>
      <c r="G112" s="76" t="n">
        <v>1586</v>
      </c>
      <c r="H112" s="76" t="n">
        <v>1297</v>
      </c>
      <c r="I112" s="37" t="n">
        <f aca="false">G112-H112</f>
        <v>289</v>
      </c>
      <c r="J112" s="83" t="s">
        <v>407</v>
      </c>
    </row>
    <row r="113" customFormat="false" ht="15" hidden="false" customHeight="false" outlineLevel="0" collapsed="false">
      <c r="A113" s="81" t="n">
        <v>45230</v>
      </c>
      <c r="B113" s="82" t="n">
        <v>2023</v>
      </c>
      <c r="C113" s="82" t="n">
        <v>10</v>
      </c>
      <c r="D113" s="83" t="s">
        <v>408</v>
      </c>
      <c r="E113" s="83" t="s">
        <v>295</v>
      </c>
      <c r="F113" s="83" t="s">
        <v>73</v>
      </c>
      <c r="G113" s="76" t="n">
        <v>16846</v>
      </c>
      <c r="H113" s="76" t="n">
        <v>12745</v>
      </c>
      <c r="I113" s="37" t="n">
        <f aca="false">G113-H113</f>
        <v>4101</v>
      </c>
      <c r="J113" s="83" t="s">
        <v>409</v>
      </c>
    </row>
    <row r="114" customFormat="false" ht="15" hidden="false" customHeight="false" outlineLevel="0" collapsed="false">
      <c r="A114" s="81" t="n">
        <v>45230</v>
      </c>
      <c r="B114" s="82" t="n">
        <v>2023</v>
      </c>
      <c r="C114" s="82" t="n">
        <v>10</v>
      </c>
      <c r="D114" s="83" t="s">
        <v>408</v>
      </c>
      <c r="E114" s="83" t="s">
        <v>297</v>
      </c>
      <c r="F114" s="83" t="s">
        <v>73</v>
      </c>
      <c r="G114" s="76" t="n">
        <v>6724</v>
      </c>
      <c r="H114" s="76" t="n">
        <v>5068</v>
      </c>
      <c r="I114" s="37" t="n">
        <f aca="false">G114-H114</f>
        <v>1656</v>
      </c>
      <c r="J114" s="83" t="s">
        <v>410</v>
      </c>
    </row>
    <row r="115" customFormat="false" ht="15" hidden="false" customHeight="false" outlineLevel="0" collapsed="false">
      <c r="A115" s="81" t="n">
        <v>45230</v>
      </c>
      <c r="B115" s="82" t="n">
        <v>2023</v>
      </c>
      <c r="C115" s="82" t="n">
        <v>10</v>
      </c>
      <c r="D115" s="83" t="s">
        <v>408</v>
      </c>
      <c r="E115" s="83" t="s">
        <v>299</v>
      </c>
      <c r="F115" s="83" t="s">
        <v>73</v>
      </c>
      <c r="G115" s="76" t="n">
        <v>5294</v>
      </c>
      <c r="H115" s="76" t="n">
        <v>4000</v>
      </c>
      <c r="I115" s="37" t="n">
        <f aca="false">G115-H115</f>
        <v>1294</v>
      </c>
      <c r="J115" s="83" t="s">
        <v>411</v>
      </c>
    </row>
    <row r="116" customFormat="false" ht="15" hidden="false" customHeight="false" outlineLevel="0" collapsed="false">
      <c r="A116" s="81" t="n">
        <v>45230</v>
      </c>
      <c r="B116" s="82" t="n">
        <v>2023</v>
      </c>
      <c r="C116" s="82" t="n">
        <v>10</v>
      </c>
      <c r="D116" s="83" t="s">
        <v>408</v>
      </c>
      <c r="E116" s="83" t="s">
        <v>295</v>
      </c>
      <c r="F116" s="83" t="s">
        <v>74</v>
      </c>
      <c r="G116" s="76" t="n">
        <v>11781</v>
      </c>
      <c r="H116" s="76" t="n">
        <v>8663</v>
      </c>
      <c r="I116" s="37" t="n">
        <f aca="false">G116-H116</f>
        <v>3118</v>
      </c>
      <c r="J116" s="83" t="s">
        <v>412</v>
      </c>
    </row>
    <row r="117" customFormat="false" ht="15" hidden="false" customHeight="false" outlineLevel="0" collapsed="false">
      <c r="A117" s="81" t="n">
        <v>45230</v>
      </c>
      <c r="B117" s="82" t="n">
        <v>2023</v>
      </c>
      <c r="C117" s="82" t="n">
        <v>10</v>
      </c>
      <c r="D117" s="83" t="s">
        <v>408</v>
      </c>
      <c r="E117" s="83" t="s">
        <v>297</v>
      </c>
      <c r="F117" s="83" t="s">
        <v>74</v>
      </c>
      <c r="G117" s="76" t="n">
        <v>4543</v>
      </c>
      <c r="H117" s="76" t="n">
        <v>3348</v>
      </c>
      <c r="I117" s="37" t="n">
        <f aca="false">G117-H117</f>
        <v>1195</v>
      </c>
      <c r="J117" s="83" t="s">
        <v>413</v>
      </c>
    </row>
    <row r="118" customFormat="false" ht="15" hidden="false" customHeight="false" outlineLevel="0" collapsed="false">
      <c r="A118" s="81" t="n">
        <v>45230</v>
      </c>
      <c r="B118" s="82" t="n">
        <v>2023</v>
      </c>
      <c r="C118" s="82" t="n">
        <v>10</v>
      </c>
      <c r="D118" s="83" t="s">
        <v>408</v>
      </c>
      <c r="E118" s="83" t="s">
        <v>299</v>
      </c>
      <c r="F118" s="83" t="s">
        <v>74</v>
      </c>
      <c r="G118" s="76" t="n">
        <v>3856</v>
      </c>
      <c r="H118" s="76" t="n">
        <v>2836</v>
      </c>
      <c r="I118" s="37" t="n">
        <f aca="false">G118-H118</f>
        <v>1020</v>
      </c>
      <c r="J118" s="83" t="s">
        <v>414</v>
      </c>
    </row>
    <row r="119" customFormat="false" ht="15" hidden="false" customHeight="false" outlineLevel="0" collapsed="false">
      <c r="A119" s="81" t="n">
        <v>45230</v>
      </c>
      <c r="B119" s="82" t="n">
        <v>2023</v>
      </c>
      <c r="C119" s="82" t="n">
        <v>10</v>
      </c>
      <c r="D119" s="83" t="s">
        <v>408</v>
      </c>
      <c r="E119" s="83" t="s">
        <v>295</v>
      </c>
      <c r="F119" s="83" t="s">
        <v>75</v>
      </c>
      <c r="G119" s="76" t="n">
        <v>7371</v>
      </c>
      <c r="H119" s="76" t="n">
        <v>5184</v>
      </c>
      <c r="I119" s="37" t="n">
        <f aca="false">G119-H119</f>
        <v>2187</v>
      </c>
      <c r="J119" s="83" t="s">
        <v>415</v>
      </c>
    </row>
    <row r="120" customFormat="false" ht="15" hidden="false" customHeight="false" outlineLevel="0" collapsed="false">
      <c r="A120" s="81" t="n">
        <v>45230</v>
      </c>
      <c r="B120" s="82" t="n">
        <v>2023</v>
      </c>
      <c r="C120" s="82" t="n">
        <v>10</v>
      </c>
      <c r="D120" s="83" t="s">
        <v>408</v>
      </c>
      <c r="E120" s="83" t="s">
        <v>297</v>
      </c>
      <c r="F120" s="83" t="s">
        <v>75</v>
      </c>
      <c r="G120" s="76" t="n">
        <v>2933</v>
      </c>
      <c r="H120" s="76" t="n">
        <v>2069</v>
      </c>
      <c r="I120" s="37" t="n">
        <f aca="false">G120-H120</f>
        <v>864</v>
      </c>
      <c r="J120" s="83" t="s">
        <v>416</v>
      </c>
    </row>
    <row r="121" customFormat="false" ht="15" hidden="false" customHeight="false" outlineLevel="0" collapsed="false">
      <c r="A121" s="81" t="n">
        <v>45230</v>
      </c>
      <c r="B121" s="82" t="n">
        <v>2023</v>
      </c>
      <c r="C121" s="82" t="n">
        <v>10</v>
      </c>
      <c r="D121" s="83" t="s">
        <v>408</v>
      </c>
      <c r="E121" s="83" t="s">
        <v>299</v>
      </c>
      <c r="F121" s="83" t="s">
        <v>75</v>
      </c>
      <c r="G121" s="76" t="n">
        <v>2398</v>
      </c>
      <c r="H121" s="76" t="n">
        <v>1686</v>
      </c>
      <c r="I121" s="37" t="n">
        <f aca="false">G121-H121</f>
        <v>712</v>
      </c>
      <c r="J121" s="83" t="s">
        <v>417</v>
      </c>
    </row>
    <row r="122" customFormat="false" ht="15" hidden="false" customHeight="false" outlineLevel="0" collapsed="false">
      <c r="A122" s="81" t="n">
        <v>45230</v>
      </c>
      <c r="B122" s="82" t="n">
        <v>2023</v>
      </c>
      <c r="C122" s="82" t="n">
        <v>10</v>
      </c>
      <c r="D122" s="83" t="s">
        <v>408</v>
      </c>
      <c r="E122" s="83" t="s">
        <v>295</v>
      </c>
      <c r="F122" s="83" t="s">
        <v>76</v>
      </c>
      <c r="G122" s="76" t="n">
        <v>5051</v>
      </c>
      <c r="H122" s="76" t="n">
        <v>4100</v>
      </c>
      <c r="I122" s="37" t="n">
        <f aca="false">G122-H122</f>
        <v>951</v>
      </c>
      <c r="J122" s="83" t="s">
        <v>418</v>
      </c>
    </row>
    <row r="123" customFormat="false" ht="15" hidden="false" customHeight="false" outlineLevel="0" collapsed="false">
      <c r="A123" s="81" t="n">
        <v>45230</v>
      </c>
      <c r="B123" s="82" t="n">
        <v>2023</v>
      </c>
      <c r="C123" s="82" t="n">
        <v>10</v>
      </c>
      <c r="D123" s="83" t="s">
        <v>408</v>
      </c>
      <c r="E123" s="83" t="s">
        <v>297</v>
      </c>
      <c r="F123" s="83" t="s">
        <v>76</v>
      </c>
      <c r="G123" s="76" t="n">
        <v>1972</v>
      </c>
      <c r="H123" s="76" t="n">
        <v>1612</v>
      </c>
      <c r="I123" s="37" t="n">
        <f aca="false">G123-H123</f>
        <v>360</v>
      </c>
      <c r="J123" s="83" t="s">
        <v>419</v>
      </c>
    </row>
    <row r="124" customFormat="false" ht="15" hidden="false" customHeight="false" outlineLevel="0" collapsed="false">
      <c r="A124" s="81" t="n">
        <v>45230</v>
      </c>
      <c r="B124" s="82" t="n">
        <v>2023</v>
      </c>
      <c r="C124" s="82" t="n">
        <v>10</v>
      </c>
      <c r="D124" s="83" t="s">
        <v>408</v>
      </c>
      <c r="E124" s="83" t="s">
        <v>299</v>
      </c>
      <c r="F124" s="83" t="s">
        <v>76</v>
      </c>
      <c r="G124" s="76" t="n">
        <v>1632</v>
      </c>
      <c r="H124" s="76" t="n">
        <v>1325</v>
      </c>
      <c r="I124" s="37" t="n">
        <f aca="false">G124-H124</f>
        <v>307</v>
      </c>
      <c r="J124" s="83" t="s">
        <v>420</v>
      </c>
    </row>
    <row r="125" customFormat="false" ht="15" hidden="false" customHeight="false" outlineLevel="0" collapsed="false">
      <c r="A125" s="81" t="n">
        <v>45260</v>
      </c>
      <c r="B125" s="82" t="n">
        <v>2023</v>
      </c>
      <c r="C125" s="82" t="n">
        <v>11</v>
      </c>
      <c r="D125" s="83" t="s">
        <v>408</v>
      </c>
      <c r="E125" s="83" t="s">
        <v>295</v>
      </c>
      <c r="F125" s="83" t="s">
        <v>73</v>
      </c>
      <c r="G125" s="76" t="n">
        <v>17262</v>
      </c>
      <c r="H125" s="76" t="n">
        <v>13034</v>
      </c>
      <c r="I125" s="37" t="n">
        <f aca="false">G125-H125</f>
        <v>4228</v>
      </c>
      <c r="J125" s="83" t="s">
        <v>421</v>
      </c>
    </row>
    <row r="126" customFormat="false" ht="15" hidden="false" customHeight="false" outlineLevel="0" collapsed="false">
      <c r="A126" s="81" t="n">
        <v>45260</v>
      </c>
      <c r="B126" s="82" t="n">
        <v>2023</v>
      </c>
      <c r="C126" s="82" t="n">
        <v>11</v>
      </c>
      <c r="D126" s="83" t="s">
        <v>408</v>
      </c>
      <c r="E126" s="83" t="s">
        <v>297</v>
      </c>
      <c r="F126" s="83" t="s">
        <v>73</v>
      </c>
      <c r="G126" s="76" t="n">
        <v>6701</v>
      </c>
      <c r="H126" s="76" t="n">
        <v>5080</v>
      </c>
      <c r="I126" s="37" t="n">
        <f aca="false">G126-H126</f>
        <v>1621</v>
      </c>
      <c r="J126" s="83" t="s">
        <v>422</v>
      </c>
    </row>
    <row r="127" customFormat="false" ht="15" hidden="false" customHeight="false" outlineLevel="0" collapsed="false">
      <c r="A127" s="81" t="n">
        <v>45260</v>
      </c>
      <c r="B127" s="82" t="n">
        <v>2023</v>
      </c>
      <c r="C127" s="82" t="n">
        <v>11</v>
      </c>
      <c r="D127" s="83" t="s">
        <v>408</v>
      </c>
      <c r="E127" s="83" t="s">
        <v>299</v>
      </c>
      <c r="F127" s="83" t="s">
        <v>73</v>
      </c>
      <c r="G127" s="76" t="n">
        <v>5541</v>
      </c>
      <c r="H127" s="76" t="n">
        <v>4174</v>
      </c>
      <c r="I127" s="37" t="n">
        <f aca="false">G127-H127</f>
        <v>1367</v>
      </c>
      <c r="J127" s="83" t="s">
        <v>423</v>
      </c>
    </row>
    <row r="128" customFormat="false" ht="15" hidden="false" customHeight="false" outlineLevel="0" collapsed="false">
      <c r="A128" s="81" t="n">
        <v>45260</v>
      </c>
      <c r="B128" s="82" t="n">
        <v>2023</v>
      </c>
      <c r="C128" s="82" t="n">
        <v>11</v>
      </c>
      <c r="D128" s="83" t="s">
        <v>408</v>
      </c>
      <c r="E128" s="83" t="s">
        <v>295</v>
      </c>
      <c r="F128" s="83" t="s">
        <v>74</v>
      </c>
      <c r="G128" s="76" t="n">
        <v>12002</v>
      </c>
      <c r="H128" s="76" t="n">
        <v>8775</v>
      </c>
      <c r="I128" s="37" t="n">
        <f aca="false">G128-H128</f>
        <v>3227</v>
      </c>
      <c r="J128" s="83" t="s">
        <v>424</v>
      </c>
    </row>
    <row r="129" customFormat="false" ht="15" hidden="false" customHeight="false" outlineLevel="0" collapsed="false">
      <c r="A129" s="81" t="n">
        <v>45260</v>
      </c>
      <c r="B129" s="82" t="n">
        <v>2023</v>
      </c>
      <c r="C129" s="82" t="n">
        <v>11</v>
      </c>
      <c r="D129" s="83" t="s">
        <v>408</v>
      </c>
      <c r="E129" s="83" t="s">
        <v>297</v>
      </c>
      <c r="F129" s="83" t="s">
        <v>74</v>
      </c>
      <c r="G129" s="76" t="n">
        <v>4803</v>
      </c>
      <c r="H129" s="76" t="n">
        <v>3547</v>
      </c>
      <c r="I129" s="37" t="n">
        <f aca="false">G129-H129</f>
        <v>1256</v>
      </c>
      <c r="J129" s="83" t="s">
        <v>425</v>
      </c>
    </row>
    <row r="130" customFormat="false" ht="15" hidden="false" customHeight="false" outlineLevel="0" collapsed="false">
      <c r="A130" s="81" t="n">
        <v>45260</v>
      </c>
      <c r="B130" s="82" t="n">
        <v>2023</v>
      </c>
      <c r="C130" s="82" t="n">
        <v>11</v>
      </c>
      <c r="D130" s="83" t="s">
        <v>408</v>
      </c>
      <c r="E130" s="83" t="s">
        <v>299</v>
      </c>
      <c r="F130" s="83" t="s">
        <v>74</v>
      </c>
      <c r="G130" s="76" t="n">
        <v>4055</v>
      </c>
      <c r="H130" s="76" t="n">
        <v>2977</v>
      </c>
      <c r="I130" s="37" t="n">
        <f aca="false">G130-H130</f>
        <v>1078</v>
      </c>
      <c r="J130" s="83" t="s">
        <v>426</v>
      </c>
    </row>
    <row r="131" customFormat="false" ht="15" hidden="false" customHeight="false" outlineLevel="0" collapsed="false">
      <c r="A131" s="81" t="n">
        <v>45260</v>
      </c>
      <c r="B131" s="82" t="n">
        <v>2023</v>
      </c>
      <c r="C131" s="82" t="n">
        <v>11</v>
      </c>
      <c r="D131" s="83" t="s">
        <v>408</v>
      </c>
      <c r="E131" s="83" t="s">
        <v>295</v>
      </c>
      <c r="F131" s="83" t="s">
        <v>75</v>
      </c>
      <c r="G131" s="76" t="n">
        <v>7559</v>
      </c>
      <c r="H131" s="76" t="n">
        <v>5303</v>
      </c>
      <c r="I131" s="37" t="n">
        <f aca="false">G131-H131</f>
        <v>2256</v>
      </c>
      <c r="J131" s="83" t="s">
        <v>427</v>
      </c>
    </row>
    <row r="132" customFormat="false" ht="15" hidden="false" customHeight="false" outlineLevel="0" collapsed="false">
      <c r="A132" s="81" t="n">
        <v>45260</v>
      </c>
      <c r="B132" s="82" t="n">
        <v>2023</v>
      </c>
      <c r="C132" s="82" t="n">
        <v>11</v>
      </c>
      <c r="D132" s="83" t="s">
        <v>408</v>
      </c>
      <c r="E132" s="83" t="s">
        <v>297</v>
      </c>
      <c r="F132" s="83" t="s">
        <v>75</v>
      </c>
      <c r="G132" s="76" t="n">
        <v>2999</v>
      </c>
      <c r="H132" s="76" t="n">
        <v>2105</v>
      </c>
      <c r="I132" s="37" t="n">
        <f aca="false">G132-H132</f>
        <v>894</v>
      </c>
      <c r="J132" s="83" t="s">
        <v>428</v>
      </c>
    </row>
    <row r="133" customFormat="false" ht="15" hidden="false" customHeight="false" outlineLevel="0" collapsed="false">
      <c r="A133" s="81" t="n">
        <v>45260</v>
      </c>
      <c r="B133" s="82" t="n">
        <v>2023</v>
      </c>
      <c r="C133" s="82" t="n">
        <v>11</v>
      </c>
      <c r="D133" s="83" t="s">
        <v>408</v>
      </c>
      <c r="E133" s="83" t="s">
        <v>299</v>
      </c>
      <c r="F133" s="83" t="s">
        <v>75</v>
      </c>
      <c r="G133" s="76" t="n">
        <v>2579</v>
      </c>
      <c r="H133" s="76" t="n">
        <v>1820</v>
      </c>
      <c r="I133" s="37" t="n">
        <f aca="false">G133-H133</f>
        <v>759</v>
      </c>
      <c r="J133" s="83" t="s">
        <v>429</v>
      </c>
    </row>
    <row r="134" customFormat="false" ht="15" hidden="false" customHeight="false" outlineLevel="0" collapsed="false">
      <c r="A134" s="81" t="n">
        <v>45260</v>
      </c>
      <c r="B134" s="82" t="n">
        <v>2023</v>
      </c>
      <c r="C134" s="82" t="n">
        <v>11</v>
      </c>
      <c r="D134" s="83" t="s">
        <v>408</v>
      </c>
      <c r="E134" s="83" t="s">
        <v>295</v>
      </c>
      <c r="F134" s="83" t="s">
        <v>76</v>
      </c>
      <c r="G134" s="76" t="n">
        <v>5144</v>
      </c>
      <c r="H134" s="76" t="n">
        <v>4185</v>
      </c>
      <c r="I134" s="37" t="n">
        <f aca="false">G134-H134</f>
        <v>959</v>
      </c>
      <c r="J134" s="83" t="s">
        <v>430</v>
      </c>
    </row>
    <row r="135" customFormat="false" ht="15" hidden="false" customHeight="false" outlineLevel="0" collapsed="false">
      <c r="A135" s="81" t="n">
        <v>45260</v>
      </c>
      <c r="B135" s="82" t="n">
        <v>2023</v>
      </c>
      <c r="C135" s="82" t="n">
        <v>11</v>
      </c>
      <c r="D135" s="83" t="s">
        <v>408</v>
      </c>
      <c r="E135" s="83" t="s">
        <v>297</v>
      </c>
      <c r="F135" s="83" t="s">
        <v>76</v>
      </c>
      <c r="G135" s="76" t="n">
        <v>2021</v>
      </c>
      <c r="H135" s="76" t="n">
        <v>1649</v>
      </c>
      <c r="I135" s="37" t="n">
        <f aca="false">G135-H135</f>
        <v>372</v>
      </c>
      <c r="J135" s="83" t="s">
        <v>431</v>
      </c>
    </row>
    <row r="136" customFormat="false" ht="15" hidden="false" customHeight="false" outlineLevel="0" collapsed="false">
      <c r="A136" s="81" t="n">
        <v>45260</v>
      </c>
      <c r="B136" s="82" t="n">
        <v>2023</v>
      </c>
      <c r="C136" s="82" t="n">
        <v>11</v>
      </c>
      <c r="D136" s="83" t="s">
        <v>408</v>
      </c>
      <c r="E136" s="83" t="s">
        <v>299</v>
      </c>
      <c r="F136" s="83" t="s">
        <v>76</v>
      </c>
      <c r="G136" s="76" t="n">
        <v>1658</v>
      </c>
      <c r="H136" s="76" t="n">
        <v>1353</v>
      </c>
      <c r="I136" s="37" t="n">
        <f aca="false">G136-H136</f>
        <v>305</v>
      </c>
      <c r="J136" s="83" t="s">
        <v>432</v>
      </c>
    </row>
    <row r="137" customFormat="false" ht="15" hidden="false" customHeight="false" outlineLevel="0" collapsed="false">
      <c r="A137" s="81" t="n">
        <v>45291</v>
      </c>
      <c r="B137" s="82" t="n">
        <v>2023</v>
      </c>
      <c r="C137" s="82" t="n">
        <v>12</v>
      </c>
      <c r="D137" s="83" t="s">
        <v>408</v>
      </c>
      <c r="E137" s="83" t="s">
        <v>295</v>
      </c>
      <c r="F137" s="83" t="s">
        <v>73</v>
      </c>
      <c r="G137" s="76" t="n">
        <v>19338</v>
      </c>
      <c r="H137" s="76" t="n">
        <v>14568</v>
      </c>
      <c r="I137" s="37" t="n">
        <f aca="false">G137-H137</f>
        <v>4770</v>
      </c>
      <c r="J137" s="83" t="s">
        <v>433</v>
      </c>
    </row>
    <row r="138" customFormat="false" ht="15" hidden="false" customHeight="false" outlineLevel="0" collapsed="false">
      <c r="A138" s="81" t="n">
        <v>45291</v>
      </c>
      <c r="B138" s="82" t="n">
        <v>2023</v>
      </c>
      <c r="C138" s="82" t="n">
        <v>12</v>
      </c>
      <c r="D138" s="83" t="s">
        <v>408</v>
      </c>
      <c r="E138" s="83" t="s">
        <v>297</v>
      </c>
      <c r="F138" s="83" t="s">
        <v>73</v>
      </c>
      <c r="G138" s="76" t="n">
        <v>7350</v>
      </c>
      <c r="H138" s="76" t="n">
        <v>5547</v>
      </c>
      <c r="I138" s="37" t="n">
        <f aca="false">G138-H138</f>
        <v>1803</v>
      </c>
      <c r="J138" s="83" t="s">
        <v>434</v>
      </c>
    </row>
    <row r="139" customFormat="false" ht="15" hidden="false" customHeight="false" outlineLevel="0" collapsed="false">
      <c r="A139" s="81" t="n">
        <v>45291</v>
      </c>
      <c r="B139" s="82" t="n">
        <v>2023</v>
      </c>
      <c r="C139" s="82" t="n">
        <v>12</v>
      </c>
      <c r="D139" s="83" t="s">
        <v>408</v>
      </c>
      <c r="E139" s="83" t="s">
        <v>299</v>
      </c>
      <c r="F139" s="83" t="s">
        <v>73</v>
      </c>
      <c r="G139" s="76" t="n">
        <v>6355</v>
      </c>
      <c r="H139" s="76" t="n">
        <v>4820</v>
      </c>
      <c r="I139" s="37" t="n">
        <f aca="false">G139-H139</f>
        <v>1535</v>
      </c>
      <c r="J139" s="83" t="s">
        <v>435</v>
      </c>
    </row>
    <row r="140" customFormat="false" ht="15" hidden="false" customHeight="false" outlineLevel="0" collapsed="false">
      <c r="A140" s="81" t="n">
        <v>45291</v>
      </c>
      <c r="B140" s="82" t="n">
        <v>2023</v>
      </c>
      <c r="C140" s="82" t="n">
        <v>12</v>
      </c>
      <c r="D140" s="83" t="s">
        <v>408</v>
      </c>
      <c r="E140" s="83" t="s">
        <v>295</v>
      </c>
      <c r="F140" s="83" t="s">
        <v>74</v>
      </c>
      <c r="G140" s="76" t="n">
        <v>13556</v>
      </c>
      <c r="H140" s="76" t="n">
        <v>10007</v>
      </c>
      <c r="I140" s="37" t="n">
        <f aca="false">G140-H140</f>
        <v>3549</v>
      </c>
      <c r="J140" s="83" t="s">
        <v>436</v>
      </c>
    </row>
    <row r="141" customFormat="false" ht="15" hidden="false" customHeight="false" outlineLevel="0" collapsed="false">
      <c r="A141" s="81" t="n">
        <v>45291</v>
      </c>
      <c r="B141" s="82" t="n">
        <v>2023</v>
      </c>
      <c r="C141" s="82" t="n">
        <v>12</v>
      </c>
      <c r="D141" s="83" t="s">
        <v>408</v>
      </c>
      <c r="E141" s="83" t="s">
        <v>297</v>
      </c>
      <c r="F141" s="83" t="s">
        <v>74</v>
      </c>
      <c r="G141" s="76" t="n">
        <v>5374</v>
      </c>
      <c r="H141" s="76" t="n">
        <v>3970</v>
      </c>
      <c r="I141" s="37" t="n">
        <f aca="false">G141-H141</f>
        <v>1404</v>
      </c>
      <c r="J141" s="83" t="s">
        <v>437</v>
      </c>
    </row>
    <row r="142" customFormat="false" ht="15" hidden="false" customHeight="false" outlineLevel="0" collapsed="false">
      <c r="A142" s="81" t="n">
        <v>45291</v>
      </c>
      <c r="B142" s="82" t="n">
        <v>2023</v>
      </c>
      <c r="C142" s="82" t="n">
        <v>12</v>
      </c>
      <c r="D142" s="83" t="s">
        <v>408</v>
      </c>
      <c r="E142" s="83" t="s">
        <v>299</v>
      </c>
      <c r="F142" s="83" t="s">
        <v>74</v>
      </c>
      <c r="G142" s="76" t="n">
        <v>4362</v>
      </c>
      <c r="H142" s="76" t="n">
        <v>3223</v>
      </c>
      <c r="I142" s="37" t="n">
        <f aca="false">G142-H142</f>
        <v>1139</v>
      </c>
      <c r="J142" s="83" t="s">
        <v>438</v>
      </c>
    </row>
    <row r="143" customFormat="false" ht="15" hidden="false" customHeight="false" outlineLevel="0" collapsed="false">
      <c r="A143" s="81" t="n">
        <v>45291</v>
      </c>
      <c r="B143" s="82" t="n">
        <v>2023</v>
      </c>
      <c r="C143" s="82" t="n">
        <v>12</v>
      </c>
      <c r="D143" s="83" t="s">
        <v>408</v>
      </c>
      <c r="E143" s="83" t="s">
        <v>295</v>
      </c>
      <c r="F143" s="83" t="s">
        <v>75</v>
      </c>
      <c r="G143" s="76" t="n">
        <v>8498</v>
      </c>
      <c r="H143" s="76" t="n">
        <v>6008</v>
      </c>
      <c r="I143" s="37" t="n">
        <f aca="false">G143-H143</f>
        <v>2490</v>
      </c>
      <c r="J143" s="83" t="s">
        <v>439</v>
      </c>
    </row>
    <row r="144" customFormat="false" ht="15" hidden="false" customHeight="false" outlineLevel="0" collapsed="false">
      <c r="A144" s="81" t="n">
        <v>45291</v>
      </c>
      <c r="B144" s="82" t="n">
        <v>2023</v>
      </c>
      <c r="C144" s="82" t="n">
        <v>12</v>
      </c>
      <c r="D144" s="83" t="s">
        <v>408</v>
      </c>
      <c r="E144" s="83" t="s">
        <v>297</v>
      </c>
      <c r="F144" s="83" t="s">
        <v>75</v>
      </c>
      <c r="G144" s="76" t="n">
        <v>3386</v>
      </c>
      <c r="H144" s="76" t="n">
        <v>2373</v>
      </c>
      <c r="I144" s="37" t="n">
        <f aca="false">G144-H144</f>
        <v>1013</v>
      </c>
      <c r="J144" s="83" t="s">
        <v>440</v>
      </c>
    </row>
    <row r="145" customFormat="false" ht="15" hidden="false" customHeight="false" outlineLevel="0" collapsed="false">
      <c r="A145" s="81" t="n">
        <v>45291</v>
      </c>
      <c r="B145" s="82" t="n">
        <v>2023</v>
      </c>
      <c r="C145" s="82" t="n">
        <v>12</v>
      </c>
      <c r="D145" s="83" t="s">
        <v>408</v>
      </c>
      <c r="E145" s="83" t="s">
        <v>299</v>
      </c>
      <c r="F145" s="83" t="s">
        <v>75</v>
      </c>
      <c r="G145" s="76" t="n">
        <v>2841</v>
      </c>
      <c r="H145" s="76" t="n">
        <v>1998</v>
      </c>
      <c r="I145" s="37" t="n">
        <f aca="false">G145-H145</f>
        <v>843</v>
      </c>
      <c r="J145" s="83" t="s">
        <v>441</v>
      </c>
    </row>
    <row r="146" customFormat="false" ht="15" hidden="false" customHeight="false" outlineLevel="0" collapsed="false">
      <c r="A146" s="81" t="n">
        <v>45291</v>
      </c>
      <c r="B146" s="82" t="n">
        <v>2023</v>
      </c>
      <c r="C146" s="82" t="n">
        <v>12</v>
      </c>
      <c r="D146" s="83" t="s">
        <v>408</v>
      </c>
      <c r="E146" s="83" t="s">
        <v>295</v>
      </c>
      <c r="F146" s="83" t="s">
        <v>76</v>
      </c>
      <c r="G146" s="76" t="n">
        <v>5422</v>
      </c>
      <c r="H146" s="76" t="n">
        <v>4435</v>
      </c>
      <c r="I146" s="37" t="n">
        <f aca="false">G146-H146</f>
        <v>987</v>
      </c>
      <c r="J146" s="83" t="s">
        <v>442</v>
      </c>
    </row>
    <row r="147" customFormat="false" ht="15" hidden="false" customHeight="false" outlineLevel="0" collapsed="false">
      <c r="A147" s="81" t="n">
        <v>45291</v>
      </c>
      <c r="B147" s="82" t="n">
        <v>2023</v>
      </c>
      <c r="C147" s="82" t="n">
        <v>12</v>
      </c>
      <c r="D147" s="83" t="s">
        <v>408</v>
      </c>
      <c r="E147" s="83" t="s">
        <v>297</v>
      </c>
      <c r="F147" s="83" t="s">
        <v>76</v>
      </c>
      <c r="G147" s="76" t="n">
        <v>2045</v>
      </c>
      <c r="H147" s="76" t="n">
        <v>1672</v>
      </c>
      <c r="I147" s="37" t="n">
        <f aca="false">G147-H147</f>
        <v>373</v>
      </c>
      <c r="J147" s="83" t="s">
        <v>443</v>
      </c>
    </row>
    <row r="148" customFormat="false" ht="15" hidden="false" customHeight="false" outlineLevel="0" collapsed="false">
      <c r="A148" s="81" t="n">
        <v>45291</v>
      </c>
      <c r="B148" s="82" t="n">
        <v>2023</v>
      </c>
      <c r="C148" s="82" t="n">
        <v>12</v>
      </c>
      <c r="D148" s="83" t="s">
        <v>408</v>
      </c>
      <c r="E148" s="83" t="s">
        <v>299</v>
      </c>
      <c r="F148" s="83" t="s">
        <v>76</v>
      </c>
      <c r="G148" s="76" t="n">
        <v>1710</v>
      </c>
      <c r="H148" s="76" t="n">
        <v>1400</v>
      </c>
      <c r="I148" s="37" t="n">
        <f aca="false">G148-H148</f>
        <v>310</v>
      </c>
      <c r="J148" s="83" t="s">
        <v>444</v>
      </c>
    </row>
    <row r="149" customFormat="false" ht="15" hidden="false" customHeight="false" outlineLevel="0" collapsed="false">
      <c r="A149" s="81" t="n">
        <v>45322</v>
      </c>
      <c r="B149" s="82" t="n">
        <v>2024</v>
      </c>
      <c r="C149" s="82" t="n">
        <v>1</v>
      </c>
      <c r="D149" s="83" t="s">
        <v>294</v>
      </c>
      <c r="E149" s="83" t="s">
        <v>295</v>
      </c>
      <c r="F149" s="83" t="s">
        <v>73</v>
      </c>
      <c r="G149" s="76" t="n">
        <v>15760</v>
      </c>
      <c r="H149" s="76" t="n">
        <v>11829</v>
      </c>
      <c r="I149" s="37" t="n">
        <f aca="false">G149-H149</f>
        <v>3931</v>
      </c>
      <c r="J149" s="83" t="s">
        <v>445</v>
      </c>
    </row>
    <row r="150" customFormat="false" ht="15" hidden="false" customHeight="false" outlineLevel="0" collapsed="false">
      <c r="A150" s="81" t="n">
        <v>45322</v>
      </c>
      <c r="B150" s="82" t="n">
        <v>2024</v>
      </c>
      <c r="C150" s="82" t="n">
        <v>1</v>
      </c>
      <c r="D150" s="83" t="s">
        <v>294</v>
      </c>
      <c r="E150" s="83" t="s">
        <v>297</v>
      </c>
      <c r="F150" s="83" t="s">
        <v>73</v>
      </c>
      <c r="G150" s="76" t="n">
        <v>6311</v>
      </c>
      <c r="H150" s="76" t="n">
        <v>4758</v>
      </c>
      <c r="I150" s="37" t="n">
        <f aca="false">G150-H150</f>
        <v>1553</v>
      </c>
      <c r="J150" s="83" t="s">
        <v>446</v>
      </c>
    </row>
    <row r="151" customFormat="false" ht="15" hidden="false" customHeight="false" outlineLevel="0" collapsed="false">
      <c r="A151" s="81" t="n">
        <v>45322</v>
      </c>
      <c r="B151" s="82" t="n">
        <v>2024</v>
      </c>
      <c r="C151" s="82" t="n">
        <v>1</v>
      </c>
      <c r="D151" s="83" t="s">
        <v>294</v>
      </c>
      <c r="E151" s="83" t="s">
        <v>299</v>
      </c>
      <c r="F151" s="83" t="s">
        <v>73</v>
      </c>
      <c r="G151" s="76" t="n">
        <v>5207</v>
      </c>
      <c r="H151" s="76" t="n">
        <v>3921</v>
      </c>
      <c r="I151" s="37" t="n">
        <f aca="false">G151-H151</f>
        <v>1286</v>
      </c>
      <c r="J151" s="83" t="s">
        <v>447</v>
      </c>
    </row>
    <row r="152" customFormat="false" ht="15" hidden="false" customHeight="false" outlineLevel="0" collapsed="false">
      <c r="A152" s="81" t="n">
        <v>45322</v>
      </c>
      <c r="B152" s="82" t="n">
        <v>2024</v>
      </c>
      <c r="C152" s="82" t="n">
        <v>1</v>
      </c>
      <c r="D152" s="83" t="s">
        <v>294</v>
      </c>
      <c r="E152" s="83" t="s">
        <v>295</v>
      </c>
      <c r="F152" s="83" t="s">
        <v>74</v>
      </c>
      <c r="G152" s="76" t="n">
        <v>11171</v>
      </c>
      <c r="H152" s="76" t="n">
        <v>8152</v>
      </c>
      <c r="I152" s="37" t="n">
        <f aca="false">G152-H152</f>
        <v>3019</v>
      </c>
      <c r="J152" s="83" t="s">
        <v>448</v>
      </c>
    </row>
    <row r="153" customFormat="false" ht="15" hidden="false" customHeight="false" outlineLevel="0" collapsed="false">
      <c r="A153" s="81" t="n">
        <v>45322</v>
      </c>
      <c r="B153" s="82" t="n">
        <v>2024</v>
      </c>
      <c r="C153" s="82" t="n">
        <v>1</v>
      </c>
      <c r="D153" s="83" t="s">
        <v>294</v>
      </c>
      <c r="E153" s="83" t="s">
        <v>297</v>
      </c>
      <c r="F153" s="83" t="s">
        <v>74</v>
      </c>
      <c r="G153" s="76" t="n">
        <v>4533</v>
      </c>
      <c r="H153" s="76" t="n">
        <v>3329</v>
      </c>
      <c r="I153" s="37" t="n">
        <f aca="false">G153-H153</f>
        <v>1204</v>
      </c>
      <c r="J153" s="83" t="s">
        <v>449</v>
      </c>
    </row>
    <row r="154" customFormat="false" ht="15" hidden="false" customHeight="false" outlineLevel="0" collapsed="false">
      <c r="A154" s="81" t="n">
        <v>45322</v>
      </c>
      <c r="B154" s="82" t="n">
        <v>2024</v>
      </c>
      <c r="C154" s="82" t="n">
        <v>1</v>
      </c>
      <c r="D154" s="83" t="s">
        <v>294</v>
      </c>
      <c r="E154" s="83" t="s">
        <v>299</v>
      </c>
      <c r="F154" s="83" t="s">
        <v>74</v>
      </c>
      <c r="G154" s="76" t="n">
        <v>3914</v>
      </c>
      <c r="H154" s="76" t="n">
        <v>2853</v>
      </c>
      <c r="I154" s="37" t="n">
        <f aca="false">G154-H154</f>
        <v>1061</v>
      </c>
      <c r="J154" s="83" t="s">
        <v>450</v>
      </c>
    </row>
    <row r="155" customFormat="false" ht="15" hidden="false" customHeight="false" outlineLevel="0" collapsed="false">
      <c r="A155" s="81" t="n">
        <v>45322</v>
      </c>
      <c r="B155" s="82" t="n">
        <v>2024</v>
      </c>
      <c r="C155" s="82" t="n">
        <v>1</v>
      </c>
      <c r="D155" s="83" t="s">
        <v>294</v>
      </c>
      <c r="E155" s="83" t="s">
        <v>295</v>
      </c>
      <c r="F155" s="83" t="s">
        <v>75</v>
      </c>
      <c r="G155" s="76" t="n">
        <v>7080</v>
      </c>
      <c r="H155" s="76" t="n">
        <v>4962</v>
      </c>
      <c r="I155" s="37" t="n">
        <f aca="false">G155-H155</f>
        <v>2118</v>
      </c>
      <c r="J155" s="83" t="s">
        <v>451</v>
      </c>
    </row>
    <row r="156" customFormat="false" ht="15" hidden="false" customHeight="false" outlineLevel="0" collapsed="false">
      <c r="A156" s="81" t="n">
        <v>45322</v>
      </c>
      <c r="B156" s="82" t="n">
        <v>2024</v>
      </c>
      <c r="C156" s="82" t="n">
        <v>1</v>
      </c>
      <c r="D156" s="83" t="s">
        <v>294</v>
      </c>
      <c r="E156" s="83" t="s">
        <v>297</v>
      </c>
      <c r="F156" s="83" t="s">
        <v>75</v>
      </c>
      <c r="G156" s="76" t="n">
        <v>2799</v>
      </c>
      <c r="H156" s="76" t="n">
        <v>1959</v>
      </c>
      <c r="I156" s="37" t="n">
        <f aca="false">G156-H156</f>
        <v>840</v>
      </c>
      <c r="J156" s="83" t="s">
        <v>452</v>
      </c>
    </row>
    <row r="157" customFormat="false" ht="15" hidden="false" customHeight="false" outlineLevel="0" collapsed="false">
      <c r="A157" s="81" t="n">
        <v>45322</v>
      </c>
      <c r="B157" s="82" t="n">
        <v>2024</v>
      </c>
      <c r="C157" s="82" t="n">
        <v>1</v>
      </c>
      <c r="D157" s="83" t="s">
        <v>294</v>
      </c>
      <c r="E157" s="83" t="s">
        <v>299</v>
      </c>
      <c r="F157" s="83" t="s">
        <v>75</v>
      </c>
      <c r="G157" s="76" t="n">
        <v>2378</v>
      </c>
      <c r="H157" s="76" t="n">
        <v>1664</v>
      </c>
      <c r="I157" s="37" t="n">
        <f aca="false">G157-H157</f>
        <v>714</v>
      </c>
      <c r="J157" s="83" t="s">
        <v>453</v>
      </c>
    </row>
    <row r="158" customFormat="false" ht="15" hidden="false" customHeight="false" outlineLevel="0" collapsed="false">
      <c r="A158" s="81" t="n">
        <v>45322</v>
      </c>
      <c r="B158" s="82" t="n">
        <v>2024</v>
      </c>
      <c r="C158" s="82" t="n">
        <v>1</v>
      </c>
      <c r="D158" s="83" t="s">
        <v>294</v>
      </c>
      <c r="E158" s="83" t="s">
        <v>295</v>
      </c>
      <c r="F158" s="83" t="s">
        <v>76</v>
      </c>
      <c r="G158" s="76" t="n">
        <v>5114</v>
      </c>
      <c r="H158" s="76" t="n">
        <v>4155</v>
      </c>
      <c r="I158" s="37" t="n">
        <f aca="false">G158-H158</f>
        <v>959</v>
      </c>
      <c r="J158" s="83" t="s">
        <v>454</v>
      </c>
    </row>
    <row r="159" customFormat="false" ht="15" hidden="false" customHeight="false" outlineLevel="0" collapsed="false">
      <c r="A159" s="81" t="n">
        <v>45322</v>
      </c>
      <c r="B159" s="82" t="n">
        <v>2024</v>
      </c>
      <c r="C159" s="82" t="n">
        <v>1</v>
      </c>
      <c r="D159" s="83" t="s">
        <v>294</v>
      </c>
      <c r="E159" s="83" t="s">
        <v>297</v>
      </c>
      <c r="F159" s="83" t="s">
        <v>76</v>
      </c>
      <c r="G159" s="76" t="n">
        <v>2113</v>
      </c>
      <c r="H159" s="76" t="n">
        <v>1725</v>
      </c>
      <c r="I159" s="37" t="n">
        <f aca="false">G159-H159</f>
        <v>388</v>
      </c>
      <c r="J159" s="83" t="s">
        <v>455</v>
      </c>
    </row>
    <row r="160" customFormat="false" ht="15" hidden="false" customHeight="false" outlineLevel="0" collapsed="false">
      <c r="A160" s="81" t="n">
        <v>45322</v>
      </c>
      <c r="B160" s="82" t="n">
        <v>2024</v>
      </c>
      <c r="C160" s="82" t="n">
        <v>1</v>
      </c>
      <c r="D160" s="83" t="s">
        <v>294</v>
      </c>
      <c r="E160" s="83" t="s">
        <v>299</v>
      </c>
      <c r="F160" s="83" t="s">
        <v>76</v>
      </c>
      <c r="G160" s="76" t="n">
        <v>1794</v>
      </c>
      <c r="H160" s="76" t="n">
        <v>1455</v>
      </c>
      <c r="I160" s="37" t="n">
        <f aca="false">G160-H160</f>
        <v>339</v>
      </c>
      <c r="J160" s="83" t="s">
        <v>456</v>
      </c>
    </row>
    <row r="161" customFormat="false" ht="15" hidden="false" customHeight="false" outlineLevel="0" collapsed="false">
      <c r="A161" s="81" t="n">
        <v>45351</v>
      </c>
      <c r="B161" s="82" t="n">
        <v>2024</v>
      </c>
      <c r="C161" s="82" t="n">
        <v>2</v>
      </c>
      <c r="D161" s="83" t="s">
        <v>294</v>
      </c>
      <c r="E161" s="83" t="s">
        <v>295</v>
      </c>
      <c r="F161" s="83" t="s">
        <v>73</v>
      </c>
      <c r="G161" s="76" t="n">
        <v>14989</v>
      </c>
      <c r="H161" s="76" t="n">
        <v>11224</v>
      </c>
      <c r="I161" s="37" t="n">
        <f aca="false">G161-H161</f>
        <v>3765</v>
      </c>
      <c r="J161" s="83" t="s">
        <v>457</v>
      </c>
    </row>
    <row r="162" customFormat="false" ht="15" hidden="false" customHeight="false" outlineLevel="0" collapsed="false">
      <c r="A162" s="81" t="n">
        <v>45351</v>
      </c>
      <c r="B162" s="82" t="n">
        <v>2024</v>
      </c>
      <c r="C162" s="82" t="n">
        <v>2</v>
      </c>
      <c r="D162" s="83" t="s">
        <v>294</v>
      </c>
      <c r="E162" s="83" t="s">
        <v>297</v>
      </c>
      <c r="F162" s="83" t="s">
        <v>73</v>
      </c>
      <c r="G162" s="76" t="n">
        <v>5911</v>
      </c>
      <c r="H162" s="76" t="n">
        <v>4433</v>
      </c>
      <c r="I162" s="37" t="n">
        <f aca="false">G162-H162</f>
        <v>1478</v>
      </c>
      <c r="J162" s="83" t="s">
        <v>458</v>
      </c>
    </row>
    <row r="163" customFormat="false" ht="15" hidden="false" customHeight="false" outlineLevel="0" collapsed="false">
      <c r="A163" s="81" t="n">
        <v>45351</v>
      </c>
      <c r="B163" s="82" t="n">
        <v>2024</v>
      </c>
      <c r="C163" s="82" t="n">
        <v>2</v>
      </c>
      <c r="D163" s="83" t="s">
        <v>294</v>
      </c>
      <c r="E163" s="83" t="s">
        <v>299</v>
      </c>
      <c r="F163" s="83" t="s">
        <v>73</v>
      </c>
      <c r="G163" s="76" t="n">
        <v>5153</v>
      </c>
      <c r="H163" s="76" t="n">
        <v>3864</v>
      </c>
      <c r="I163" s="37" t="n">
        <f aca="false">G163-H163</f>
        <v>1289</v>
      </c>
      <c r="J163" s="83" t="s">
        <v>459</v>
      </c>
    </row>
    <row r="164" customFormat="false" ht="15" hidden="false" customHeight="false" outlineLevel="0" collapsed="false">
      <c r="A164" s="81" t="n">
        <v>45351</v>
      </c>
      <c r="B164" s="82" t="n">
        <v>2024</v>
      </c>
      <c r="C164" s="82" t="n">
        <v>2</v>
      </c>
      <c r="D164" s="83" t="s">
        <v>294</v>
      </c>
      <c r="E164" s="83" t="s">
        <v>295</v>
      </c>
      <c r="F164" s="83" t="s">
        <v>74</v>
      </c>
      <c r="G164" s="76" t="n">
        <v>10941</v>
      </c>
      <c r="H164" s="76" t="n">
        <v>8063</v>
      </c>
      <c r="I164" s="37" t="n">
        <f aca="false">G164-H164</f>
        <v>2878</v>
      </c>
      <c r="J164" s="83" t="s">
        <v>460</v>
      </c>
    </row>
    <row r="165" customFormat="false" ht="15" hidden="false" customHeight="false" outlineLevel="0" collapsed="false">
      <c r="A165" s="81" t="n">
        <v>45351</v>
      </c>
      <c r="B165" s="82" t="n">
        <v>2024</v>
      </c>
      <c r="C165" s="82" t="n">
        <v>2</v>
      </c>
      <c r="D165" s="83" t="s">
        <v>294</v>
      </c>
      <c r="E165" s="83" t="s">
        <v>297</v>
      </c>
      <c r="F165" s="83" t="s">
        <v>74</v>
      </c>
      <c r="G165" s="76" t="n">
        <v>4451</v>
      </c>
      <c r="H165" s="76" t="n">
        <v>3276</v>
      </c>
      <c r="I165" s="37" t="n">
        <f aca="false">G165-H165</f>
        <v>1175</v>
      </c>
      <c r="J165" s="83" t="s">
        <v>461</v>
      </c>
    </row>
    <row r="166" customFormat="false" ht="15" hidden="false" customHeight="false" outlineLevel="0" collapsed="false">
      <c r="A166" s="81" t="n">
        <v>45351</v>
      </c>
      <c r="B166" s="82" t="n">
        <v>2024</v>
      </c>
      <c r="C166" s="82" t="n">
        <v>2</v>
      </c>
      <c r="D166" s="83" t="s">
        <v>294</v>
      </c>
      <c r="E166" s="83" t="s">
        <v>299</v>
      </c>
      <c r="F166" s="83" t="s">
        <v>74</v>
      </c>
      <c r="G166" s="76" t="n">
        <v>3764</v>
      </c>
      <c r="H166" s="76" t="n">
        <v>2764</v>
      </c>
      <c r="I166" s="37" t="n">
        <f aca="false">G166-H166</f>
        <v>1000</v>
      </c>
      <c r="J166" s="83" t="s">
        <v>462</v>
      </c>
    </row>
    <row r="167" customFormat="false" ht="15" hidden="false" customHeight="false" outlineLevel="0" collapsed="false">
      <c r="A167" s="81" t="n">
        <v>45351</v>
      </c>
      <c r="B167" s="82" t="n">
        <v>2024</v>
      </c>
      <c r="C167" s="82" t="n">
        <v>2</v>
      </c>
      <c r="D167" s="83" t="s">
        <v>294</v>
      </c>
      <c r="E167" s="83" t="s">
        <v>295</v>
      </c>
      <c r="F167" s="83" t="s">
        <v>75</v>
      </c>
      <c r="G167" s="76" t="n">
        <v>7008</v>
      </c>
      <c r="H167" s="76" t="n">
        <v>4920</v>
      </c>
      <c r="I167" s="37" t="n">
        <f aca="false">G167-H167</f>
        <v>2088</v>
      </c>
      <c r="J167" s="83" t="s">
        <v>463</v>
      </c>
    </row>
    <row r="168" customFormat="false" ht="15" hidden="false" customHeight="false" outlineLevel="0" collapsed="false">
      <c r="A168" s="81" t="n">
        <v>45351</v>
      </c>
      <c r="B168" s="82" t="n">
        <v>2024</v>
      </c>
      <c r="C168" s="82" t="n">
        <v>2</v>
      </c>
      <c r="D168" s="83" t="s">
        <v>294</v>
      </c>
      <c r="E168" s="83" t="s">
        <v>297</v>
      </c>
      <c r="F168" s="83" t="s">
        <v>75</v>
      </c>
      <c r="G168" s="76" t="n">
        <v>2689</v>
      </c>
      <c r="H168" s="76" t="n">
        <v>1891</v>
      </c>
      <c r="I168" s="37" t="n">
        <f aca="false">G168-H168</f>
        <v>798</v>
      </c>
      <c r="J168" s="83" t="s">
        <v>464</v>
      </c>
    </row>
    <row r="169" customFormat="false" ht="15" hidden="false" customHeight="false" outlineLevel="0" collapsed="false">
      <c r="A169" s="81" t="n">
        <v>45351</v>
      </c>
      <c r="B169" s="82" t="n">
        <v>2024</v>
      </c>
      <c r="C169" s="82" t="n">
        <v>2</v>
      </c>
      <c r="D169" s="83" t="s">
        <v>294</v>
      </c>
      <c r="E169" s="83" t="s">
        <v>299</v>
      </c>
      <c r="F169" s="83" t="s">
        <v>75</v>
      </c>
      <c r="G169" s="76" t="n">
        <v>2348</v>
      </c>
      <c r="H169" s="76" t="n">
        <v>1645</v>
      </c>
      <c r="I169" s="37" t="n">
        <f aca="false">G169-H169</f>
        <v>703</v>
      </c>
      <c r="J169" s="83" t="s">
        <v>465</v>
      </c>
    </row>
    <row r="170" customFormat="false" ht="15" hidden="false" customHeight="false" outlineLevel="0" collapsed="false">
      <c r="A170" s="81" t="n">
        <v>45351</v>
      </c>
      <c r="B170" s="82" t="n">
        <v>2024</v>
      </c>
      <c r="C170" s="82" t="n">
        <v>2</v>
      </c>
      <c r="D170" s="83" t="s">
        <v>294</v>
      </c>
      <c r="E170" s="83" t="s">
        <v>295</v>
      </c>
      <c r="F170" s="83" t="s">
        <v>76</v>
      </c>
      <c r="G170" s="76" t="n">
        <v>5200</v>
      </c>
      <c r="H170" s="76" t="n">
        <v>4198</v>
      </c>
      <c r="I170" s="37" t="n">
        <f aca="false">G170-H170</f>
        <v>1002</v>
      </c>
      <c r="J170" s="83" t="s">
        <v>466</v>
      </c>
    </row>
    <row r="171" customFormat="false" ht="15" hidden="false" customHeight="false" outlineLevel="0" collapsed="false">
      <c r="A171" s="81" t="n">
        <v>45351</v>
      </c>
      <c r="B171" s="82" t="n">
        <v>2024</v>
      </c>
      <c r="C171" s="82" t="n">
        <v>2</v>
      </c>
      <c r="D171" s="83" t="s">
        <v>294</v>
      </c>
      <c r="E171" s="83" t="s">
        <v>297</v>
      </c>
      <c r="F171" s="83" t="s">
        <v>76</v>
      </c>
      <c r="G171" s="76" t="n">
        <v>2119</v>
      </c>
      <c r="H171" s="76" t="n">
        <v>1720</v>
      </c>
      <c r="I171" s="37" t="n">
        <f aca="false">G171-H171</f>
        <v>399</v>
      </c>
      <c r="J171" s="83" t="s">
        <v>467</v>
      </c>
    </row>
    <row r="172" customFormat="false" ht="15" hidden="false" customHeight="false" outlineLevel="0" collapsed="false">
      <c r="A172" s="81" t="n">
        <v>45351</v>
      </c>
      <c r="B172" s="82" t="n">
        <v>2024</v>
      </c>
      <c r="C172" s="82" t="n">
        <v>2</v>
      </c>
      <c r="D172" s="83" t="s">
        <v>294</v>
      </c>
      <c r="E172" s="83" t="s">
        <v>299</v>
      </c>
      <c r="F172" s="83" t="s">
        <v>76</v>
      </c>
      <c r="G172" s="76" t="n">
        <v>1796</v>
      </c>
      <c r="H172" s="76" t="n">
        <v>1461</v>
      </c>
      <c r="I172" s="37" t="n">
        <f aca="false">G172-H172</f>
        <v>335</v>
      </c>
      <c r="J172" s="83" t="s">
        <v>468</v>
      </c>
    </row>
    <row r="173" customFormat="false" ht="15" hidden="false" customHeight="false" outlineLevel="0" collapsed="false">
      <c r="A173" s="81" t="n">
        <v>45382</v>
      </c>
      <c r="B173" s="82" t="n">
        <v>2024</v>
      </c>
      <c r="C173" s="82" t="n">
        <v>3</v>
      </c>
      <c r="D173" s="83" t="s">
        <v>294</v>
      </c>
      <c r="E173" s="83" t="s">
        <v>295</v>
      </c>
      <c r="F173" s="83" t="s">
        <v>73</v>
      </c>
      <c r="G173" s="76" t="n">
        <v>16579</v>
      </c>
      <c r="H173" s="76" t="n">
        <v>12531</v>
      </c>
      <c r="I173" s="37" t="n">
        <f aca="false">G173-H173</f>
        <v>4048</v>
      </c>
      <c r="J173" s="83" t="s">
        <v>469</v>
      </c>
    </row>
    <row r="174" customFormat="false" ht="15" hidden="false" customHeight="false" outlineLevel="0" collapsed="false">
      <c r="A174" s="81" t="n">
        <v>45382</v>
      </c>
      <c r="B174" s="82" t="n">
        <v>2024</v>
      </c>
      <c r="C174" s="82" t="n">
        <v>3</v>
      </c>
      <c r="D174" s="83" t="s">
        <v>294</v>
      </c>
      <c r="E174" s="83" t="s">
        <v>297</v>
      </c>
      <c r="F174" s="83" t="s">
        <v>73</v>
      </c>
      <c r="G174" s="76" t="n">
        <v>6649</v>
      </c>
      <c r="H174" s="76" t="n">
        <v>4994</v>
      </c>
      <c r="I174" s="37" t="n">
        <f aca="false">G174-H174</f>
        <v>1655</v>
      </c>
      <c r="J174" s="83" t="s">
        <v>470</v>
      </c>
    </row>
    <row r="175" customFormat="false" ht="15" hidden="false" customHeight="false" outlineLevel="0" collapsed="false">
      <c r="A175" s="81" t="n">
        <v>45382</v>
      </c>
      <c r="B175" s="82" t="n">
        <v>2024</v>
      </c>
      <c r="C175" s="82" t="n">
        <v>3</v>
      </c>
      <c r="D175" s="83" t="s">
        <v>294</v>
      </c>
      <c r="E175" s="83" t="s">
        <v>299</v>
      </c>
      <c r="F175" s="83" t="s">
        <v>73</v>
      </c>
      <c r="G175" s="76" t="n">
        <v>5660</v>
      </c>
      <c r="H175" s="76" t="n">
        <v>4279</v>
      </c>
      <c r="I175" s="37" t="n">
        <f aca="false">G175-H175</f>
        <v>1381</v>
      </c>
      <c r="J175" s="83" t="s">
        <v>471</v>
      </c>
    </row>
    <row r="176" customFormat="false" ht="15" hidden="false" customHeight="false" outlineLevel="0" collapsed="false">
      <c r="A176" s="81" t="n">
        <v>45382</v>
      </c>
      <c r="B176" s="82" t="n">
        <v>2024</v>
      </c>
      <c r="C176" s="82" t="n">
        <v>3</v>
      </c>
      <c r="D176" s="83" t="s">
        <v>294</v>
      </c>
      <c r="E176" s="83" t="s">
        <v>295</v>
      </c>
      <c r="F176" s="83" t="s">
        <v>74</v>
      </c>
      <c r="G176" s="76" t="n">
        <v>12459</v>
      </c>
      <c r="H176" s="76" t="n">
        <v>9169</v>
      </c>
      <c r="I176" s="37" t="n">
        <f aca="false">G176-H176</f>
        <v>3290</v>
      </c>
      <c r="J176" s="83" t="s">
        <v>472</v>
      </c>
    </row>
    <row r="177" customFormat="false" ht="15" hidden="false" customHeight="false" outlineLevel="0" collapsed="false">
      <c r="A177" s="81" t="n">
        <v>45382</v>
      </c>
      <c r="B177" s="82" t="n">
        <v>2024</v>
      </c>
      <c r="C177" s="82" t="n">
        <v>3</v>
      </c>
      <c r="D177" s="83" t="s">
        <v>294</v>
      </c>
      <c r="E177" s="83" t="s">
        <v>297</v>
      </c>
      <c r="F177" s="83" t="s">
        <v>74</v>
      </c>
      <c r="G177" s="76" t="n">
        <v>5018</v>
      </c>
      <c r="H177" s="76" t="n">
        <v>3665</v>
      </c>
      <c r="I177" s="37" t="n">
        <f aca="false">G177-H177</f>
        <v>1353</v>
      </c>
      <c r="J177" s="83" t="s">
        <v>473</v>
      </c>
    </row>
    <row r="178" customFormat="false" ht="15" hidden="false" customHeight="false" outlineLevel="0" collapsed="false">
      <c r="A178" s="81" t="n">
        <v>45382</v>
      </c>
      <c r="B178" s="82" t="n">
        <v>2024</v>
      </c>
      <c r="C178" s="82" t="n">
        <v>3</v>
      </c>
      <c r="D178" s="83" t="s">
        <v>294</v>
      </c>
      <c r="E178" s="83" t="s">
        <v>299</v>
      </c>
      <c r="F178" s="83" t="s">
        <v>74</v>
      </c>
      <c r="G178" s="76" t="n">
        <v>4258</v>
      </c>
      <c r="H178" s="76" t="n">
        <v>3126</v>
      </c>
      <c r="I178" s="37" t="n">
        <f aca="false">G178-H178</f>
        <v>1132</v>
      </c>
      <c r="J178" s="83" t="s">
        <v>474</v>
      </c>
    </row>
    <row r="179" customFormat="false" ht="15" hidden="false" customHeight="false" outlineLevel="0" collapsed="false">
      <c r="A179" s="81" t="n">
        <v>45382</v>
      </c>
      <c r="B179" s="82" t="n">
        <v>2024</v>
      </c>
      <c r="C179" s="82" t="n">
        <v>3</v>
      </c>
      <c r="D179" s="83" t="s">
        <v>294</v>
      </c>
      <c r="E179" s="83" t="s">
        <v>295</v>
      </c>
      <c r="F179" s="83" t="s">
        <v>75</v>
      </c>
      <c r="G179" s="76" t="n">
        <v>7295</v>
      </c>
      <c r="H179" s="76" t="n">
        <v>5119</v>
      </c>
      <c r="I179" s="37" t="n">
        <f aca="false">G179-H179</f>
        <v>2176</v>
      </c>
      <c r="J179" s="83" t="s">
        <v>475</v>
      </c>
    </row>
    <row r="180" customFormat="false" ht="15" hidden="false" customHeight="false" outlineLevel="0" collapsed="false">
      <c r="A180" s="81" t="n">
        <v>45382</v>
      </c>
      <c r="B180" s="82" t="n">
        <v>2024</v>
      </c>
      <c r="C180" s="82" t="n">
        <v>3</v>
      </c>
      <c r="D180" s="83" t="s">
        <v>294</v>
      </c>
      <c r="E180" s="83" t="s">
        <v>297</v>
      </c>
      <c r="F180" s="83" t="s">
        <v>75</v>
      </c>
      <c r="G180" s="76" t="n">
        <v>2960</v>
      </c>
      <c r="H180" s="76" t="n">
        <v>2080</v>
      </c>
      <c r="I180" s="37" t="n">
        <f aca="false">G180-H180</f>
        <v>880</v>
      </c>
      <c r="J180" s="83" t="s">
        <v>476</v>
      </c>
    </row>
    <row r="181" customFormat="false" ht="15" hidden="false" customHeight="false" outlineLevel="0" collapsed="false">
      <c r="A181" s="81" t="n">
        <v>45382</v>
      </c>
      <c r="B181" s="82" t="n">
        <v>2024</v>
      </c>
      <c r="C181" s="82" t="n">
        <v>3</v>
      </c>
      <c r="D181" s="83" t="s">
        <v>294</v>
      </c>
      <c r="E181" s="83" t="s">
        <v>299</v>
      </c>
      <c r="F181" s="83" t="s">
        <v>75</v>
      </c>
      <c r="G181" s="76" t="n">
        <v>2421</v>
      </c>
      <c r="H181" s="76" t="n">
        <v>1702</v>
      </c>
      <c r="I181" s="37" t="n">
        <f aca="false">G181-H181</f>
        <v>719</v>
      </c>
      <c r="J181" s="83" t="s">
        <v>477</v>
      </c>
    </row>
    <row r="182" customFormat="false" ht="15" hidden="false" customHeight="false" outlineLevel="0" collapsed="false">
      <c r="A182" s="81" t="n">
        <v>45382</v>
      </c>
      <c r="B182" s="82" t="n">
        <v>2024</v>
      </c>
      <c r="C182" s="82" t="n">
        <v>3</v>
      </c>
      <c r="D182" s="83" t="s">
        <v>294</v>
      </c>
      <c r="E182" s="83" t="s">
        <v>295</v>
      </c>
      <c r="F182" s="83" t="s">
        <v>76</v>
      </c>
      <c r="G182" s="76" t="n">
        <v>5203</v>
      </c>
      <c r="H182" s="76" t="n">
        <v>4245</v>
      </c>
      <c r="I182" s="37" t="n">
        <f aca="false">G182-H182</f>
        <v>958</v>
      </c>
      <c r="J182" s="83" t="s">
        <v>478</v>
      </c>
    </row>
    <row r="183" customFormat="false" ht="15" hidden="false" customHeight="false" outlineLevel="0" collapsed="false">
      <c r="A183" s="81" t="n">
        <v>45382</v>
      </c>
      <c r="B183" s="82" t="n">
        <v>2024</v>
      </c>
      <c r="C183" s="82" t="n">
        <v>3</v>
      </c>
      <c r="D183" s="83" t="s">
        <v>294</v>
      </c>
      <c r="E183" s="83" t="s">
        <v>297</v>
      </c>
      <c r="F183" s="83" t="s">
        <v>76</v>
      </c>
      <c r="G183" s="76" t="n">
        <v>2183</v>
      </c>
      <c r="H183" s="76" t="n">
        <v>1779</v>
      </c>
      <c r="I183" s="37" t="n">
        <f aca="false">G183-H183</f>
        <v>404</v>
      </c>
      <c r="J183" s="83" t="s">
        <v>479</v>
      </c>
    </row>
    <row r="184" customFormat="false" ht="15" hidden="false" customHeight="false" outlineLevel="0" collapsed="false">
      <c r="A184" s="81" t="n">
        <v>45382</v>
      </c>
      <c r="B184" s="82" t="n">
        <v>2024</v>
      </c>
      <c r="C184" s="82" t="n">
        <v>3</v>
      </c>
      <c r="D184" s="83" t="s">
        <v>294</v>
      </c>
      <c r="E184" s="83" t="s">
        <v>299</v>
      </c>
      <c r="F184" s="83" t="s">
        <v>76</v>
      </c>
      <c r="G184" s="76" t="n">
        <v>1838</v>
      </c>
      <c r="H184" s="76" t="n">
        <v>1496</v>
      </c>
      <c r="I184" s="37" t="n">
        <f aca="false">G184-H184</f>
        <v>342</v>
      </c>
      <c r="J184" s="83" t="s">
        <v>480</v>
      </c>
    </row>
    <row r="185" customFormat="false" ht="15" hidden="false" customHeight="false" outlineLevel="0" collapsed="false">
      <c r="A185" s="81" t="n">
        <v>45412</v>
      </c>
      <c r="B185" s="82" t="n">
        <v>2024</v>
      </c>
      <c r="C185" s="82" t="n">
        <v>4</v>
      </c>
      <c r="D185" s="83" t="s">
        <v>334</v>
      </c>
      <c r="E185" s="83" t="s">
        <v>295</v>
      </c>
      <c r="F185" s="83" t="s">
        <v>73</v>
      </c>
      <c r="G185" s="76" t="n">
        <v>16686</v>
      </c>
      <c r="H185" s="76" t="n">
        <v>12569</v>
      </c>
      <c r="I185" s="37" t="n">
        <f aca="false">G185-H185</f>
        <v>4117</v>
      </c>
      <c r="J185" s="83" t="s">
        <v>481</v>
      </c>
    </row>
    <row r="186" customFormat="false" ht="15" hidden="false" customHeight="false" outlineLevel="0" collapsed="false">
      <c r="A186" s="81" t="n">
        <v>45412</v>
      </c>
      <c r="B186" s="82" t="n">
        <v>2024</v>
      </c>
      <c r="C186" s="82" t="n">
        <v>4</v>
      </c>
      <c r="D186" s="83" t="s">
        <v>334</v>
      </c>
      <c r="E186" s="83" t="s">
        <v>297</v>
      </c>
      <c r="F186" s="83" t="s">
        <v>73</v>
      </c>
      <c r="G186" s="76" t="n">
        <v>6395</v>
      </c>
      <c r="H186" s="76" t="n">
        <v>4802</v>
      </c>
      <c r="I186" s="37" t="n">
        <f aca="false">G186-H186</f>
        <v>1593</v>
      </c>
      <c r="J186" s="83" t="s">
        <v>482</v>
      </c>
    </row>
    <row r="187" customFormat="false" ht="15" hidden="false" customHeight="false" outlineLevel="0" collapsed="false">
      <c r="A187" s="81" t="n">
        <v>45412</v>
      </c>
      <c r="B187" s="82" t="n">
        <v>2024</v>
      </c>
      <c r="C187" s="82" t="n">
        <v>4</v>
      </c>
      <c r="D187" s="83" t="s">
        <v>334</v>
      </c>
      <c r="E187" s="83" t="s">
        <v>299</v>
      </c>
      <c r="F187" s="83" t="s">
        <v>73</v>
      </c>
      <c r="G187" s="76" t="n">
        <v>5637</v>
      </c>
      <c r="H187" s="76" t="n">
        <v>4221</v>
      </c>
      <c r="I187" s="37" t="n">
        <f aca="false">G187-H187</f>
        <v>1416</v>
      </c>
      <c r="J187" s="83" t="s">
        <v>483</v>
      </c>
    </row>
    <row r="188" customFormat="false" ht="15" hidden="false" customHeight="false" outlineLevel="0" collapsed="false">
      <c r="A188" s="81" t="n">
        <v>45412</v>
      </c>
      <c r="B188" s="82" t="n">
        <v>2024</v>
      </c>
      <c r="C188" s="82" t="n">
        <v>4</v>
      </c>
      <c r="D188" s="83" t="s">
        <v>334</v>
      </c>
      <c r="E188" s="83" t="s">
        <v>295</v>
      </c>
      <c r="F188" s="83" t="s">
        <v>74</v>
      </c>
      <c r="G188" s="76" t="n">
        <v>12969</v>
      </c>
      <c r="H188" s="76" t="n">
        <v>9563</v>
      </c>
      <c r="I188" s="37" t="n">
        <f aca="false">G188-H188</f>
        <v>3406</v>
      </c>
      <c r="J188" s="83" t="s">
        <v>484</v>
      </c>
    </row>
    <row r="189" customFormat="false" ht="15" hidden="false" customHeight="false" outlineLevel="0" collapsed="false">
      <c r="A189" s="81" t="n">
        <v>45412</v>
      </c>
      <c r="B189" s="82" t="n">
        <v>2024</v>
      </c>
      <c r="C189" s="82" t="n">
        <v>4</v>
      </c>
      <c r="D189" s="83" t="s">
        <v>334</v>
      </c>
      <c r="E189" s="83" t="s">
        <v>297</v>
      </c>
      <c r="F189" s="83" t="s">
        <v>74</v>
      </c>
      <c r="G189" s="76" t="n">
        <v>4966</v>
      </c>
      <c r="H189" s="76" t="n">
        <v>3628</v>
      </c>
      <c r="I189" s="37" t="n">
        <f aca="false">G189-H189</f>
        <v>1338</v>
      </c>
      <c r="J189" s="83" t="s">
        <v>485</v>
      </c>
    </row>
    <row r="190" customFormat="false" ht="15" hidden="false" customHeight="false" outlineLevel="0" collapsed="false">
      <c r="A190" s="81" t="n">
        <v>45412</v>
      </c>
      <c r="B190" s="82" t="n">
        <v>2024</v>
      </c>
      <c r="C190" s="82" t="n">
        <v>4</v>
      </c>
      <c r="D190" s="83" t="s">
        <v>334</v>
      </c>
      <c r="E190" s="83" t="s">
        <v>299</v>
      </c>
      <c r="F190" s="83" t="s">
        <v>74</v>
      </c>
      <c r="G190" s="76" t="n">
        <v>4427</v>
      </c>
      <c r="H190" s="76" t="n">
        <v>3248</v>
      </c>
      <c r="I190" s="37" t="n">
        <f aca="false">G190-H190</f>
        <v>1179</v>
      </c>
      <c r="J190" s="83" t="s">
        <v>486</v>
      </c>
    </row>
    <row r="191" customFormat="false" ht="15" hidden="false" customHeight="false" outlineLevel="0" collapsed="false">
      <c r="A191" s="81" t="n">
        <v>45412</v>
      </c>
      <c r="B191" s="82" t="n">
        <v>2024</v>
      </c>
      <c r="C191" s="82" t="n">
        <v>4</v>
      </c>
      <c r="D191" s="83" t="s">
        <v>334</v>
      </c>
      <c r="E191" s="83" t="s">
        <v>295</v>
      </c>
      <c r="F191" s="83" t="s">
        <v>75</v>
      </c>
      <c r="G191" s="76" t="n">
        <v>7382</v>
      </c>
      <c r="H191" s="76" t="n">
        <v>5210</v>
      </c>
      <c r="I191" s="37" t="n">
        <f aca="false">G191-H191</f>
        <v>2172</v>
      </c>
      <c r="J191" s="83" t="s">
        <v>487</v>
      </c>
    </row>
    <row r="192" customFormat="false" ht="15" hidden="false" customHeight="false" outlineLevel="0" collapsed="false">
      <c r="A192" s="81" t="n">
        <v>45412</v>
      </c>
      <c r="B192" s="82" t="n">
        <v>2024</v>
      </c>
      <c r="C192" s="82" t="n">
        <v>4</v>
      </c>
      <c r="D192" s="83" t="s">
        <v>334</v>
      </c>
      <c r="E192" s="83" t="s">
        <v>297</v>
      </c>
      <c r="F192" s="83" t="s">
        <v>75</v>
      </c>
      <c r="G192" s="76" t="n">
        <v>2919</v>
      </c>
      <c r="H192" s="76" t="n">
        <v>2061</v>
      </c>
      <c r="I192" s="37" t="n">
        <f aca="false">G192-H192</f>
        <v>858</v>
      </c>
      <c r="J192" s="83" t="s">
        <v>488</v>
      </c>
    </row>
    <row r="193" customFormat="false" ht="15" hidden="false" customHeight="false" outlineLevel="0" collapsed="false">
      <c r="A193" s="81" t="n">
        <v>45412</v>
      </c>
      <c r="B193" s="82" t="n">
        <v>2024</v>
      </c>
      <c r="C193" s="82" t="n">
        <v>4</v>
      </c>
      <c r="D193" s="83" t="s">
        <v>334</v>
      </c>
      <c r="E193" s="83" t="s">
        <v>299</v>
      </c>
      <c r="F193" s="83" t="s">
        <v>75</v>
      </c>
      <c r="G193" s="76" t="n">
        <v>2495</v>
      </c>
      <c r="H193" s="76" t="n">
        <v>1755</v>
      </c>
      <c r="I193" s="37" t="n">
        <f aca="false">G193-H193</f>
        <v>740</v>
      </c>
      <c r="J193" s="83" t="s">
        <v>489</v>
      </c>
    </row>
    <row r="194" customFormat="false" ht="15" hidden="false" customHeight="false" outlineLevel="0" collapsed="false">
      <c r="A194" s="81" t="n">
        <v>45412</v>
      </c>
      <c r="B194" s="82" t="n">
        <v>2024</v>
      </c>
      <c r="C194" s="82" t="n">
        <v>4</v>
      </c>
      <c r="D194" s="83" t="s">
        <v>334</v>
      </c>
      <c r="E194" s="83" t="s">
        <v>295</v>
      </c>
      <c r="F194" s="83" t="s">
        <v>76</v>
      </c>
      <c r="G194" s="76" t="n">
        <v>5231</v>
      </c>
      <c r="H194" s="76" t="n">
        <v>4248</v>
      </c>
      <c r="I194" s="37" t="n">
        <f aca="false">G194-H194</f>
        <v>983</v>
      </c>
      <c r="J194" s="83" t="s">
        <v>490</v>
      </c>
    </row>
    <row r="195" customFormat="false" ht="15" hidden="false" customHeight="false" outlineLevel="0" collapsed="false">
      <c r="A195" s="81" t="n">
        <v>45412</v>
      </c>
      <c r="B195" s="82" t="n">
        <v>2024</v>
      </c>
      <c r="C195" s="82" t="n">
        <v>4</v>
      </c>
      <c r="D195" s="83" t="s">
        <v>334</v>
      </c>
      <c r="E195" s="83" t="s">
        <v>297</v>
      </c>
      <c r="F195" s="83" t="s">
        <v>76</v>
      </c>
      <c r="G195" s="76" t="n">
        <v>2083</v>
      </c>
      <c r="H195" s="76" t="n">
        <v>1696</v>
      </c>
      <c r="I195" s="37" t="n">
        <f aca="false">G195-H195</f>
        <v>387</v>
      </c>
      <c r="J195" s="83" t="s">
        <v>491</v>
      </c>
    </row>
    <row r="196" customFormat="false" ht="15" hidden="false" customHeight="false" outlineLevel="0" collapsed="false">
      <c r="A196" s="81" t="n">
        <v>45412</v>
      </c>
      <c r="B196" s="82" t="n">
        <v>2024</v>
      </c>
      <c r="C196" s="82" t="n">
        <v>4</v>
      </c>
      <c r="D196" s="83" t="s">
        <v>334</v>
      </c>
      <c r="E196" s="83" t="s">
        <v>299</v>
      </c>
      <c r="F196" s="83" t="s">
        <v>76</v>
      </c>
      <c r="G196" s="76" t="n">
        <v>1793</v>
      </c>
      <c r="H196" s="76" t="n">
        <v>1452</v>
      </c>
      <c r="I196" s="37" t="n">
        <f aca="false">G196-H196</f>
        <v>341</v>
      </c>
      <c r="J196" s="83" t="s">
        <v>492</v>
      </c>
    </row>
    <row r="197" customFormat="false" ht="15" hidden="false" customHeight="false" outlineLevel="0" collapsed="false">
      <c r="A197" s="81" t="n">
        <v>45443</v>
      </c>
      <c r="B197" s="82" t="n">
        <v>2024</v>
      </c>
      <c r="C197" s="82" t="n">
        <v>5</v>
      </c>
      <c r="D197" s="83" t="s">
        <v>334</v>
      </c>
      <c r="E197" s="83" t="s">
        <v>295</v>
      </c>
      <c r="F197" s="83" t="s">
        <v>73</v>
      </c>
      <c r="G197" s="76" t="n">
        <v>16438</v>
      </c>
      <c r="H197" s="76" t="n">
        <v>12375</v>
      </c>
      <c r="I197" s="37" t="n">
        <f aca="false">G197-H197</f>
        <v>4063</v>
      </c>
      <c r="J197" s="83" t="s">
        <v>493</v>
      </c>
    </row>
    <row r="198" customFormat="false" ht="15" hidden="false" customHeight="false" outlineLevel="0" collapsed="false">
      <c r="A198" s="81" t="n">
        <v>45443</v>
      </c>
      <c r="B198" s="82" t="n">
        <v>2024</v>
      </c>
      <c r="C198" s="82" t="n">
        <v>5</v>
      </c>
      <c r="D198" s="83" t="s">
        <v>334</v>
      </c>
      <c r="E198" s="83" t="s">
        <v>297</v>
      </c>
      <c r="F198" s="83" t="s">
        <v>73</v>
      </c>
      <c r="G198" s="76" t="n">
        <v>6878</v>
      </c>
      <c r="H198" s="76" t="n">
        <v>5151</v>
      </c>
      <c r="I198" s="37" t="n">
        <f aca="false">G198-H198</f>
        <v>1727</v>
      </c>
      <c r="J198" s="83" t="s">
        <v>494</v>
      </c>
    </row>
    <row r="199" customFormat="false" ht="15" hidden="false" customHeight="false" outlineLevel="0" collapsed="false">
      <c r="A199" s="81" t="n">
        <v>45443</v>
      </c>
      <c r="B199" s="82" t="n">
        <v>2024</v>
      </c>
      <c r="C199" s="82" t="n">
        <v>5</v>
      </c>
      <c r="D199" s="83" t="s">
        <v>334</v>
      </c>
      <c r="E199" s="83" t="s">
        <v>299</v>
      </c>
      <c r="F199" s="83" t="s">
        <v>73</v>
      </c>
      <c r="G199" s="76" t="n">
        <v>5661</v>
      </c>
      <c r="H199" s="76" t="n">
        <v>4259</v>
      </c>
      <c r="I199" s="37" t="n">
        <f aca="false">G199-H199</f>
        <v>1402</v>
      </c>
      <c r="J199" s="83" t="s">
        <v>495</v>
      </c>
    </row>
    <row r="200" customFormat="false" ht="15" hidden="false" customHeight="false" outlineLevel="0" collapsed="false">
      <c r="A200" s="81" t="n">
        <v>45443</v>
      </c>
      <c r="B200" s="82" t="n">
        <v>2024</v>
      </c>
      <c r="C200" s="82" t="n">
        <v>5</v>
      </c>
      <c r="D200" s="83" t="s">
        <v>334</v>
      </c>
      <c r="E200" s="83" t="s">
        <v>295</v>
      </c>
      <c r="F200" s="83" t="s">
        <v>74</v>
      </c>
      <c r="G200" s="76" t="n">
        <v>13042</v>
      </c>
      <c r="H200" s="76" t="n">
        <v>9614</v>
      </c>
      <c r="I200" s="37" t="n">
        <f aca="false">G200-H200</f>
        <v>3428</v>
      </c>
      <c r="J200" s="83" t="s">
        <v>496</v>
      </c>
    </row>
    <row r="201" customFormat="false" ht="15" hidden="false" customHeight="false" outlineLevel="0" collapsed="false">
      <c r="A201" s="81" t="n">
        <v>45443</v>
      </c>
      <c r="B201" s="82" t="n">
        <v>2024</v>
      </c>
      <c r="C201" s="82" t="n">
        <v>5</v>
      </c>
      <c r="D201" s="83" t="s">
        <v>334</v>
      </c>
      <c r="E201" s="83" t="s">
        <v>297</v>
      </c>
      <c r="F201" s="83" t="s">
        <v>74</v>
      </c>
      <c r="G201" s="76" t="n">
        <v>5163</v>
      </c>
      <c r="H201" s="76" t="n">
        <v>3796</v>
      </c>
      <c r="I201" s="37" t="n">
        <f aca="false">G201-H201</f>
        <v>1367</v>
      </c>
      <c r="J201" s="83" t="s">
        <v>497</v>
      </c>
    </row>
    <row r="202" customFormat="false" ht="15" hidden="false" customHeight="false" outlineLevel="0" collapsed="false">
      <c r="A202" s="81" t="n">
        <v>45443</v>
      </c>
      <c r="B202" s="82" t="n">
        <v>2024</v>
      </c>
      <c r="C202" s="82" t="n">
        <v>5</v>
      </c>
      <c r="D202" s="83" t="s">
        <v>334</v>
      </c>
      <c r="E202" s="83" t="s">
        <v>299</v>
      </c>
      <c r="F202" s="83" t="s">
        <v>74</v>
      </c>
      <c r="G202" s="76" t="n">
        <v>4330</v>
      </c>
      <c r="H202" s="76" t="n">
        <v>3178</v>
      </c>
      <c r="I202" s="37" t="n">
        <f aca="false">G202-H202</f>
        <v>1152</v>
      </c>
      <c r="J202" s="83" t="s">
        <v>498</v>
      </c>
    </row>
    <row r="203" customFormat="false" ht="15" hidden="false" customHeight="false" outlineLevel="0" collapsed="false">
      <c r="A203" s="81" t="n">
        <v>45443</v>
      </c>
      <c r="B203" s="82" t="n">
        <v>2024</v>
      </c>
      <c r="C203" s="82" t="n">
        <v>5</v>
      </c>
      <c r="D203" s="83" t="s">
        <v>334</v>
      </c>
      <c r="E203" s="83" t="s">
        <v>295</v>
      </c>
      <c r="F203" s="83" t="s">
        <v>75</v>
      </c>
      <c r="G203" s="76" t="n">
        <v>7568</v>
      </c>
      <c r="H203" s="76" t="n">
        <v>5308</v>
      </c>
      <c r="I203" s="37" t="n">
        <f aca="false">G203-H203</f>
        <v>2260</v>
      </c>
      <c r="J203" s="83" t="s">
        <v>499</v>
      </c>
    </row>
    <row r="204" customFormat="false" ht="15" hidden="false" customHeight="false" outlineLevel="0" collapsed="false">
      <c r="A204" s="81" t="n">
        <v>45443</v>
      </c>
      <c r="B204" s="82" t="n">
        <v>2024</v>
      </c>
      <c r="C204" s="82" t="n">
        <v>5</v>
      </c>
      <c r="D204" s="83" t="s">
        <v>334</v>
      </c>
      <c r="E204" s="83" t="s">
        <v>297</v>
      </c>
      <c r="F204" s="83" t="s">
        <v>75</v>
      </c>
      <c r="G204" s="76" t="n">
        <v>3088</v>
      </c>
      <c r="H204" s="76" t="n">
        <v>2178</v>
      </c>
      <c r="I204" s="37" t="n">
        <f aca="false">G204-H204</f>
        <v>910</v>
      </c>
      <c r="J204" s="83" t="s">
        <v>500</v>
      </c>
    </row>
    <row r="205" customFormat="false" ht="15" hidden="false" customHeight="false" outlineLevel="0" collapsed="false">
      <c r="A205" s="81" t="n">
        <v>45443</v>
      </c>
      <c r="B205" s="82" t="n">
        <v>2024</v>
      </c>
      <c r="C205" s="82" t="n">
        <v>5</v>
      </c>
      <c r="D205" s="83" t="s">
        <v>334</v>
      </c>
      <c r="E205" s="83" t="s">
        <v>299</v>
      </c>
      <c r="F205" s="83" t="s">
        <v>75</v>
      </c>
      <c r="G205" s="76" t="n">
        <v>2643</v>
      </c>
      <c r="H205" s="76" t="n">
        <v>1866</v>
      </c>
      <c r="I205" s="37" t="n">
        <f aca="false">G205-H205</f>
        <v>777</v>
      </c>
      <c r="J205" s="83" t="s">
        <v>501</v>
      </c>
    </row>
    <row r="206" customFormat="false" ht="15" hidden="false" customHeight="false" outlineLevel="0" collapsed="false">
      <c r="A206" s="81" t="n">
        <v>45443</v>
      </c>
      <c r="B206" s="82" t="n">
        <v>2024</v>
      </c>
      <c r="C206" s="82" t="n">
        <v>5</v>
      </c>
      <c r="D206" s="83" t="s">
        <v>334</v>
      </c>
      <c r="E206" s="83" t="s">
        <v>295</v>
      </c>
      <c r="F206" s="83" t="s">
        <v>76</v>
      </c>
      <c r="G206" s="76" t="n">
        <v>5315</v>
      </c>
      <c r="H206" s="76" t="n">
        <v>4317</v>
      </c>
      <c r="I206" s="37" t="n">
        <f aca="false">G206-H206</f>
        <v>998</v>
      </c>
      <c r="J206" s="83" t="s">
        <v>502</v>
      </c>
    </row>
    <row r="207" customFormat="false" ht="15" hidden="false" customHeight="false" outlineLevel="0" collapsed="false">
      <c r="A207" s="81" t="n">
        <v>45443</v>
      </c>
      <c r="B207" s="82" t="n">
        <v>2024</v>
      </c>
      <c r="C207" s="82" t="n">
        <v>5</v>
      </c>
      <c r="D207" s="83" t="s">
        <v>334</v>
      </c>
      <c r="E207" s="83" t="s">
        <v>297</v>
      </c>
      <c r="F207" s="83" t="s">
        <v>76</v>
      </c>
      <c r="G207" s="76" t="n">
        <v>2127</v>
      </c>
      <c r="H207" s="76" t="n">
        <v>1728</v>
      </c>
      <c r="I207" s="37" t="n">
        <f aca="false">G207-H207</f>
        <v>399</v>
      </c>
      <c r="J207" s="83" t="s">
        <v>503</v>
      </c>
    </row>
    <row r="208" customFormat="false" ht="15" hidden="false" customHeight="false" outlineLevel="0" collapsed="false">
      <c r="A208" s="81" t="n">
        <v>45443</v>
      </c>
      <c r="B208" s="82" t="n">
        <v>2024</v>
      </c>
      <c r="C208" s="82" t="n">
        <v>5</v>
      </c>
      <c r="D208" s="83" t="s">
        <v>334</v>
      </c>
      <c r="E208" s="83" t="s">
        <v>299</v>
      </c>
      <c r="F208" s="83" t="s">
        <v>76</v>
      </c>
      <c r="G208" s="76" t="n">
        <v>1802</v>
      </c>
      <c r="H208" s="76" t="n">
        <v>1470</v>
      </c>
      <c r="I208" s="37" t="n">
        <f aca="false">G208-H208</f>
        <v>332</v>
      </c>
      <c r="J208" s="83" t="s">
        <v>504</v>
      </c>
    </row>
    <row r="209" customFormat="false" ht="15" hidden="false" customHeight="false" outlineLevel="0" collapsed="false">
      <c r="A209" s="81" t="n">
        <v>45473</v>
      </c>
      <c r="B209" s="82" t="n">
        <v>2024</v>
      </c>
      <c r="C209" s="82" t="n">
        <v>6</v>
      </c>
      <c r="D209" s="83" t="s">
        <v>334</v>
      </c>
      <c r="E209" s="83" t="s">
        <v>295</v>
      </c>
      <c r="F209" s="83" t="s">
        <v>73</v>
      </c>
      <c r="G209" s="76" t="n">
        <v>16749</v>
      </c>
      <c r="H209" s="76" t="n">
        <v>12653</v>
      </c>
      <c r="I209" s="37" t="n">
        <f aca="false">G209-H209</f>
        <v>4096</v>
      </c>
      <c r="J209" s="83" t="s">
        <v>505</v>
      </c>
    </row>
    <row r="210" customFormat="false" ht="15" hidden="false" customHeight="false" outlineLevel="0" collapsed="false">
      <c r="A210" s="81" t="n">
        <v>45473</v>
      </c>
      <c r="B210" s="82" t="n">
        <v>2024</v>
      </c>
      <c r="C210" s="82" t="n">
        <v>6</v>
      </c>
      <c r="D210" s="83" t="s">
        <v>334</v>
      </c>
      <c r="E210" s="83" t="s">
        <v>297</v>
      </c>
      <c r="F210" s="83" t="s">
        <v>73</v>
      </c>
      <c r="G210" s="76" t="n">
        <v>6751</v>
      </c>
      <c r="H210" s="76" t="n">
        <v>5046</v>
      </c>
      <c r="I210" s="37" t="n">
        <f aca="false">G210-H210</f>
        <v>1705</v>
      </c>
      <c r="J210" s="83" t="s">
        <v>506</v>
      </c>
    </row>
    <row r="211" customFormat="false" ht="15" hidden="false" customHeight="false" outlineLevel="0" collapsed="false">
      <c r="A211" s="81" t="n">
        <v>45473</v>
      </c>
      <c r="B211" s="82" t="n">
        <v>2024</v>
      </c>
      <c r="C211" s="82" t="n">
        <v>6</v>
      </c>
      <c r="D211" s="83" t="s">
        <v>334</v>
      </c>
      <c r="E211" s="83" t="s">
        <v>299</v>
      </c>
      <c r="F211" s="83" t="s">
        <v>73</v>
      </c>
      <c r="G211" s="76" t="n">
        <v>5632</v>
      </c>
      <c r="H211" s="76" t="n">
        <v>4229</v>
      </c>
      <c r="I211" s="37" t="n">
        <f aca="false">G211-H211</f>
        <v>1403</v>
      </c>
      <c r="J211" s="83" t="s">
        <v>507</v>
      </c>
    </row>
    <row r="212" customFormat="false" ht="15" hidden="false" customHeight="false" outlineLevel="0" collapsed="false">
      <c r="A212" s="81" t="n">
        <v>45473</v>
      </c>
      <c r="B212" s="82" t="n">
        <v>2024</v>
      </c>
      <c r="C212" s="82" t="n">
        <v>6</v>
      </c>
      <c r="D212" s="83" t="s">
        <v>334</v>
      </c>
      <c r="E212" s="83" t="s">
        <v>295</v>
      </c>
      <c r="F212" s="83" t="s">
        <v>74</v>
      </c>
      <c r="G212" s="76" t="n">
        <v>12809</v>
      </c>
      <c r="H212" s="76" t="n">
        <v>9350</v>
      </c>
      <c r="I212" s="37" t="n">
        <f aca="false">G212-H212</f>
        <v>3459</v>
      </c>
      <c r="J212" s="83" t="s">
        <v>508</v>
      </c>
    </row>
    <row r="213" customFormat="false" ht="15" hidden="false" customHeight="false" outlineLevel="0" collapsed="false">
      <c r="A213" s="81" t="n">
        <v>45473</v>
      </c>
      <c r="B213" s="82" t="n">
        <v>2024</v>
      </c>
      <c r="C213" s="82" t="n">
        <v>6</v>
      </c>
      <c r="D213" s="83" t="s">
        <v>334</v>
      </c>
      <c r="E213" s="83" t="s">
        <v>297</v>
      </c>
      <c r="F213" s="83" t="s">
        <v>74</v>
      </c>
      <c r="G213" s="76" t="n">
        <v>5247</v>
      </c>
      <c r="H213" s="76" t="n">
        <v>3829</v>
      </c>
      <c r="I213" s="37" t="n">
        <f aca="false">G213-H213</f>
        <v>1418</v>
      </c>
      <c r="J213" s="83" t="s">
        <v>509</v>
      </c>
    </row>
    <row r="214" customFormat="false" ht="15" hidden="false" customHeight="false" outlineLevel="0" collapsed="false">
      <c r="A214" s="81" t="n">
        <v>45473</v>
      </c>
      <c r="B214" s="82" t="n">
        <v>2024</v>
      </c>
      <c r="C214" s="82" t="n">
        <v>6</v>
      </c>
      <c r="D214" s="83" t="s">
        <v>334</v>
      </c>
      <c r="E214" s="83" t="s">
        <v>299</v>
      </c>
      <c r="F214" s="83" t="s">
        <v>74</v>
      </c>
      <c r="G214" s="76" t="n">
        <v>4548</v>
      </c>
      <c r="H214" s="76" t="n">
        <v>3333</v>
      </c>
      <c r="I214" s="37" t="n">
        <f aca="false">G214-H214</f>
        <v>1215</v>
      </c>
      <c r="J214" s="83" t="s">
        <v>510</v>
      </c>
    </row>
    <row r="215" customFormat="false" ht="15" hidden="false" customHeight="false" outlineLevel="0" collapsed="false">
      <c r="A215" s="81" t="n">
        <v>45473</v>
      </c>
      <c r="B215" s="82" t="n">
        <v>2024</v>
      </c>
      <c r="C215" s="82" t="n">
        <v>6</v>
      </c>
      <c r="D215" s="83" t="s">
        <v>334</v>
      </c>
      <c r="E215" s="83" t="s">
        <v>295</v>
      </c>
      <c r="F215" s="83" t="s">
        <v>75</v>
      </c>
      <c r="G215" s="76" t="n">
        <v>7670</v>
      </c>
      <c r="H215" s="76" t="n">
        <v>5399</v>
      </c>
      <c r="I215" s="37" t="n">
        <f aca="false">G215-H215</f>
        <v>2271</v>
      </c>
      <c r="J215" s="83" t="s">
        <v>511</v>
      </c>
    </row>
    <row r="216" customFormat="false" ht="15" hidden="false" customHeight="false" outlineLevel="0" collapsed="false">
      <c r="A216" s="81" t="n">
        <v>45473</v>
      </c>
      <c r="B216" s="82" t="n">
        <v>2024</v>
      </c>
      <c r="C216" s="82" t="n">
        <v>6</v>
      </c>
      <c r="D216" s="83" t="s">
        <v>334</v>
      </c>
      <c r="E216" s="83" t="s">
        <v>297</v>
      </c>
      <c r="F216" s="83" t="s">
        <v>75</v>
      </c>
      <c r="G216" s="76" t="n">
        <v>2979</v>
      </c>
      <c r="H216" s="76" t="n">
        <v>2094</v>
      </c>
      <c r="I216" s="37" t="n">
        <f aca="false">G216-H216</f>
        <v>885</v>
      </c>
      <c r="J216" s="83" t="s">
        <v>512</v>
      </c>
    </row>
    <row r="217" customFormat="false" ht="15" hidden="false" customHeight="false" outlineLevel="0" collapsed="false">
      <c r="A217" s="81" t="n">
        <v>45473</v>
      </c>
      <c r="B217" s="82" t="n">
        <v>2024</v>
      </c>
      <c r="C217" s="82" t="n">
        <v>6</v>
      </c>
      <c r="D217" s="83" t="s">
        <v>334</v>
      </c>
      <c r="E217" s="83" t="s">
        <v>299</v>
      </c>
      <c r="F217" s="83" t="s">
        <v>75</v>
      </c>
      <c r="G217" s="76" t="n">
        <v>2566</v>
      </c>
      <c r="H217" s="76" t="n">
        <v>1798</v>
      </c>
      <c r="I217" s="37" t="n">
        <f aca="false">G217-H217</f>
        <v>768</v>
      </c>
      <c r="J217" s="83" t="s">
        <v>513</v>
      </c>
    </row>
    <row r="218" customFormat="false" ht="15" hidden="false" customHeight="false" outlineLevel="0" collapsed="false">
      <c r="A218" s="81" t="n">
        <v>45473</v>
      </c>
      <c r="B218" s="82" t="n">
        <v>2024</v>
      </c>
      <c r="C218" s="82" t="n">
        <v>6</v>
      </c>
      <c r="D218" s="83" t="s">
        <v>334</v>
      </c>
      <c r="E218" s="83" t="s">
        <v>295</v>
      </c>
      <c r="F218" s="83" t="s">
        <v>76</v>
      </c>
      <c r="G218" s="76" t="n">
        <v>5527</v>
      </c>
      <c r="H218" s="76" t="n">
        <v>4468</v>
      </c>
      <c r="I218" s="37" t="n">
        <f aca="false">G218-H218</f>
        <v>1059</v>
      </c>
      <c r="J218" s="83" t="s">
        <v>514</v>
      </c>
    </row>
    <row r="219" customFormat="false" ht="15" hidden="false" customHeight="false" outlineLevel="0" collapsed="false">
      <c r="A219" s="81" t="n">
        <v>45473</v>
      </c>
      <c r="B219" s="82" t="n">
        <v>2024</v>
      </c>
      <c r="C219" s="82" t="n">
        <v>6</v>
      </c>
      <c r="D219" s="83" t="s">
        <v>334</v>
      </c>
      <c r="E219" s="83" t="s">
        <v>297</v>
      </c>
      <c r="F219" s="83" t="s">
        <v>76</v>
      </c>
      <c r="G219" s="76" t="n">
        <v>2160</v>
      </c>
      <c r="H219" s="76" t="n">
        <v>1761</v>
      </c>
      <c r="I219" s="37" t="n">
        <f aca="false">G219-H219</f>
        <v>399</v>
      </c>
      <c r="J219" s="83" t="s">
        <v>515</v>
      </c>
    </row>
    <row r="220" customFormat="false" ht="15" hidden="false" customHeight="false" outlineLevel="0" collapsed="false">
      <c r="A220" s="81" t="n">
        <v>45473</v>
      </c>
      <c r="B220" s="82" t="n">
        <v>2024</v>
      </c>
      <c r="C220" s="82" t="n">
        <v>6</v>
      </c>
      <c r="D220" s="83" t="s">
        <v>334</v>
      </c>
      <c r="E220" s="83" t="s">
        <v>299</v>
      </c>
      <c r="F220" s="83" t="s">
        <v>76</v>
      </c>
      <c r="G220" s="76" t="n">
        <v>1850</v>
      </c>
      <c r="H220" s="76" t="n">
        <v>1501</v>
      </c>
      <c r="I220" s="37" t="n">
        <f aca="false">G220-H220</f>
        <v>349</v>
      </c>
      <c r="J220" s="83" t="s">
        <v>516</v>
      </c>
    </row>
    <row r="221" customFormat="false" ht="15" hidden="false" customHeight="false" outlineLevel="0" collapsed="false">
      <c r="A221" s="81" t="n">
        <v>45504</v>
      </c>
      <c r="B221" s="82" t="n">
        <v>2024</v>
      </c>
      <c r="C221" s="82" t="n">
        <v>7</v>
      </c>
      <c r="D221" s="83" t="s">
        <v>371</v>
      </c>
      <c r="E221" s="83" t="s">
        <v>295</v>
      </c>
      <c r="F221" s="83" t="s">
        <v>73</v>
      </c>
      <c r="G221" s="76" t="n">
        <v>17329</v>
      </c>
      <c r="H221" s="76" t="n">
        <v>12966</v>
      </c>
      <c r="I221" s="37" t="n">
        <f aca="false">G221-H221</f>
        <v>4363</v>
      </c>
      <c r="J221" s="83" t="s">
        <v>517</v>
      </c>
    </row>
    <row r="222" customFormat="false" ht="15" hidden="false" customHeight="false" outlineLevel="0" collapsed="false">
      <c r="A222" s="81" t="n">
        <v>45504</v>
      </c>
      <c r="B222" s="82" t="n">
        <v>2024</v>
      </c>
      <c r="C222" s="82" t="n">
        <v>7</v>
      </c>
      <c r="D222" s="83" t="s">
        <v>371</v>
      </c>
      <c r="E222" s="83" t="s">
        <v>297</v>
      </c>
      <c r="F222" s="83" t="s">
        <v>73</v>
      </c>
      <c r="G222" s="76" t="n">
        <v>7012</v>
      </c>
      <c r="H222" s="76" t="n">
        <v>5247</v>
      </c>
      <c r="I222" s="37" t="n">
        <f aca="false">G222-H222</f>
        <v>1765</v>
      </c>
      <c r="J222" s="83" t="s">
        <v>518</v>
      </c>
    </row>
    <row r="223" customFormat="false" ht="15" hidden="false" customHeight="false" outlineLevel="0" collapsed="false">
      <c r="A223" s="81" t="n">
        <v>45504</v>
      </c>
      <c r="B223" s="82" t="n">
        <v>2024</v>
      </c>
      <c r="C223" s="82" t="n">
        <v>7</v>
      </c>
      <c r="D223" s="83" t="s">
        <v>371</v>
      </c>
      <c r="E223" s="83" t="s">
        <v>299</v>
      </c>
      <c r="F223" s="83" t="s">
        <v>73</v>
      </c>
      <c r="G223" s="76" t="n">
        <v>5845</v>
      </c>
      <c r="H223" s="76" t="n">
        <v>4386</v>
      </c>
      <c r="I223" s="37" t="n">
        <f aca="false">G223-H223</f>
        <v>1459</v>
      </c>
      <c r="J223" s="83" t="s">
        <v>519</v>
      </c>
    </row>
    <row r="224" customFormat="false" ht="15" hidden="false" customHeight="false" outlineLevel="0" collapsed="false">
      <c r="A224" s="81" t="n">
        <v>45504</v>
      </c>
      <c r="B224" s="82" t="n">
        <v>2024</v>
      </c>
      <c r="C224" s="82" t="n">
        <v>7</v>
      </c>
      <c r="D224" s="83" t="s">
        <v>371</v>
      </c>
      <c r="E224" s="83" t="s">
        <v>295</v>
      </c>
      <c r="F224" s="83" t="s">
        <v>74</v>
      </c>
      <c r="G224" s="76" t="n">
        <v>12730</v>
      </c>
      <c r="H224" s="76" t="n">
        <v>9300</v>
      </c>
      <c r="I224" s="37" t="n">
        <f aca="false">G224-H224</f>
        <v>3430</v>
      </c>
      <c r="J224" s="83" t="s">
        <v>520</v>
      </c>
    </row>
    <row r="225" customFormat="false" ht="15" hidden="false" customHeight="false" outlineLevel="0" collapsed="false">
      <c r="A225" s="81" t="n">
        <v>45504</v>
      </c>
      <c r="B225" s="82" t="n">
        <v>2024</v>
      </c>
      <c r="C225" s="82" t="n">
        <v>7</v>
      </c>
      <c r="D225" s="83" t="s">
        <v>371</v>
      </c>
      <c r="E225" s="83" t="s">
        <v>297</v>
      </c>
      <c r="F225" s="83" t="s">
        <v>74</v>
      </c>
      <c r="G225" s="76" t="n">
        <v>4963</v>
      </c>
      <c r="H225" s="76" t="n">
        <v>3638</v>
      </c>
      <c r="I225" s="37" t="n">
        <f aca="false">G225-H225</f>
        <v>1325</v>
      </c>
      <c r="J225" s="83" t="s">
        <v>521</v>
      </c>
    </row>
    <row r="226" customFormat="false" ht="15" hidden="false" customHeight="false" outlineLevel="0" collapsed="false">
      <c r="A226" s="81" t="n">
        <v>45504</v>
      </c>
      <c r="B226" s="82" t="n">
        <v>2024</v>
      </c>
      <c r="C226" s="82" t="n">
        <v>7</v>
      </c>
      <c r="D226" s="83" t="s">
        <v>371</v>
      </c>
      <c r="E226" s="83" t="s">
        <v>299</v>
      </c>
      <c r="F226" s="83" t="s">
        <v>74</v>
      </c>
      <c r="G226" s="76" t="n">
        <v>4210</v>
      </c>
      <c r="H226" s="76" t="n">
        <v>3101</v>
      </c>
      <c r="I226" s="37" t="n">
        <f aca="false">G226-H226</f>
        <v>1109</v>
      </c>
      <c r="J226" s="83" t="s">
        <v>522</v>
      </c>
    </row>
    <row r="227" customFormat="false" ht="15" hidden="false" customHeight="false" outlineLevel="0" collapsed="false">
      <c r="A227" s="81" t="n">
        <v>45504</v>
      </c>
      <c r="B227" s="82" t="n">
        <v>2024</v>
      </c>
      <c r="C227" s="82" t="n">
        <v>7</v>
      </c>
      <c r="D227" s="83" t="s">
        <v>371</v>
      </c>
      <c r="E227" s="83" t="s">
        <v>295</v>
      </c>
      <c r="F227" s="83" t="s">
        <v>75</v>
      </c>
      <c r="G227" s="76" t="n">
        <v>7832</v>
      </c>
      <c r="H227" s="76" t="n">
        <v>5522</v>
      </c>
      <c r="I227" s="37" t="n">
        <f aca="false">G227-H227</f>
        <v>2310</v>
      </c>
      <c r="J227" s="83" t="s">
        <v>523</v>
      </c>
    </row>
    <row r="228" customFormat="false" ht="15" hidden="false" customHeight="false" outlineLevel="0" collapsed="false">
      <c r="A228" s="81" t="n">
        <v>45504</v>
      </c>
      <c r="B228" s="82" t="n">
        <v>2024</v>
      </c>
      <c r="C228" s="82" t="n">
        <v>7</v>
      </c>
      <c r="D228" s="83" t="s">
        <v>371</v>
      </c>
      <c r="E228" s="83" t="s">
        <v>297</v>
      </c>
      <c r="F228" s="83" t="s">
        <v>75</v>
      </c>
      <c r="G228" s="76" t="n">
        <v>3073</v>
      </c>
      <c r="H228" s="76" t="n">
        <v>2149</v>
      </c>
      <c r="I228" s="37" t="n">
        <f aca="false">G228-H228</f>
        <v>924</v>
      </c>
      <c r="J228" s="83" t="s">
        <v>524</v>
      </c>
    </row>
    <row r="229" customFormat="false" ht="15" hidden="false" customHeight="false" outlineLevel="0" collapsed="false">
      <c r="A229" s="81" t="n">
        <v>45504</v>
      </c>
      <c r="B229" s="82" t="n">
        <v>2024</v>
      </c>
      <c r="C229" s="82" t="n">
        <v>7</v>
      </c>
      <c r="D229" s="83" t="s">
        <v>371</v>
      </c>
      <c r="E229" s="83" t="s">
        <v>299</v>
      </c>
      <c r="F229" s="83" t="s">
        <v>75</v>
      </c>
      <c r="G229" s="76" t="n">
        <v>2669</v>
      </c>
      <c r="H229" s="76" t="n">
        <v>1867</v>
      </c>
      <c r="I229" s="37" t="n">
        <f aca="false">G229-H229</f>
        <v>802</v>
      </c>
      <c r="J229" s="83" t="s">
        <v>525</v>
      </c>
    </row>
    <row r="230" customFormat="false" ht="15" hidden="false" customHeight="false" outlineLevel="0" collapsed="false">
      <c r="A230" s="81" t="n">
        <v>45504</v>
      </c>
      <c r="B230" s="82" t="n">
        <v>2024</v>
      </c>
      <c r="C230" s="82" t="n">
        <v>7</v>
      </c>
      <c r="D230" s="83" t="s">
        <v>371</v>
      </c>
      <c r="E230" s="83" t="s">
        <v>295</v>
      </c>
      <c r="F230" s="83" t="s">
        <v>76</v>
      </c>
      <c r="G230" s="76" t="n">
        <v>5538</v>
      </c>
      <c r="H230" s="76" t="n">
        <v>4489</v>
      </c>
      <c r="I230" s="37" t="n">
        <f aca="false">G230-H230</f>
        <v>1049</v>
      </c>
      <c r="J230" s="83" t="s">
        <v>526</v>
      </c>
    </row>
    <row r="231" customFormat="false" ht="15" hidden="false" customHeight="false" outlineLevel="0" collapsed="false">
      <c r="A231" s="81" t="n">
        <v>45504</v>
      </c>
      <c r="B231" s="82" t="n">
        <v>2024</v>
      </c>
      <c r="C231" s="82" t="n">
        <v>7</v>
      </c>
      <c r="D231" s="83" t="s">
        <v>371</v>
      </c>
      <c r="E231" s="83" t="s">
        <v>297</v>
      </c>
      <c r="F231" s="83" t="s">
        <v>76</v>
      </c>
      <c r="G231" s="76" t="n">
        <v>2228</v>
      </c>
      <c r="H231" s="76" t="n">
        <v>1807</v>
      </c>
      <c r="I231" s="37" t="n">
        <f aca="false">G231-H231</f>
        <v>421</v>
      </c>
      <c r="J231" s="83" t="s">
        <v>527</v>
      </c>
    </row>
    <row r="232" customFormat="false" ht="15" hidden="false" customHeight="false" outlineLevel="0" collapsed="false">
      <c r="A232" s="81" t="n">
        <v>45504</v>
      </c>
      <c r="B232" s="82" t="n">
        <v>2024</v>
      </c>
      <c r="C232" s="82" t="n">
        <v>7</v>
      </c>
      <c r="D232" s="83" t="s">
        <v>371</v>
      </c>
      <c r="E232" s="83" t="s">
        <v>299</v>
      </c>
      <c r="F232" s="83" t="s">
        <v>76</v>
      </c>
      <c r="G232" s="76" t="n">
        <v>1891</v>
      </c>
      <c r="H232" s="76" t="n">
        <v>1533</v>
      </c>
      <c r="I232" s="37" t="n">
        <f aca="false">G232-H232</f>
        <v>358</v>
      </c>
      <c r="J232" s="83" t="s">
        <v>528</v>
      </c>
    </row>
    <row r="233" customFormat="false" ht="15" hidden="false" customHeight="false" outlineLevel="0" collapsed="false">
      <c r="A233" s="81" t="n">
        <v>45535</v>
      </c>
      <c r="B233" s="82" t="n">
        <v>2024</v>
      </c>
      <c r="C233" s="82" t="n">
        <v>8</v>
      </c>
      <c r="D233" s="83" t="s">
        <v>371</v>
      </c>
      <c r="E233" s="83" t="s">
        <v>295</v>
      </c>
      <c r="F233" s="83" t="s">
        <v>73</v>
      </c>
      <c r="G233" s="76" t="n">
        <v>17215</v>
      </c>
      <c r="H233" s="76" t="n">
        <v>12983</v>
      </c>
      <c r="I233" s="37" t="n">
        <f aca="false">G233-H233</f>
        <v>4232</v>
      </c>
      <c r="J233" s="83" t="s">
        <v>529</v>
      </c>
    </row>
    <row r="234" customFormat="false" ht="15" hidden="false" customHeight="false" outlineLevel="0" collapsed="false">
      <c r="A234" s="81" t="n">
        <v>45535</v>
      </c>
      <c r="B234" s="82" t="n">
        <v>2024</v>
      </c>
      <c r="C234" s="82" t="n">
        <v>8</v>
      </c>
      <c r="D234" s="83" t="s">
        <v>371</v>
      </c>
      <c r="E234" s="83" t="s">
        <v>297</v>
      </c>
      <c r="F234" s="83" t="s">
        <v>73</v>
      </c>
      <c r="G234" s="76" t="n">
        <v>7098</v>
      </c>
      <c r="H234" s="76" t="n">
        <v>5314</v>
      </c>
      <c r="I234" s="37" t="n">
        <f aca="false">G234-H234</f>
        <v>1784</v>
      </c>
      <c r="J234" s="83" t="s">
        <v>530</v>
      </c>
    </row>
    <row r="235" customFormat="false" ht="15" hidden="false" customHeight="false" outlineLevel="0" collapsed="false">
      <c r="A235" s="81" t="n">
        <v>45535</v>
      </c>
      <c r="B235" s="82" t="n">
        <v>2024</v>
      </c>
      <c r="C235" s="82" t="n">
        <v>8</v>
      </c>
      <c r="D235" s="83" t="s">
        <v>371</v>
      </c>
      <c r="E235" s="83" t="s">
        <v>299</v>
      </c>
      <c r="F235" s="83" t="s">
        <v>73</v>
      </c>
      <c r="G235" s="76" t="n">
        <v>5879</v>
      </c>
      <c r="H235" s="76" t="n">
        <v>4439</v>
      </c>
      <c r="I235" s="37" t="n">
        <f aca="false">G235-H235</f>
        <v>1440</v>
      </c>
      <c r="J235" s="83" t="s">
        <v>531</v>
      </c>
    </row>
    <row r="236" customFormat="false" ht="15" hidden="false" customHeight="false" outlineLevel="0" collapsed="false">
      <c r="A236" s="81" t="n">
        <v>45535</v>
      </c>
      <c r="B236" s="82" t="n">
        <v>2024</v>
      </c>
      <c r="C236" s="82" t="n">
        <v>8</v>
      </c>
      <c r="D236" s="83" t="s">
        <v>371</v>
      </c>
      <c r="E236" s="83" t="s">
        <v>295</v>
      </c>
      <c r="F236" s="83" t="s">
        <v>74</v>
      </c>
      <c r="G236" s="76" t="n">
        <v>12647</v>
      </c>
      <c r="H236" s="76" t="n">
        <v>9308</v>
      </c>
      <c r="I236" s="37" t="n">
        <f aca="false">G236-H236</f>
        <v>3339</v>
      </c>
      <c r="J236" s="83" t="s">
        <v>532</v>
      </c>
    </row>
    <row r="237" customFormat="false" ht="15" hidden="false" customHeight="false" outlineLevel="0" collapsed="false">
      <c r="A237" s="81" t="n">
        <v>45535</v>
      </c>
      <c r="B237" s="82" t="n">
        <v>2024</v>
      </c>
      <c r="C237" s="82" t="n">
        <v>8</v>
      </c>
      <c r="D237" s="83" t="s">
        <v>371</v>
      </c>
      <c r="E237" s="83" t="s">
        <v>297</v>
      </c>
      <c r="F237" s="83" t="s">
        <v>74</v>
      </c>
      <c r="G237" s="76" t="n">
        <v>5097</v>
      </c>
      <c r="H237" s="76" t="n">
        <v>3720</v>
      </c>
      <c r="I237" s="37" t="n">
        <f aca="false">G237-H237</f>
        <v>1377</v>
      </c>
      <c r="J237" s="83" t="s">
        <v>533</v>
      </c>
    </row>
    <row r="238" customFormat="false" ht="15" hidden="false" customHeight="false" outlineLevel="0" collapsed="false">
      <c r="A238" s="81" t="n">
        <v>45535</v>
      </c>
      <c r="B238" s="82" t="n">
        <v>2024</v>
      </c>
      <c r="C238" s="82" t="n">
        <v>8</v>
      </c>
      <c r="D238" s="83" t="s">
        <v>371</v>
      </c>
      <c r="E238" s="83" t="s">
        <v>299</v>
      </c>
      <c r="F238" s="83" t="s">
        <v>74</v>
      </c>
      <c r="G238" s="76" t="n">
        <v>4369</v>
      </c>
      <c r="H238" s="76" t="n">
        <v>3192</v>
      </c>
      <c r="I238" s="37" t="n">
        <f aca="false">G238-H238</f>
        <v>1177</v>
      </c>
      <c r="J238" s="83" t="s">
        <v>534</v>
      </c>
    </row>
    <row r="239" customFormat="false" ht="15" hidden="false" customHeight="false" outlineLevel="0" collapsed="false">
      <c r="A239" s="81" t="n">
        <v>45535</v>
      </c>
      <c r="B239" s="82" t="n">
        <v>2024</v>
      </c>
      <c r="C239" s="82" t="n">
        <v>8</v>
      </c>
      <c r="D239" s="83" t="s">
        <v>371</v>
      </c>
      <c r="E239" s="83" t="s">
        <v>295</v>
      </c>
      <c r="F239" s="83" t="s">
        <v>75</v>
      </c>
      <c r="G239" s="76" t="n">
        <v>8103</v>
      </c>
      <c r="H239" s="76" t="n">
        <v>5692</v>
      </c>
      <c r="I239" s="37" t="n">
        <f aca="false">G239-H239</f>
        <v>2411</v>
      </c>
      <c r="J239" s="83" t="s">
        <v>535</v>
      </c>
    </row>
    <row r="240" customFormat="false" ht="15" hidden="false" customHeight="false" outlineLevel="0" collapsed="false">
      <c r="A240" s="81" t="n">
        <v>45535</v>
      </c>
      <c r="B240" s="82" t="n">
        <v>2024</v>
      </c>
      <c r="C240" s="82" t="n">
        <v>8</v>
      </c>
      <c r="D240" s="83" t="s">
        <v>371</v>
      </c>
      <c r="E240" s="83" t="s">
        <v>297</v>
      </c>
      <c r="F240" s="83" t="s">
        <v>75</v>
      </c>
      <c r="G240" s="76" t="n">
        <v>3081</v>
      </c>
      <c r="H240" s="76" t="n">
        <v>2158</v>
      </c>
      <c r="I240" s="37" t="n">
        <f aca="false">G240-H240</f>
        <v>923</v>
      </c>
      <c r="J240" s="83" t="s">
        <v>536</v>
      </c>
    </row>
    <row r="241" customFormat="false" ht="15" hidden="false" customHeight="false" outlineLevel="0" collapsed="false">
      <c r="A241" s="81" t="n">
        <v>45535</v>
      </c>
      <c r="B241" s="82" t="n">
        <v>2024</v>
      </c>
      <c r="C241" s="82" t="n">
        <v>8</v>
      </c>
      <c r="D241" s="83" t="s">
        <v>371</v>
      </c>
      <c r="E241" s="83" t="s">
        <v>299</v>
      </c>
      <c r="F241" s="83" t="s">
        <v>75</v>
      </c>
      <c r="G241" s="76" t="n">
        <v>2666</v>
      </c>
      <c r="H241" s="76" t="n">
        <v>1869</v>
      </c>
      <c r="I241" s="37" t="n">
        <f aca="false">G241-H241</f>
        <v>797</v>
      </c>
      <c r="J241" s="83" t="s">
        <v>537</v>
      </c>
    </row>
    <row r="242" customFormat="false" ht="15" hidden="false" customHeight="false" outlineLevel="0" collapsed="false">
      <c r="A242" s="81" t="n">
        <v>45535</v>
      </c>
      <c r="B242" s="82" t="n">
        <v>2024</v>
      </c>
      <c r="C242" s="82" t="n">
        <v>8</v>
      </c>
      <c r="D242" s="83" t="s">
        <v>371</v>
      </c>
      <c r="E242" s="83" t="s">
        <v>295</v>
      </c>
      <c r="F242" s="83" t="s">
        <v>76</v>
      </c>
      <c r="G242" s="76" t="n">
        <v>5372</v>
      </c>
      <c r="H242" s="76" t="n">
        <v>4373</v>
      </c>
      <c r="I242" s="37" t="n">
        <f aca="false">G242-H242</f>
        <v>999</v>
      </c>
      <c r="J242" s="83" t="s">
        <v>538</v>
      </c>
    </row>
    <row r="243" customFormat="false" ht="15" hidden="false" customHeight="false" outlineLevel="0" collapsed="false">
      <c r="A243" s="81" t="n">
        <v>45535</v>
      </c>
      <c r="B243" s="82" t="n">
        <v>2024</v>
      </c>
      <c r="C243" s="82" t="n">
        <v>8</v>
      </c>
      <c r="D243" s="83" t="s">
        <v>371</v>
      </c>
      <c r="E243" s="83" t="s">
        <v>297</v>
      </c>
      <c r="F243" s="83" t="s">
        <v>76</v>
      </c>
      <c r="G243" s="76" t="n">
        <v>2235</v>
      </c>
      <c r="H243" s="76" t="n">
        <v>1811</v>
      </c>
      <c r="I243" s="37" t="n">
        <f aca="false">G243-H243</f>
        <v>424</v>
      </c>
      <c r="J243" s="83" t="s">
        <v>539</v>
      </c>
    </row>
    <row r="244" customFormat="false" ht="15" hidden="false" customHeight="false" outlineLevel="0" collapsed="false">
      <c r="A244" s="81" t="n">
        <v>45535</v>
      </c>
      <c r="B244" s="82" t="n">
        <v>2024</v>
      </c>
      <c r="C244" s="82" t="n">
        <v>8</v>
      </c>
      <c r="D244" s="83" t="s">
        <v>371</v>
      </c>
      <c r="E244" s="83" t="s">
        <v>299</v>
      </c>
      <c r="F244" s="83" t="s">
        <v>76</v>
      </c>
      <c r="G244" s="76" t="n">
        <v>1896</v>
      </c>
      <c r="H244" s="76" t="n">
        <v>1547</v>
      </c>
      <c r="I244" s="37" t="n">
        <f aca="false">G244-H244</f>
        <v>349</v>
      </c>
      <c r="J244" s="83" t="s">
        <v>540</v>
      </c>
    </row>
    <row r="245" customFormat="false" ht="15" hidden="false" customHeight="false" outlineLevel="0" collapsed="false">
      <c r="A245" s="81" t="n">
        <v>45565</v>
      </c>
      <c r="B245" s="82" t="n">
        <v>2024</v>
      </c>
      <c r="C245" s="82" t="n">
        <v>9</v>
      </c>
      <c r="D245" s="83" t="s">
        <v>371</v>
      </c>
      <c r="E245" s="83" t="s">
        <v>295</v>
      </c>
      <c r="F245" s="83" t="s">
        <v>73</v>
      </c>
      <c r="G245" s="76" t="n">
        <v>17837</v>
      </c>
      <c r="H245" s="76" t="n">
        <v>13469</v>
      </c>
      <c r="I245" s="37" t="n">
        <f aca="false">G245-H245</f>
        <v>4368</v>
      </c>
      <c r="J245" s="83" t="s">
        <v>541</v>
      </c>
    </row>
    <row r="246" customFormat="false" ht="15" hidden="false" customHeight="false" outlineLevel="0" collapsed="false">
      <c r="A246" s="81" t="n">
        <v>45565</v>
      </c>
      <c r="B246" s="82" t="n">
        <v>2024</v>
      </c>
      <c r="C246" s="82" t="n">
        <v>9</v>
      </c>
      <c r="D246" s="83" t="s">
        <v>371</v>
      </c>
      <c r="E246" s="83" t="s">
        <v>297</v>
      </c>
      <c r="F246" s="83" t="s">
        <v>73</v>
      </c>
      <c r="G246" s="76" t="n">
        <v>7153</v>
      </c>
      <c r="H246" s="76" t="n">
        <v>5390</v>
      </c>
      <c r="I246" s="37" t="n">
        <f aca="false">G246-H246</f>
        <v>1763</v>
      </c>
      <c r="J246" s="83" t="s">
        <v>542</v>
      </c>
    </row>
    <row r="247" customFormat="false" ht="15" hidden="false" customHeight="false" outlineLevel="0" collapsed="false">
      <c r="A247" s="81" t="n">
        <v>45565</v>
      </c>
      <c r="B247" s="82" t="n">
        <v>2024</v>
      </c>
      <c r="C247" s="82" t="n">
        <v>9</v>
      </c>
      <c r="D247" s="83" t="s">
        <v>371</v>
      </c>
      <c r="E247" s="83" t="s">
        <v>299</v>
      </c>
      <c r="F247" s="83" t="s">
        <v>73</v>
      </c>
      <c r="G247" s="76" t="n">
        <v>5921</v>
      </c>
      <c r="H247" s="76" t="n">
        <v>4437</v>
      </c>
      <c r="I247" s="37" t="n">
        <f aca="false">G247-H247</f>
        <v>1484</v>
      </c>
      <c r="J247" s="83" t="s">
        <v>543</v>
      </c>
    </row>
    <row r="248" customFormat="false" ht="15" hidden="false" customHeight="false" outlineLevel="0" collapsed="false">
      <c r="A248" s="81" t="n">
        <v>45565</v>
      </c>
      <c r="B248" s="82" t="n">
        <v>2024</v>
      </c>
      <c r="C248" s="82" t="n">
        <v>9</v>
      </c>
      <c r="D248" s="83" t="s">
        <v>371</v>
      </c>
      <c r="E248" s="83" t="s">
        <v>295</v>
      </c>
      <c r="F248" s="83" t="s">
        <v>74</v>
      </c>
      <c r="G248" s="76" t="n">
        <v>12550</v>
      </c>
      <c r="H248" s="76" t="n">
        <v>9180</v>
      </c>
      <c r="I248" s="37" t="n">
        <f aca="false">G248-H248</f>
        <v>3370</v>
      </c>
      <c r="J248" s="83" t="s">
        <v>544</v>
      </c>
    </row>
    <row r="249" customFormat="false" ht="15" hidden="false" customHeight="false" outlineLevel="0" collapsed="false">
      <c r="A249" s="81" t="n">
        <v>45565</v>
      </c>
      <c r="B249" s="82" t="n">
        <v>2024</v>
      </c>
      <c r="C249" s="82" t="n">
        <v>9</v>
      </c>
      <c r="D249" s="83" t="s">
        <v>371</v>
      </c>
      <c r="E249" s="83" t="s">
        <v>297</v>
      </c>
      <c r="F249" s="83" t="s">
        <v>74</v>
      </c>
      <c r="G249" s="76" t="n">
        <v>5194</v>
      </c>
      <c r="H249" s="76" t="n">
        <v>3817</v>
      </c>
      <c r="I249" s="37" t="n">
        <f aca="false">G249-H249</f>
        <v>1377</v>
      </c>
      <c r="J249" s="83" t="s">
        <v>545</v>
      </c>
    </row>
    <row r="250" customFormat="false" ht="15" hidden="false" customHeight="false" outlineLevel="0" collapsed="false">
      <c r="A250" s="81" t="n">
        <v>45565</v>
      </c>
      <c r="B250" s="82" t="n">
        <v>2024</v>
      </c>
      <c r="C250" s="82" t="n">
        <v>9</v>
      </c>
      <c r="D250" s="83" t="s">
        <v>371</v>
      </c>
      <c r="E250" s="83" t="s">
        <v>299</v>
      </c>
      <c r="F250" s="83" t="s">
        <v>74</v>
      </c>
      <c r="G250" s="76" t="n">
        <v>4168</v>
      </c>
      <c r="H250" s="76" t="n">
        <v>3057</v>
      </c>
      <c r="I250" s="37" t="n">
        <f aca="false">G250-H250</f>
        <v>1111</v>
      </c>
      <c r="J250" s="83" t="s">
        <v>546</v>
      </c>
    </row>
    <row r="251" customFormat="false" ht="15" hidden="false" customHeight="false" outlineLevel="0" collapsed="false">
      <c r="A251" s="81" t="n">
        <v>45565</v>
      </c>
      <c r="B251" s="82" t="n">
        <v>2024</v>
      </c>
      <c r="C251" s="82" t="n">
        <v>9</v>
      </c>
      <c r="D251" s="83" t="s">
        <v>371</v>
      </c>
      <c r="E251" s="83" t="s">
        <v>295</v>
      </c>
      <c r="F251" s="83" t="s">
        <v>75</v>
      </c>
      <c r="G251" s="76" t="n">
        <v>7688</v>
      </c>
      <c r="H251" s="76" t="n">
        <v>5386</v>
      </c>
      <c r="I251" s="37" t="n">
        <f aca="false">G251-H251</f>
        <v>2302</v>
      </c>
      <c r="J251" s="83" t="s">
        <v>547</v>
      </c>
    </row>
    <row r="252" customFormat="false" ht="15" hidden="false" customHeight="false" outlineLevel="0" collapsed="false">
      <c r="A252" s="81" t="n">
        <v>45565</v>
      </c>
      <c r="B252" s="82" t="n">
        <v>2024</v>
      </c>
      <c r="C252" s="82" t="n">
        <v>9</v>
      </c>
      <c r="D252" s="83" t="s">
        <v>371</v>
      </c>
      <c r="E252" s="83" t="s">
        <v>297</v>
      </c>
      <c r="F252" s="83" t="s">
        <v>75</v>
      </c>
      <c r="G252" s="76" t="n">
        <v>3149</v>
      </c>
      <c r="H252" s="76" t="n">
        <v>2208</v>
      </c>
      <c r="I252" s="37" t="n">
        <f aca="false">G252-H252</f>
        <v>941</v>
      </c>
      <c r="J252" s="83" t="s">
        <v>548</v>
      </c>
    </row>
    <row r="253" customFormat="false" ht="15" hidden="false" customHeight="false" outlineLevel="0" collapsed="false">
      <c r="A253" s="81" t="n">
        <v>45565</v>
      </c>
      <c r="B253" s="82" t="n">
        <v>2024</v>
      </c>
      <c r="C253" s="82" t="n">
        <v>9</v>
      </c>
      <c r="D253" s="83" t="s">
        <v>371</v>
      </c>
      <c r="E253" s="83" t="s">
        <v>299</v>
      </c>
      <c r="F253" s="83" t="s">
        <v>75</v>
      </c>
      <c r="G253" s="76" t="n">
        <v>2691</v>
      </c>
      <c r="H253" s="76" t="n">
        <v>1889</v>
      </c>
      <c r="I253" s="37" t="n">
        <f aca="false">G253-H253</f>
        <v>802</v>
      </c>
      <c r="J253" s="83" t="s">
        <v>549</v>
      </c>
    </row>
    <row r="254" customFormat="false" ht="15" hidden="false" customHeight="false" outlineLevel="0" collapsed="false">
      <c r="A254" s="81" t="n">
        <v>45565</v>
      </c>
      <c r="B254" s="82" t="n">
        <v>2024</v>
      </c>
      <c r="C254" s="82" t="n">
        <v>9</v>
      </c>
      <c r="D254" s="83" t="s">
        <v>371</v>
      </c>
      <c r="E254" s="83" t="s">
        <v>295</v>
      </c>
      <c r="F254" s="83" t="s">
        <v>76</v>
      </c>
      <c r="G254" s="76" t="n">
        <v>5632</v>
      </c>
      <c r="H254" s="76" t="n">
        <v>4564</v>
      </c>
      <c r="I254" s="37" t="n">
        <f aca="false">G254-H254</f>
        <v>1068</v>
      </c>
      <c r="J254" s="83" t="s">
        <v>550</v>
      </c>
    </row>
    <row r="255" customFormat="false" ht="15" hidden="false" customHeight="false" outlineLevel="0" collapsed="false">
      <c r="A255" s="81" t="n">
        <v>45565</v>
      </c>
      <c r="B255" s="82" t="n">
        <v>2024</v>
      </c>
      <c r="C255" s="82" t="n">
        <v>9</v>
      </c>
      <c r="D255" s="83" t="s">
        <v>371</v>
      </c>
      <c r="E255" s="83" t="s">
        <v>297</v>
      </c>
      <c r="F255" s="83" t="s">
        <v>76</v>
      </c>
      <c r="G255" s="76" t="n">
        <v>2140</v>
      </c>
      <c r="H255" s="76" t="n">
        <v>1732</v>
      </c>
      <c r="I255" s="37" t="n">
        <f aca="false">G255-H255</f>
        <v>408</v>
      </c>
      <c r="J255" s="83" t="s">
        <v>551</v>
      </c>
    </row>
    <row r="256" customFormat="false" ht="15" hidden="false" customHeight="false" outlineLevel="0" collapsed="false">
      <c r="A256" s="81" t="n">
        <v>45565</v>
      </c>
      <c r="B256" s="82" t="n">
        <v>2024</v>
      </c>
      <c r="C256" s="82" t="n">
        <v>9</v>
      </c>
      <c r="D256" s="83" t="s">
        <v>371</v>
      </c>
      <c r="E256" s="83" t="s">
        <v>299</v>
      </c>
      <c r="F256" s="83" t="s">
        <v>76</v>
      </c>
      <c r="G256" s="76" t="n">
        <v>1824</v>
      </c>
      <c r="H256" s="76" t="n">
        <v>1487</v>
      </c>
      <c r="I256" s="37" t="n">
        <f aca="false">G256-H256</f>
        <v>337</v>
      </c>
      <c r="J256" s="83" t="s">
        <v>552</v>
      </c>
    </row>
    <row r="257" customFormat="false" ht="15" hidden="false" customHeight="false" outlineLevel="0" collapsed="false">
      <c r="A257" s="81" t="n">
        <v>45596</v>
      </c>
      <c r="B257" s="82" t="n">
        <v>2024</v>
      </c>
      <c r="C257" s="82" t="n">
        <v>10</v>
      </c>
      <c r="D257" s="83" t="s">
        <v>408</v>
      </c>
      <c r="E257" s="83" t="s">
        <v>295</v>
      </c>
      <c r="F257" s="83" t="s">
        <v>73</v>
      </c>
      <c r="G257" s="76" t="n">
        <v>17502</v>
      </c>
      <c r="H257" s="76" t="n">
        <v>13085</v>
      </c>
      <c r="I257" s="37" t="n">
        <f aca="false">G257-H257</f>
        <v>4417</v>
      </c>
      <c r="J257" s="83" t="s">
        <v>553</v>
      </c>
    </row>
    <row r="258" customFormat="false" ht="15" hidden="false" customHeight="false" outlineLevel="0" collapsed="false">
      <c r="A258" s="81" t="n">
        <v>45596</v>
      </c>
      <c r="B258" s="82" t="n">
        <v>2024</v>
      </c>
      <c r="C258" s="82" t="n">
        <v>10</v>
      </c>
      <c r="D258" s="83" t="s">
        <v>408</v>
      </c>
      <c r="E258" s="83" t="s">
        <v>297</v>
      </c>
      <c r="F258" s="83" t="s">
        <v>73</v>
      </c>
      <c r="G258" s="76" t="n">
        <v>6975</v>
      </c>
      <c r="H258" s="76" t="n">
        <v>5243</v>
      </c>
      <c r="I258" s="37" t="n">
        <f aca="false">G258-H258</f>
        <v>1732</v>
      </c>
      <c r="J258" s="83" t="s">
        <v>554</v>
      </c>
    </row>
    <row r="259" customFormat="false" ht="15" hidden="false" customHeight="false" outlineLevel="0" collapsed="false">
      <c r="A259" s="81" t="n">
        <v>45596</v>
      </c>
      <c r="B259" s="82" t="n">
        <v>2024</v>
      </c>
      <c r="C259" s="82" t="n">
        <v>10</v>
      </c>
      <c r="D259" s="83" t="s">
        <v>408</v>
      </c>
      <c r="E259" s="83" t="s">
        <v>299</v>
      </c>
      <c r="F259" s="83" t="s">
        <v>73</v>
      </c>
      <c r="G259" s="76" t="n">
        <v>5938</v>
      </c>
      <c r="H259" s="76" t="n">
        <v>4472</v>
      </c>
      <c r="I259" s="37" t="n">
        <f aca="false">G259-H259</f>
        <v>1466</v>
      </c>
      <c r="J259" s="83" t="s">
        <v>555</v>
      </c>
    </row>
    <row r="260" customFormat="false" ht="15" hidden="false" customHeight="false" outlineLevel="0" collapsed="false">
      <c r="A260" s="81" t="n">
        <v>45596</v>
      </c>
      <c r="B260" s="82" t="n">
        <v>2024</v>
      </c>
      <c r="C260" s="82" t="n">
        <v>10</v>
      </c>
      <c r="D260" s="83" t="s">
        <v>408</v>
      </c>
      <c r="E260" s="83" t="s">
        <v>295</v>
      </c>
      <c r="F260" s="83" t="s">
        <v>74</v>
      </c>
      <c r="G260" s="76" t="n">
        <v>12582</v>
      </c>
      <c r="H260" s="76" t="n">
        <v>9244</v>
      </c>
      <c r="I260" s="37" t="n">
        <f aca="false">G260-H260</f>
        <v>3338</v>
      </c>
      <c r="J260" s="83" t="s">
        <v>556</v>
      </c>
    </row>
    <row r="261" customFormat="false" ht="15" hidden="false" customHeight="false" outlineLevel="0" collapsed="false">
      <c r="A261" s="81" t="n">
        <v>45596</v>
      </c>
      <c r="B261" s="82" t="n">
        <v>2024</v>
      </c>
      <c r="C261" s="82" t="n">
        <v>10</v>
      </c>
      <c r="D261" s="83" t="s">
        <v>408</v>
      </c>
      <c r="E261" s="83" t="s">
        <v>297</v>
      </c>
      <c r="F261" s="83" t="s">
        <v>74</v>
      </c>
      <c r="G261" s="76" t="n">
        <v>5175</v>
      </c>
      <c r="H261" s="76" t="n">
        <v>3771</v>
      </c>
      <c r="I261" s="37" t="n">
        <f aca="false">G261-H261</f>
        <v>1404</v>
      </c>
      <c r="J261" s="83" t="s">
        <v>557</v>
      </c>
    </row>
    <row r="262" customFormat="false" ht="15" hidden="false" customHeight="false" outlineLevel="0" collapsed="false">
      <c r="A262" s="81" t="n">
        <v>45596</v>
      </c>
      <c r="B262" s="82" t="n">
        <v>2024</v>
      </c>
      <c r="C262" s="82" t="n">
        <v>10</v>
      </c>
      <c r="D262" s="83" t="s">
        <v>408</v>
      </c>
      <c r="E262" s="83" t="s">
        <v>299</v>
      </c>
      <c r="F262" s="83" t="s">
        <v>74</v>
      </c>
      <c r="G262" s="76" t="n">
        <v>4271</v>
      </c>
      <c r="H262" s="76" t="n">
        <v>3124</v>
      </c>
      <c r="I262" s="37" t="n">
        <f aca="false">G262-H262</f>
        <v>1147</v>
      </c>
      <c r="J262" s="83" t="s">
        <v>558</v>
      </c>
    </row>
    <row r="263" customFormat="false" ht="15" hidden="false" customHeight="false" outlineLevel="0" collapsed="false">
      <c r="A263" s="81" t="n">
        <v>45596</v>
      </c>
      <c r="B263" s="82" t="n">
        <v>2024</v>
      </c>
      <c r="C263" s="82" t="n">
        <v>10</v>
      </c>
      <c r="D263" s="83" t="s">
        <v>408</v>
      </c>
      <c r="E263" s="83" t="s">
        <v>295</v>
      </c>
      <c r="F263" s="83" t="s">
        <v>75</v>
      </c>
      <c r="G263" s="76" t="n">
        <v>7822</v>
      </c>
      <c r="H263" s="76" t="n">
        <v>5489</v>
      </c>
      <c r="I263" s="37" t="n">
        <f aca="false">G263-H263</f>
        <v>2333</v>
      </c>
      <c r="J263" s="83" t="s">
        <v>559</v>
      </c>
    </row>
    <row r="264" customFormat="false" ht="15" hidden="false" customHeight="false" outlineLevel="0" collapsed="false">
      <c r="A264" s="81" t="n">
        <v>45596</v>
      </c>
      <c r="B264" s="82" t="n">
        <v>2024</v>
      </c>
      <c r="C264" s="82" t="n">
        <v>10</v>
      </c>
      <c r="D264" s="83" t="s">
        <v>408</v>
      </c>
      <c r="E264" s="83" t="s">
        <v>297</v>
      </c>
      <c r="F264" s="83" t="s">
        <v>75</v>
      </c>
      <c r="G264" s="76" t="n">
        <v>3203</v>
      </c>
      <c r="H264" s="76" t="n">
        <v>2240</v>
      </c>
      <c r="I264" s="37" t="n">
        <f aca="false">G264-H264</f>
        <v>963</v>
      </c>
      <c r="J264" s="83" t="s">
        <v>560</v>
      </c>
    </row>
    <row r="265" customFormat="false" ht="15" hidden="false" customHeight="false" outlineLevel="0" collapsed="false">
      <c r="A265" s="81" t="n">
        <v>45596</v>
      </c>
      <c r="B265" s="82" t="n">
        <v>2024</v>
      </c>
      <c r="C265" s="82" t="n">
        <v>10</v>
      </c>
      <c r="D265" s="83" t="s">
        <v>408</v>
      </c>
      <c r="E265" s="83" t="s">
        <v>299</v>
      </c>
      <c r="F265" s="83" t="s">
        <v>75</v>
      </c>
      <c r="G265" s="76" t="n">
        <v>2667</v>
      </c>
      <c r="H265" s="76" t="n">
        <v>1874</v>
      </c>
      <c r="I265" s="37" t="n">
        <f aca="false">G265-H265</f>
        <v>793</v>
      </c>
      <c r="J265" s="83" t="s">
        <v>561</v>
      </c>
    </row>
    <row r="266" customFormat="false" ht="15" hidden="false" customHeight="false" outlineLevel="0" collapsed="false">
      <c r="A266" s="81" t="n">
        <v>45596</v>
      </c>
      <c r="B266" s="82" t="n">
        <v>2024</v>
      </c>
      <c r="C266" s="82" t="n">
        <v>10</v>
      </c>
      <c r="D266" s="83" t="s">
        <v>408</v>
      </c>
      <c r="E266" s="83" t="s">
        <v>295</v>
      </c>
      <c r="F266" s="83" t="s">
        <v>76</v>
      </c>
      <c r="G266" s="76" t="n">
        <v>5628</v>
      </c>
      <c r="H266" s="76" t="n">
        <v>4580</v>
      </c>
      <c r="I266" s="37" t="n">
        <f aca="false">G266-H266</f>
        <v>1048</v>
      </c>
      <c r="J266" s="83" t="s">
        <v>562</v>
      </c>
    </row>
    <row r="267" customFormat="false" ht="15" hidden="false" customHeight="false" outlineLevel="0" collapsed="false">
      <c r="A267" s="81" t="n">
        <v>45596</v>
      </c>
      <c r="B267" s="82" t="n">
        <v>2024</v>
      </c>
      <c r="C267" s="82" t="n">
        <v>10</v>
      </c>
      <c r="D267" s="83" t="s">
        <v>408</v>
      </c>
      <c r="E267" s="83" t="s">
        <v>297</v>
      </c>
      <c r="F267" s="83" t="s">
        <v>76</v>
      </c>
      <c r="G267" s="76" t="n">
        <v>2231</v>
      </c>
      <c r="H267" s="76" t="n">
        <v>1803</v>
      </c>
      <c r="I267" s="37" t="n">
        <f aca="false">G267-H267</f>
        <v>428</v>
      </c>
      <c r="J267" s="83" t="s">
        <v>563</v>
      </c>
    </row>
    <row r="268" customFormat="false" ht="15" hidden="false" customHeight="false" outlineLevel="0" collapsed="false">
      <c r="A268" s="81" t="n">
        <v>45596</v>
      </c>
      <c r="B268" s="82" t="n">
        <v>2024</v>
      </c>
      <c r="C268" s="82" t="n">
        <v>10</v>
      </c>
      <c r="D268" s="83" t="s">
        <v>408</v>
      </c>
      <c r="E268" s="83" t="s">
        <v>299</v>
      </c>
      <c r="F268" s="83" t="s">
        <v>76</v>
      </c>
      <c r="G268" s="76" t="n">
        <v>1859</v>
      </c>
      <c r="H268" s="76" t="n">
        <v>1508</v>
      </c>
      <c r="I268" s="37" t="n">
        <f aca="false">G268-H268</f>
        <v>351</v>
      </c>
      <c r="J268" s="83" t="s">
        <v>564</v>
      </c>
    </row>
    <row r="269" customFormat="false" ht="15" hidden="false" customHeight="false" outlineLevel="0" collapsed="false">
      <c r="A269" s="81" t="n">
        <v>45626</v>
      </c>
      <c r="B269" s="82" t="n">
        <v>2024</v>
      </c>
      <c r="C269" s="82" t="n">
        <v>11</v>
      </c>
      <c r="D269" s="83" t="s">
        <v>408</v>
      </c>
      <c r="E269" s="83" t="s">
        <v>295</v>
      </c>
      <c r="F269" s="83" t="s">
        <v>73</v>
      </c>
      <c r="G269" s="76" t="n">
        <v>18076</v>
      </c>
      <c r="H269" s="76" t="n">
        <v>13631</v>
      </c>
      <c r="I269" s="37" t="n">
        <f aca="false">G269-H269</f>
        <v>4445</v>
      </c>
      <c r="J269" s="83" t="s">
        <v>565</v>
      </c>
    </row>
    <row r="270" customFormat="false" ht="15" hidden="false" customHeight="false" outlineLevel="0" collapsed="false">
      <c r="A270" s="81" t="n">
        <v>45626</v>
      </c>
      <c r="B270" s="82" t="n">
        <v>2024</v>
      </c>
      <c r="C270" s="82" t="n">
        <v>11</v>
      </c>
      <c r="D270" s="83" t="s">
        <v>408</v>
      </c>
      <c r="E270" s="83" t="s">
        <v>297</v>
      </c>
      <c r="F270" s="83" t="s">
        <v>73</v>
      </c>
      <c r="G270" s="76" t="n">
        <v>7586</v>
      </c>
      <c r="H270" s="76" t="n">
        <v>5738</v>
      </c>
      <c r="I270" s="37" t="n">
        <f aca="false">G270-H270</f>
        <v>1848</v>
      </c>
      <c r="J270" s="83" t="s">
        <v>566</v>
      </c>
    </row>
    <row r="271" customFormat="false" ht="15" hidden="false" customHeight="false" outlineLevel="0" collapsed="false">
      <c r="A271" s="81" t="n">
        <v>45626</v>
      </c>
      <c r="B271" s="82" t="n">
        <v>2024</v>
      </c>
      <c r="C271" s="82" t="n">
        <v>11</v>
      </c>
      <c r="D271" s="83" t="s">
        <v>408</v>
      </c>
      <c r="E271" s="83" t="s">
        <v>299</v>
      </c>
      <c r="F271" s="83" t="s">
        <v>73</v>
      </c>
      <c r="G271" s="76" t="n">
        <v>6402</v>
      </c>
      <c r="H271" s="76" t="n">
        <v>4823</v>
      </c>
      <c r="I271" s="37" t="n">
        <f aca="false">G271-H271</f>
        <v>1579</v>
      </c>
      <c r="J271" s="83" t="s">
        <v>567</v>
      </c>
    </row>
    <row r="272" customFormat="false" ht="15" hidden="false" customHeight="false" outlineLevel="0" collapsed="false">
      <c r="A272" s="81" t="n">
        <v>45626</v>
      </c>
      <c r="B272" s="82" t="n">
        <v>2024</v>
      </c>
      <c r="C272" s="82" t="n">
        <v>11</v>
      </c>
      <c r="D272" s="83" t="s">
        <v>408</v>
      </c>
      <c r="E272" s="83" t="s">
        <v>295</v>
      </c>
      <c r="F272" s="83" t="s">
        <v>74</v>
      </c>
      <c r="G272" s="76" t="n">
        <v>13273</v>
      </c>
      <c r="H272" s="76" t="n">
        <v>9711</v>
      </c>
      <c r="I272" s="37" t="n">
        <f aca="false">G272-H272</f>
        <v>3562</v>
      </c>
      <c r="J272" s="83" t="s">
        <v>568</v>
      </c>
    </row>
    <row r="273" customFormat="false" ht="15" hidden="false" customHeight="false" outlineLevel="0" collapsed="false">
      <c r="A273" s="81" t="n">
        <v>45626</v>
      </c>
      <c r="B273" s="82" t="n">
        <v>2024</v>
      </c>
      <c r="C273" s="82" t="n">
        <v>11</v>
      </c>
      <c r="D273" s="83" t="s">
        <v>408</v>
      </c>
      <c r="E273" s="83" t="s">
        <v>297</v>
      </c>
      <c r="F273" s="83" t="s">
        <v>74</v>
      </c>
      <c r="G273" s="76" t="n">
        <v>5394</v>
      </c>
      <c r="H273" s="76" t="n">
        <v>3942</v>
      </c>
      <c r="I273" s="37" t="n">
        <f aca="false">G273-H273</f>
        <v>1452</v>
      </c>
      <c r="J273" s="83" t="s">
        <v>569</v>
      </c>
    </row>
    <row r="274" customFormat="false" ht="15" hidden="false" customHeight="false" outlineLevel="0" collapsed="false">
      <c r="A274" s="81" t="n">
        <v>45626</v>
      </c>
      <c r="B274" s="82" t="n">
        <v>2024</v>
      </c>
      <c r="C274" s="82" t="n">
        <v>11</v>
      </c>
      <c r="D274" s="83" t="s">
        <v>408</v>
      </c>
      <c r="E274" s="83" t="s">
        <v>299</v>
      </c>
      <c r="F274" s="83" t="s">
        <v>74</v>
      </c>
      <c r="G274" s="76" t="n">
        <v>4649</v>
      </c>
      <c r="H274" s="76" t="n">
        <v>3422</v>
      </c>
      <c r="I274" s="37" t="n">
        <f aca="false">G274-H274</f>
        <v>1227</v>
      </c>
      <c r="J274" s="83" t="s">
        <v>570</v>
      </c>
    </row>
    <row r="275" customFormat="false" ht="15" hidden="false" customHeight="false" outlineLevel="0" collapsed="false">
      <c r="A275" s="81" t="n">
        <v>45626</v>
      </c>
      <c r="B275" s="82" t="n">
        <v>2024</v>
      </c>
      <c r="C275" s="82" t="n">
        <v>11</v>
      </c>
      <c r="D275" s="83" t="s">
        <v>408</v>
      </c>
      <c r="E275" s="83" t="s">
        <v>295</v>
      </c>
      <c r="F275" s="83" t="s">
        <v>75</v>
      </c>
      <c r="G275" s="76" t="n">
        <v>8029</v>
      </c>
      <c r="H275" s="76" t="n">
        <v>5636</v>
      </c>
      <c r="I275" s="37" t="n">
        <f aca="false">G275-H275</f>
        <v>2393</v>
      </c>
      <c r="J275" s="83" t="s">
        <v>571</v>
      </c>
    </row>
    <row r="276" customFormat="false" ht="15" hidden="false" customHeight="false" outlineLevel="0" collapsed="false">
      <c r="A276" s="81" t="n">
        <v>45626</v>
      </c>
      <c r="B276" s="82" t="n">
        <v>2024</v>
      </c>
      <c r="C276" s="82" t="n">
        <v>11</v>
      </c>
      <c r="D276" s="83" t="s">
        <v>408</v>
      </c>
      <c r="E276" s="83" t="s">
        <v>297</v>
      </c>
      <c r="F276" s="83" t="s">
        <v>75</v>
      </c>
      <c r="G276" s="76" t="n">
        <v>3209</v>
      </c>
      <c r="H276" s="76" t="n">
        <v>2261</v>
      </c>
      <c r="I276" s="37" t="n">
        <f aca="false">G276-H276</f>
        <v>948</v>
      </c>
      <c r="J276" s="83" t="s">
        <v>572</v>
      </c>
    </row>
    <row r="277" customFormat="false" ht="15" hidden="false" customHeight="false" outlineLevel="0" collapsed="false">
      <c r="A277" s="81" t="n">
        <v>45626</v>
      </c>
      <c r="B277" s="82" t="n">
        <v>2024</v>
      </c>
      <c r="C277" s="82" t="n">
        <v>11</v>
      </c>
      <c r="D277" s="83" t="s">
        <v>408</v>
      </c>
      <c r="E277" s="83" t="s">
        <v>299</v>
      </c>
      <c r="F277" s="83" t="s">
        <v>75</v>
      </c>
      <c r="G277" s="76" t="n">
        <v>2759</v>
      </c>
      <c r="H277" s="76" t="n">
        <v>1943</v>
      </c>
      <c r="I277" s="37" t="n">
        <f aca="false">G277-H277</f>
        <v>816</v>
      </c>
      <c r="J277" s="83" t="s">
        <v>573</v>
      </c>
    </row>
    <row r="278" customFormat="false" ht="15" hidden="false" customHeight="false" outlineLevel="0" collapsed="false">
      <c r="A278" s="81" t="n">
        <v>45626</v>
      </c>
      <c r="B278" s="82" t="n">
        <v>2024</v>
      </c>
      <c r="C278" s="82" t="n">
        <v>11</v>
      </c>
      <c r="D278" s="83" t="s">
        <v>408</v>
      </c>
      <c r="E278" s="83" t="s">
        <v>295</v>
      </c>
      <c r="F278" s="83" t="s">
        <v>76</v>
      </c>
      <c r="G278" s="76" t="n">
        <v>5563</v>
      </c>
      <c r="H278" s="76" t="n">
        <v>4505</v>
      </c>
      <c r="I278" s="37" t="n">
        <f aca="false">G278-H278</f>
        <v>1058</v>
      </c>
      <c r="J278" s="83" t="s">
        <v>574</v>
      </c>
    </row>
    <row r="279" customFormat="false" ht="15" hidden="false" customHeight="false" outlineLevel="0" collapsed="false">
      <c r="A279" s="81" t="n">
        <v>45626</v>
      </c>
      <c r="B279" s="82" t="n">
        <v>2024</v>
      </c>
      <c r="C279" s="82" t="n">
        <v>11</v>
      </c>
      <c r="D279" s="83" t="s">
        <v>408</v>
      </c>
      <c r="E279" s="83" t="s">
        <v>297</v>
      </c>
      <c r="F279" s="83" t="s">
        <v>76</v>
      </c>
      <c r="G279" s="76" t="n">
        <v>2313</v>
      </c>
      <c r="H279" s="76" t="n">
        <v>1876</v>
      </c>
      <c r="I279" s="37" t="n">
        <f aca="false">G279-H279</f>
        <v>437</v>
      </c>
      <c r="J279" s="83" t="s">
        <v>575</v>
      </c>
    </row>
    <row r="280" customFormat="false" ht="15" hidden="false" customHeight="false" outlineLevel="0" collapsed="false">
      <c r="A280" s="81" t="n">
        <v>45626</v>
      </c>
      <c r="B280" s="82" t="n">
        <v>2024</v>
      </c>
      <c r="C280" s="82" t="n">
        <v>11</v>
      </c>
      <c r="D280" s="83" t="s">
        <v>408</v>
      </c>
      <c r="E280" s="83" t="s">
        <v>299</v>
      </c>
      <c r="F280" s="83" t="s">
        <v>76</v>
      </c>
      <c r="G280" s="76" t="n">
        <v>1889</v>
      </c>
      <c r="H280" s="76" t="n">
        <v>1526</v>
      </c>
      <c r="I280" s="37" t="n">
        <f aca="false">G280-H280</f>
        <v>363</v>
      </c>
      <c r="J280" s="83" t="s">
        <v>576</v>
      </c>
    </row>
    <row r="281" customFormat="false" ht="15" hidden="false" customHeight="false" outlineLevel="0" collapsed="false">
      <c r="A281" s="81" t="n">
        <v>45657</v>
      </c>
      <c r="B281" s="82" t="n">
        <v>2024</v>
      </c>
      <c r="C281" s="82" t="n">
        <v>12</v>
      </c>
      <c r="D281" s="83" t="s">
        <v>408</v>
      </c>
      <c r="E281" s="83" t="s">
        <v>295</v>
      </c>
      <c r="F281" s="83" t="s">
        <v>73</v>
      </c>
      <c r="G281" s="76" t="n">
        <v>20175</v>
      </c>
      <c r="H281" s="76" t="n">
        <v>15092</v>
      </c>
      <c r="I281" s="37" t="n">
        <f aca="false">G281-H281</f>
        <v>5083</v>
      </c>
      <c r="J281" s="83" t="s">
        <v>577</v>
      </c>
    </row>
    <row r="282" customFormat="false" ht="15" hidden="false" customHeight="false" outlineLevel="0" collapsed="false">
      <c r="A282" s="81" t="n">
        <v>45657</v>
      </c>
      <c r="B282" s="82" t="n">
        <v>2024</v>
      </c>
      <c r="C282" s="82" t="n">
        <v>12</v>
      </c>
      <c r="D282" s="83" t="s">
        <v>408</v>
      </c>
      <c r="E282" s="83" t="s">
        <v>297</v>
      </c>
      <c r="F282" s="83" t="s">
        <v>73</v>
      </c>
      <c r="G282" s="76" t="n">
        <v>8222</v>
      </c>
      <c r="H282" s="76" t="n">
        <v>6195</v>
      </c>
      <c r="I282" s="37" t="n">
        <f aca="false">G282-H282</f>
        <v>2027</v>
      </c>
      <c r="J282" s="83" t="s">
        <v>578</v>
      </c>
    </row>
    <row r="283" customFormat="false" ht="15" hidden="false" customHeight="false" outlineLevel="0" collapsed="false">
      <c r="A283" s="81" t="n">
        <v>45657</v>
      </c>
      <c r="B283" s="82" t="n">
        <v>2024</v>
      </c>
      <c r="C283" s="82" t="n">
        <v>12</v>
      </c>
      <c r="D283" s="83" t="s">
        <v>408</v>
      </c>
      <c r="E283" s="83" t="s">
        <v>299</v>
      </c>
      <c r="F283" s="83" t="s">
        <v>73</v>
      </c>
      <c r="G283" s="76" t="n">
        <v>6954</v>
      </c>
      <c r="H283" s="76" t="n">
        <v>5246</v>
      </c>
      <c r="I283" s="37" t="n">
        <f aca="false">G283-H283</f>
        <v>1708</v>
      </c>
      <c r="J283" s="83" t="s">
        <v>579</v>
      </c>
    </row>
    <row r="284" customFormat="false" ht="15" hidden="false" customHeight="false" outlineLevel="0" collapsed="false">
      <c r="A284" s="81" t="n">
        <v>45657</v>
      </c>
      <c r="B284" s="82" t="n">
        <v>2024</v>
      </c>
      <c r="C284" s="82" t="n">
        <v>12</v>
      </c>
      <c r="D284" s="83" t="s">
        <v>408</v>
      </c>
      <c r="E284" s="83" t="s">
        <v>295</v>
      </c>
      <c r="F284" s="83" t="s">
        <v>74</v>
      </c>
      <c r="G284" s="76" t="n">
        <v>14574</v>
      </c>
      <c r="H284" s="76" t="n">
        <v>10681</v>
      </c>
      <c r="I284" s="37" t="n">
        <f aca="false">G284-H284</f>
        <v>3893</v>
      </c>
      <c r="J284" s="83" t="s">
        <v>580</v>
      </c>
    </row>
    <row r="285" customFormat="false" ht="15" hidden="false" customHeight="false" outlineLevel="0" collapsed="false">
      <c r="A285" s="81" t="n">
        <v>45657</v>
      </c>
      <c r="B285" s="82" t="n">
        <v>2024</v>
      </c>
      <c r="C285" s="82" t="n">
        <v>12</v>
      </c>
      <c r="D285" s="83" t="s">
        <v>408</v>
      </c>
      <c r="E285" s="83" t="s">
        <v>297</v>
      </c>
      <c r="F285" s="83" t="s">
        <v>74</v>
      </c>
      <c r="G285" s="76" t="n">
        <v>5756</v>
      </c>
      <c r="H285" s="76" t="n">
        <v>4220</v>
      </c>
      <c r="I285" s="37" t="n">
        <f aca="false">G285-H285</f>
        <v>1536</v>
      </c>
      <c r="J285" s="83" t="s">
        <v>581</v>
      </c>
    </row>
    <row r="286" customFormat="false" ht="15" hidden="false" customHeight="false" outlineLevel="0" collapsed="false">
      <c r="A286" s="81" t="n">
        <v>45657</v>
      </c>
      <c r="B286" s="82" t="n">
        <v>2024</v>
      </c>
      <c r="C286" s="82" t="n">
        <v>12</v>
      </c>
      <c r="D286" s="83" t="s">
        <v>408</v>
      </c>
      <c r="E286" s="83" t="s">
        <v>299</v>
      </c>
      <c r="F286" s="83" t="s">
        <v>74</v>
      </c>
      <c r="G286" s="76" t="n">
        <v>5010</v>
      </c>
      <c r="H286" s="76" t="n">
        <v>3665</v>
      </c>
      <c r="I286" s="37" t="n">
        <f aca="false">G286-H286</f>
        <v>1345</v>
      </c>
      <c r="J286" s="83" t="s">
        <v>582</v>
      </c>
    </row>
    <row r="287" customFormat="false" ht="15" hidden="false" customHeight="false" outlineLevel="0" collapsed="false">
      <c r="A287" s="81" t="n">
        <v>45657</v>
      </c>
      <c r="B287" s="82" t="n">
        <v>2024</v>
      </c>
      <c r="C287" s="82" t="n">
        <v>12</v>
      </c>
      <c r="D287" s="83" t="s">
        <v>408</v>
      </c>
      <c r="E287" s="83" t="s">
        <v>295</v>
      </c>
      <c r="F287" s="83" t="s">
        <v>75</v>
      </c>
      <c r="G287" s="76" t="n">
        <v>8993</v>
      </c>
      <c r="H287" s="76" t="n">
        <v>6301</v>
      </c>
      <c r="I287" s="37" t="n">
        <f aca="false">G287-H287</f>
        <v>2692</v>
      </c>
      <c r="J287" s="83" t="s">
        <v>583</v>
      </c>
    </row>
    <row r="288" customFormat="false" ht="15" hidden="false" customHeight="false" outlineLevel="0" collapsed="false">
      <c r="A288" s="81" t="n">
        <v>45657</v>
      </c>
      <c r="B288" s="82" t="n">
        <v>2024</v>
      </c>
      <c r="C288" s="82" t="n">
        <v>12</v>
      </c>
      <c r="D288" s="83" t="s">
        <v>408</v>
      </c>
      <c r="E288" s="83" t="s">
        <v>297</v>
      </c>
      <c r="F288" s="83" t="s">
        <v>75</v>
      </c>
      <c r="G288" s="76" t="n">
        <v>3567</v>
      </c>
      <c r="H288" s="76" t="n">
        <v>2519</v>
      </c>
      <c r="I288" s="37" t="n">
        <f aca="false">G288-H288</f>
        <v>1048</v>
      </c>
      <c r="J288" s="83" t="s">
        <v>584</v>
      </c>
    </row>
    <row r="289" customFormat="false" ht="15" hidden="false" customHeight="false" outlineLevel="0" collapsed="false">
      <c r="A289" s="81" t="n">
        <v>45657</v>
      </c>
      <c r="B289" s="82" t="n">
        <v>2024</v>
      </c>
      <c r="C289" s="82" t="n">
        <v>12</v>
      </c>
      <c r="D289" s="83" t="s">
        <v>408</v>
      </c>
      <c r="E289" s="83" t="s">
        <v>299</v>
      </c>
      <c r="F289" s="83" t="s">
        <v>75</v>
      </c>
      <c r="G289" s="76" t="n">
        <v>3151</v>
      </c>
      <c r="H289" s="76" t="n">
        <v>2203</v>
      </c>
      <c r="I289" s="37" t="n">
        <f aca="false">G289-H289</f>
        <v>948</v>
      </c>
      <c r="J289" s="83" t="s">
        <v>585</v>
      </c>
    </row>
    <row r="290" customFormat="false" ht="15" hidden="false" customHeight="false" outlineLevel="0" collapsed="false">
      <c r="A290" s="81" t="n">
        <v>45657</v>
      </c>
      <c r="B290" s="82" t="n">
        <v>2024</v>
      </c>
      <c r="C290" s="82" t="n">
        <v>12</v>
      </c>
      <c r="D290" s="83" t="s">
        <v>408</v>
      </c>
      <c r="E290" s="83" t="s">
        <v>295</v>
      </c>
      <c r="F290" s="83" t="s">
        <v>76</v>
      </c>
      <c r="G290" s="76" t="n">
        <v>5877</v>
      </c>
      <c r="H290" s="76" t="n">
        <v>4798</v>
      </c>
      <c r="I290" s="37" t="n">
        <f aca="false">G290-H290</f>
        <v>1079</v>
      </c>
      <c r="J290" s="83" t="s">
        <v>586</v>
      </c>
    </row>
    <row r="291" customFormat="false" ht="15" hidden="false" customHeight="false" outlineLevel="0" collapsed="false">
      <c r="A291" s="81" t="n">
        <v>45657</v>
      </c>
      <c r="B291" s="82" t="n">
        <v>2024</v>
      </c>
      <c r="C291" s="82" t="n">
        <v>12</v>
      </c>
      <c r="D291" s="83" t="s">
        <v>408</v>
      </c>
      <c r="E291" s="83" t="s">
        <v>297</v>
      </c>
      <c r="F291" s="83" t="s">
        <v>76</v>
      </c>
      <c r="G291" s="76" t="n">
        <v>2439</v>
      </c>
      <c r="H291" s="76" t="n">
        <v>1981</v>
      </c>
      <c r="I291" s="37" t="n">
        <f aca="false">G291-H291</f>
        <v>458</v>
      </c>
      <c r="J291" s="83" t="s">
        <v>587</v>
      </c>
    </row>
    <row r="292" customFormat="false" ht="15" hidden="false" customHeight="false" outlineLevel="0" collapsed="false">
      <c r="A292" s="81" t="n">
        <v>45657</v>
      </c>
      <c r="B292" s="82" t="n">
        <v>2024</v>
      </c>
      <c r="C292" s="82" t="n">
        <v>12</v>
      </c>
      <c r="D292" s="83" t="s">
        <v>408</v>
      </c>
      <c r="E292" s="83" t="s">
        <v>299</v>
      </c>
      <c r="F292" s="83" t="s">
        <v>76</v>
      </c>
      <c r="G292" s="76" t="n">
        <v>2008</v>
      </c>
      <c r="H292" s="76" t="n">
        <v>1623</v>
      </c>
      <c r="I292" s="37" t="n">
        <f aca="false">G292-H292</f>
        <v>385</v>
      </c>
      <c r="J292" s="83" t="s">
        <v>588</v>
      </c>
    </row>
    <row r="293" customFormat="false" ht="15" hidden="false" customHeight="false" outlineLevel="0" collapsed="false">
      <c r="A293" s="81" t="n">
        <v>45688</v>
      </c>
      <c r="B293" s="82" t="n">
        <v>2025</v>
      </c>
      <c r="C293" s="82" t="n">
        <v>1</v>
      </c>
      <c r="D293" s="83" t="s">
        <v>294</v>
      </c>
      <c r="E293" s="83" t="s">
        <v>295</v>
      </c>
      <c r="F293" s="83" t="s">
        <v>73</v>
      </c>
      <c r="G293" s="76" t="n">
        <v>16783</v>
      </c>
      <c r="H293" s="76" t="n">
        <v>12544</v>
      </c>
      <c r="I293" s="37" t="n">
        <f aca="false">G293-H293</f>
        <v>4239</v>
      </c>
      <c r="J293" s="83" t="s">
        <v>589</v>
      </c>
    </row>
    <row r="294" customFormat="false" ht="15" hidden="false" customHeight="false" outlineLevel="0" collapsed="false">
      <c r="A294" s="81" t="n">
        <v>45688</v>
      </c>
      <c r="B294" s="82" t="n">
        <v>2025</v>
      </c>
      <c r="C294" s="82" t="n">
        <v>1</v>
      </c>
      <c r="D294" s="83" t="s">
        <v>294</v>
      </c>
      <c r="E294" s="83" t="s">
        <v>297</v>
      </c>
      <c r="F294" s="83" t="s">
        <v>73</v>
      </c>
      <c r="G294" s="76" t="n">
        <v>6713</v>
      </c>
      <c r="H294" s="76" t="n">
        <v>5017</v>
      </c>
      <c r="I294" s="37" t="n">
        <f aca="false">G294-H294</f>
        <v>1696</v>
      </c>
      <c r="J294" s="83" t="s">
        <v>590</v>
      </c>
    </row>
    <row r="295" customFormat="false" ht="15" hidden="false" customHeight="false" outlineLevel="0" collapsed="false">
      <c r="A295" s="81" t="n">
        <v>45688</v>
      </c>
      <c r="B295" s="82" t="n">
        <v>2025</v>
      </c>
      <c r="C295" s="82" t="n">
        <v>1</v>
      </c>
      <c r="D295" s="83" t="s">
        <v>294</v>
      </c>
      <c r="E295" s="83" t="s">
        <v>299</v>
      </c>
      <c r="F295" s="83" t="s">
        <v>73</v>
      </c>
      <c r="G295" s="76" t="n">
        <v>5853</v>
      </c>
      <c r="H295" s="76" t="n">
        <v>4391</v>
      </c>
      <c r="I295" s="37" t="n">
        <f aca="false">G295-H295</f>
        <v>1462</v>
      </c>
      <c r="J295" s="83" t="s">
        <v>591</v>
      </c>
    </row>
    <row r="296" customFormat="false" ht="15" hidden="false" customHeight="false" outlineLevel="0" collapsed="false">
      <c r="A296" s="81" t="n">
        <v>45688</v>
      </c>
      <c r="B296" s="82" t="n">
        <v>2025</v>
      </c>
      <c r="C296" s="82" t="n">
        <v>1</v>
      </c>
      <c r="D296" s="83" t="s">
        <v>294</v>
      </c>
      <c r="E296" s="83" t="s">
        <v>295</v>
      </c>
      <c r="F296" s="83" t="s">
        <v>74</v>
      </c>
      <c r="G296" s="76" t="n">
        <v>12421</v>
      </c>
      <c r="H296" s="76" t="n">
        <v>9099</v>
      </c>
      <c r="I296" s="37" t="n">
        <f aca="false">G296-H296</f>
        <v>3322</v>
      </c>
      <c r="J296" s="83" t="s">
        <v>592</v>
      </c>
    </row>
    <row r="297" customFormat="false" ht="15" hidden="false" customHeight="false" outlineLevel="0" collapsed="false">
      <c r="A297" s="81" t="n">
        <v>45688</v>
      </c>
      <c r="B297" s="82" t="n">
        <v>2025</v>
      </c>
      <c r="C297" s="82" t="n">
        <v>1</v>
      </c>
      <c r="D297" s="83" t="s">
        <v>294</v>
      </c>
      <c r="E297" s="83" t="s">
        <v>297</v>
      </c>
      <c r="F297" s="83" t="s">
        <v>74</v>
      </c>
      <c r="G297" s="76" t="n">
        <v>4939</v>
      </c>
      <c r="H297" s="76" t="n">
        <v>3622</v>
      </c>
      <c r="I297" s="37" t="n">
        <f aca="false">G297-H297</f>
        <v>1317</v>
      </c>
      <c r="J297" s="83" t="s">
        <v>593</v>
      </c>
    </row>
    <row r="298" customFormat="false" ht="15" hidden="false" customHeight="false" outlineLevel="0" collapsed="false">
      <c r="A298" s="81" t="n">
        <v>45688</v>
      </c>
      <c r="B298" s="82" t="n">
        <v>2025</v>
      </c>
      <c r="C298" s="82" t="n">
        <v>1</v>
      </c>
      <c r="D298" s="83" t="s">
        <v>294</v>
      </c>
      <c r="E298" s="83" t="s">
        <v>299</v>
      </c>
      <c r="F298" s="83" t="s">
        <v>74</v>
      </c>
      <c r="G298" s="76" t="n">
        <v>4352</v>
      </c>
      <c r="H298" s="76" t="n">
        <v>3179</v>
      </c>
      <c r="I298" s="37" t="n">
        <f aca="false">G298-H298</f>
        <v>1173</v>
      </c>
      <c r="J298" s="83" t="s">
        <v>594</v>
      </c>
    </row>
    <row r="299" customFormat="false" ht="15" hidden="false" customHeight="false" outlineLevel="0" collapsed="false">
      <c r="A299" s="81" t="n">
        <v>45688</v>
      </c>
      <c r="B299" s="82" t="n">
        <v>2025</v>
      </c>
      <c r="C299" s="82" t="n">
        <v>1</v>
      </c>
      <c r="D299" s="83" t="s">
        <v>294</v>
      </c>
      <c r="E299" s="83" t="s">
        <v>295</v>
      </c>
      <c r="F299" s="83" t="s">
        <v>75</v>
      </c>
      <c r="G299" s="76" t="n">
        <v>7591</v>
      </c>
      <c r="H299" s="76" t="n">
        <v>5303</v>
      </c>
      <c r="I299" s="37" t="n">
        <f aca="false">G299-H299</f>
        <v>2288</v>
      </c>
      <c r="J299" s="83" t="s">
        <v>595</v>
      </c>
    </row>
    <row r="300" customFormat="false" ht="15" hidden="false" customHeight="false" outlineLevel="0" collapsed="false">
      <c r="A300" s="81" t="n">
        <v>45688</v>
      </c>
      <c r="B300" s="82" t="n">
        <v>2025</v>
      </c>
      <c r="C300" s="82" t="n">
        <v>1</v>
      </c>
      <c r="D300" s="83" t="s">
        <v>294</v>
      </c>
      <c r="E300" s="83" t="s">
        <v>297</v>
      </c>
      <c r="F300" s="83" t="s">
        <v>75</v>
      </c>
      <c r="G300" s="76" t="n">
        <v>3091</v>
      </c>
      <c r="H300" s="76" t="n">
        <v>2161</v>
      </c>
      <c r="I300" s="37" t="n">
        <f aca="false">G300-H300</f>
        <v>930</v>
      </c>
      <c r="J300" s="83" t="s">
        <v>596</v>
      </c>
    </row>
    <row r="301" customFormat="false" ht="15" hidden="false" customHeight="false" outlineLevel="0" collapsed="false">
      <c r="A301" s="81" t="n">
        <v>45688</v>
      </c>
      <c r="B301" s="82" t="n">
        <v>2025</v>
      </c>
      <c r="C301" s="82" t="n">
        <v>1</v>
      </c>
      <c r="D301" s="83" t="s">
        <v>294</v>
      </c>
      <c r="E301" s="83" t="s">
        <v>299</v>
      </c>
      <c r="F301" s="83" t="s">
        <v>75</v>
      </c>
      <c r="G301" s="76" t="n">
        <v>2628</v>
      </c>
      <c r="H301" s="76" t="n">
        <v>1840</v>
      </c>
      <c r="I301" s="37" t="n">
        <f aca="false">G301-H301</f>
        <v>788</v>
      </c>
      <c r="J301" s="83" t="s">
        <v>597</v>
      </c>
    </row>
    <row r="302" customFormat="false" ht="15" hidden="false" customHeight="false" outlineLevel="0" collapsed="false">
      <c r="A302" s="81" t="n">
        <v>45688</v>
      </c>
      <c r="B302" s="82" t="n">
        <v>2025</v>
      </c>
      <c r="C302" s="82" t="n">
        <v>1</v>
      </c>
      <c r="D302" s="83" t="s">
        <v>294</v>
      </c>
      <c r="E302" s="83" t="s">
        <v>295</v>
      </c>
      <c r="F302" s="83" t="s">
        <v>76</v>
      </c>
      <c r="G302" s="76" t="n">
        <v>5688</v>
      </c>
      <c r="H302" s="76" t="n">
        <v>4610</v>
      </c>
      <c r="I302" s="37" t="n">
        <f aca="false">G302-H302</f>
        <v>1078</v>
      </c>
      <c r="J302" s="83" t="s">
        <v>598</v>
      </c>
    </row>
    <row r="303" customFormat="false" ht="15" hidden="false" customHeight="false" outlineLevel="0" collapsed="false">
      <c r="A303" s="81" t="n">
        <v>45688</v>
      </c>
      <c r="B303" s="82" t="n">
        <v>2025</v>
      </c>
      <c r="C303" s="82" t="n">
        <v>1</v>
      </c>
      <c r="D303" s="83" t="s">
        <v>294</v>
      </c>
      <c r="E303" s="83" t="s">
        <v>297</v>
      </c>
      <c r="F303" s="83" t="s">
        <v>76</v>
      </c>
      <c r="G303" s="76" t="n">
        <v>2411</v>
      </c>
      <c r="H303" s="76" t="n">
        <v>1958</v>
      </c>
      <c r="I303" s="37" t="n">
        <f aca="false">G303-H303</f>
        <v>453</v>
      </c>
      <c r="J303" s="83" t="s">
        <v>599</v>
      </c>
    </row>
    <row r="304" customFormat="false" ht="15" hidden="false" customHeight="false" outlineLevel="0" collapsed="false">
      <c r="A304" s="81" t="n">
        <v>45688</v>
      </c>
      <c r="B304" s="82" t="n">
        <v>2025</v>
      </c>
      <c r="C304" s="82" t="n">
        <v>1</v>
      </c>
      <c r="D304" s="83" t="s">
        <v>294</v>
      </c>
      <c r="E304" s="83" t="s">
        <v>299</v>
      </c>
      <c r="F304" s="83" t="s">
        <v>76</v>
      </c>
      <c r="G304" s="76" t="n">
        <v>1993</v>
      </c>
      <c r="H304" s="76" t="n">
        <v>1620</v>
      </c>
      <c r="I304" s="37" t="n">
        <f aca="false">G304-H304</f>
        <v>373</v>
      </c>
      <c r="J304" s="83" t="s">
        <v>600</v>
      </c>
    </row>
    <row r="305" customFormat="false" ht="15" hidden="false" customHeight="false" outlineLevel="0" collapsed="false">
      <c r="A305" s="81" t="n">
        <v>45716</v>
      </c>
      <c r="B305" s="82" t="n">
        <v>2025</v>
      </c>
      <c r="C305" s="82" t="n">
        <v>2</v>
      </c>
      <c r="D305" s="83" t="s">
        <v>294</v>
      </c>
      <c r="E305" s="83" t="s">
        <v>295</v>
      </c>
      <c r="F305" s="83" t="s">
        <v>73</v>
      </c>
      <c r="G305" s="76" t="n">
        <v>16288</v>
      </c>
      <c r="H305" s="76" t="n">
        <v>12152</v>
      </c>
      <c r="I305" s="37" t="n">
        <f aca="false">G305-H305</f>
        <v>4136</v>
      </c>
      <c r="J305" s="83" t="s">
        <v>601</v>
      </c>
    </row>
    <row r="306" customFormat="false" ht="15" hidden="false" customHeight="false" outlineLevel="0" collapsed="false">
      <c r="A306" s="81" t="n">
        <v>45716</v>
      </c>
      <c r="B306" s="82" t="n">
        <v>2025</v>
      </c>
      <c r="C306" s="82" t="n">
        <v>2</v>
      </c>
      <c r="D306" s="83" t="s">
        <v>294</v>
      </c>
      <c r="E306" s="83" t="s">
        <v>297</v>
      </c>
      <c r="F306" s="83" t="s">
        <v>73</v>
      </c>
      <c r="G306" s="76" t="n">
        <v>6576</v>
      </c>
      <c r="H306" s="76" t="n">
        <v>4904</v>
      </c>
      <c r="I306" s="37" t="n">
        <f aca="false">G306-H306</f>
        <v>1672</v>
      </c>
      <c r="J306" s="83" t="s">
        <v>602</v>
      </c>
    </row>
    <row r="307" customFormat="false" ht="15" hidden="false" customHeight="false" outlineLevel="0" collapsed="false">
      <c r="A307" s="81" t="n">
        <v>45716</v>
      </c>
      <c r="B307" s="82" t="n">
        <v>2025</v>
      </c>
      <c r="C307" s="82" t="n">
        <v>2</v>
      </c>
      <c r="D307" s="83" t="s">
        <v>294</v>
      </c>
      <c r="E307" s="83" t="s">
        <v>299</v>
      </c>
      <c r="F307" s="83" t="s">
        <v>73</v>
      </c>
      <c r="G307" s="76" t="n">
        <v>5760</v>
      </c>
      <c r="H307" s="76" t="n">
        <v>4343</v>
      </c>
      <c r="I307" s="37" t="n">
        <f aca="false">G307-H307</f>
        <v>1417</v>
      </c>
      <c r="J307" s="83" t="s">
        <v>603</v>
      </c>
    </row>
    <row r="308" customFormat="false" ht="15" hidden="false" customHeight="false" outlineLevel="0" collapsed="false">
      <c r="A308" s="81" t="n">
        <v>45716</v>
      </c>
      <c r="B308" s="82" t="n">
        <v>2025</v>
      </c>
      <c r="C308" s="82" t="n">
        <v>2</v>
      </c>
      <c r="D308" s="83" t="s">
        <v>294</v>
      </c>
      <c r="E308" s="83" t="s">
        <v>295</v>
      </c>
      <c r="F308" s="83" t="s">
        <v>74</v>
      </c>
      <c r="G308" s="76" t="n">
        <v>11779</v>
      </c>
      <c r="H308" s="76" t="n">
        <v>8575</v>
      </c>
      <c r="I308" s="37" t="n">
        <f aca="false">G308-H308</f>
        <v>3204</v>
      </c>
      <c r="J308" s="83" t="s">
        <v>604</v>
      </c>
    </row>
    <row r="309" customFormat="false" ht="15" hidden="false" customHeight="false" outlineLevel="0" collapsed="false">
      <c r="A309" s="81" t="n">
        <v>45716</v>
      </c>
      <c r="B309" s="82" t="n">
        <v>2025</v>
      </c>
      <c r="C309" s="82" t="n">
        <v>2</v>
      </c>
      <c r="D309" s="83" t="s">
        <v>294</v>
      </c>
      <c r="E309" s="83" t="s">
        <v>297</v>
      </c>
      <c r="F309" s="83" t="s">
        <v>74</v>
      </c>
      <c r="G309" s="76" t="n">
        <v>4858</v>
      </c>
      <c r="H309" s="76" t="n">
        <v>3540</v>
      </c>
      <c r="I309" s="37" t="n">
        <f aca="false">G309-H309</f>
        <v>1318</v>
      </c>
      <c r="J309" s="83" t="s">
        <v>605</v>
      </c>
    </row>
    <row r="310" customFormat="false" ht="15" hidden="false" customHeight="false" outlineLevel="0" collapsed="false">
      <c r="A310" s="81" t="n">
        <v>45716</v>
      </c>
      <c r="B310" s="82" t="n">
        <v>2025</v>
      </c>
      <c r="C310" s="82" t="n">
        <v>2</v>
      </c>
      <c r="D310" s="83" t="s">
        <v>294</v>
      </c>
      <c r="E310" s="83" t="s">
        <v>299</v>
      </c>
      <c r="F310" s="83" t="s">
        <v>74</v>
      </c>
      <c r="G310" s="76" t="n">
        <v>4203</v>
      </c>
      <c r="H310" s="76" t="n">
        <v>3057</v>
      </c>
      <c r="I310" s="37" t="n">
        <f aca="false">G310-H310</f>
        <v>1146</v>
      </c>
      <c r="J310" s="83" t="s">
        <v>606</v>
      </c>
    </row>
    <row r="311" customFormat="false" ht="15" hidden="false" customHeight="false" outlineLevel="0" collapsed="false">
      <c r="A311" s="81" t="n">
        <v>45716</v>
      </c>
      <c r="B311" s="82" t="n">
        <v>2025</v>
      </c>
      <c r="C311" s="82" t="n">
        <v>2</v>
      </c>
      <c r="D311" s="83" t="s">
        <v>294</v>
      </c>
      <c r="E311" s="83" t="s">
        <v>295</v>
      </c>
      <c r="F311" s="83" t="s">
        <v>75</v>
      </c>
      <c r="G311" s="76" t="n">
        <v>7007</v>
      </c>
      <c r="H311" s="76" t="n">
        <v>4886</v>
      </c>
      <c r="I311" s="37" t="n">
        <f aca="false">G311-H311</f>
        <v>2121</v>
      </c>
      <c r="J311" s="83" t="s">
        <v>607</v>
      </c>
    </row>
    <row r="312" customFormat="false" ht="15" hidden="false" customHeight="false" outlineLevel="0" collapsed="false">
      <c r="A312" s="81" t="n">
        <v>45716</v>
      </c>
      <c r="B312" s="82" t="n">
        <v>2025</v>
      </c>
      <c r="C312" s="82" t="n">
        <v>2</v>
      </c>
      <c r="D312" s="83" t="s">
        <v>294</v>
      </c>
      <c r="E312" s="83" t="s">
        <v>297</v>
      </c>
      <c r="F312" s="83" t="s">
        <v>75</v>
      </c>
      <c r="G312" s="76" t="n">
        <v>2845</v>
      </c>
      <c r="H312" s="76" t="n">
        <v>1995</v>
      </c>
      <c r="I312" s="37" t="n">
        <f aca="false">G312-H312</f>
        <v>850</v>
      </c>
      <c r="J312" s="83" t="s">
        <v>608</v>
      </c>
    </row>
    <row r="313" customFormat="false" ht="15" hidden="false" customHeight="false" outlineLevel="0" collapsed="false">
      <c r="A313" s="81" t="n">
        <v>45716</v>
      </c>
      <c r="B313" s="82" t="n">
        <v>2025</v>
      </c>
      <c r="C313" s="82" t="n">
        <v>2</v>
      </c>
      <c r="D313" s="83" t="s">
        <v>294</v>
      </c>
      <c r="E313" s="83" t="s">
        <v>299</v>
      </c>
      <c r="F313" s="83" t="s">
        <v>75</v>
      </c>
      <c r="G313" s="76" t="n">
        <v>2525</v>
      </c>
      <c r="H313" s="76" t="n">
        <v>1768</v>
      </c>
      <c r="I313" s="37" t="n">
        <f aca="false">G313-H313</f>
        <v>757</v>
      </c>
      <c r="J313" s="83" t="s">
        <v>609</v>
      </c>
    </row>
    <row r="314" customFormat="false" ht="15" hidden="false" customHeight="false" outlineLevel="0" collapsed="false">
      <c r="A314" s="81" t="n">
        <v>45716</v>
      </c>
      <c r="B314" s="82" t="n">
        <v>2025</v>
      </c>
      <c r="C314" s="82" t="n">
        <v>2</v>
      </c>
      <c r="D314" s="83" t="s">
        <v>294</v>
      </c>
      <c r="E314" s="83" t="s">
        <v>295</v>
      </c>
      <c r="F314" s="83" t="s">
        <v>76</v>
      </c>
      <c r="G314" s="76" t="n">
        <v>5557</v>
      </c>
      <c r="H314" s="76" t="n">
        <v>4486</v>
      </c>
      <c r="I314" s="37" t="n">
        <f aca="false">G314-H314</f>
        <v>1071</v>
      </c>
      <c r="J314" s="83" t="s">
        <v>610</v>
      </c>
    </row>
    <row r="315" customFormat="false" ht="15" hidden="false" customHeight="false" outlineLevel="0" collapsed="false">
      <c r="A315" s="81" t="n">
        <v>45716</v>
      </c>
      <c r="B315" s="82" t="n">
        <v>2025</v>
      </c>
      <c r="C315" s="82" t="n">
        <v>2</v>
      </c>
      <c r="D315" s="83" t="s">
        <v>294</v>
      </c>
      <c r="E315" s="83" t="s">
        <v>297</v>
      </c>
      <c r="F315" s="83" t="s">
        <v>76</v>
      </c>
      <c r="G315" s="76" t="n">
        <v>2289</v>
      </c>
      <c r="H315" s="76" t="n">
        <v>1855</v>
      </c>
      <c r="I315" s="37" t="n">
        <f aca="false">G315-H315</f>
        <v>434</v>
      </c>
      <c r="J315" s="83" t="s">
        <v>611</v>
      </c>
    </row>
    <row r="316" customFormat="false" ht="15" hidden="false" customHeight="false" outlineLevel="0" collapsed="false">
      <c r="A316" s="81" t="n">
        <v>45716</v>
      </c>
      <c r="B316" s="82" t="n">
        <v>2025</v>
      </c>
      <c r="C316" s="82" t="n">
        <v>2</v>
      </c>
      <c r="D316" s="83" t="s">
        <v>294</v>
      </c>
      <c r="E316" s="83" t="s">
        <v>299</v>
      </c>
      <c r="F316" s="83" t="s">
        <v>76</v>
      </c>
      <c r="G316" s="76" t="n">
        <v>2002</v>
      </c>
      <c r="H316" s="76" t="n">
        <v>1626</v>
      </c>
      <c r="I316" s="37" t="n">
        <f aca="false">G316-H316</f>
        <v>376</v>
      </c>
      <c r="J316" s="83" t="s">
        <v>612</v>
      </c>
    </row>
    <row r="317" customFormat="false" ht="15" hidden="false" customHeight="false" outlineLevel="0" collapsed="false">
      <c r="A317" s="81" t="n">
        <v>45747</v>
      </c>
      <c r="B317" s="82" t="n">
        <v>2025</v>
      </c>
      <c r="C317" s="82" t="n">
        <v>3</v>
      </c>
      <c r="D317" s="83" t="s">
        <v>294</v>
      </c>
      <c r="E317" s="83" t="s">
        <v>295</v>
      </c>
      <c r="F317" s="83" t="s">
        <v>73</v>
      </c>
      <c r="G317" s="76" t="n">
        <v>16856</v>
      </c>
      <c r="H317" s="76" t="n">
        <v>12615</v>
      </c>
      <c r="I317" s="37" t="n">
        <f aca="false">G317-H317</f>
        <v>4241</v>
      </c>
      <c r="J317" s="83" t="s">
        <v>613</v>
      </c>
    </row>
    <row r="318" customFormat="false" ht="15" hidden="false" customHeight="false" outlineLevel="0" collapsed="false">
      <c r="A318" s="81" t="n">
        <v>45747</v>
      </c>
      <c r="B318" s="82" t="n">
        <v>2025</v>
      </c>
      <c r="C318" s="82" t="n">
        <v>3</v>
      </c>
      <c r="D318" s="83" t="s">
        <v>294</v>
      </c>
      <c r="E318" s="83" t="s">
        <v>297</v>
      </c>
      <c r="F318" s="83" t="s">
        <v>73</v>
      </c>
      <c r="G318" s="76" t="n">
        <v>7035</v>
      </c>
      <c r="H318" s="76" t="n">
        <v>5247</v>
      </c>
      <c r="I318" s="37" t="n">
        <f aca="false">G318-H318</f>
        <v>1788</v>
      </c>
      <c r="J318" s="83" t="s">
        <v>614</v>
      </c>
    </row>
    <row r="319" customFormat="false" ht="15" hidden="false" customHeight="false" outlineLevel="0" collapsed="false">
      <c r="A319" s="81" t="n">
        <v>45747</v>
      </c>
      <c r="B319" s="82" t="n">
        <v>2025</v>
      </c>
      <c r="C319" s="82" t="n">
        <v>3</v>
      </c>
      <c r="D319" s="83" t="s">
        <v>294</v>
      </c>
      <c r="E319" s="83" t="s">
        <v>299</v>
      </c>
      <c r="F319" s="83" t="s">
        <v>73</v>
      </c>
      <c r="G319" s="76" t="n">
        <v>5861</v>
      </c>
      <c r="H319" s="76" t="n">
        <v>4374</v>
      </c>
      <c r="I319" s="37" t="n">
        <f aca="false">G319-H319</f>
        <v>1487</v>
      </c>
      <c r="J319" s="83" t="s">
        <v>615</v>
      </c>
    </row>
    <row r="320" customFormat="false" ht="15" hidden="false" customHeight="false" outlineLevel="0" collapsed="false">
      <c r="A320" s="81" t="n">
        <v>45747</v>
      </c>
      <c r="B320" s="82" t="n">
        <v>2025</v>
      </c>
      <c r="C320" s="82" t="n">
        <v>3</v>
      </c>
      <c r="D320" s="83" t="s">
        <v>294</v>
      </c>
      <c r="E320" s="83" t="s">
        <v>295</v>
      </c>
      <c r="F320" s="83" t="s">
        <v>74</v>
      </c>
      <c r="G320" s="76" t="n">
        <v>13816</v>
      </c>
      <c r="H320" s="76" t="n">
        <v>10110</v>
      </c>
      <c r="I320" s="37" t="n">
        <f aca="false">G320-H320</f>
        <v>3706</v>
      </c>
      <c r="J320" s="83" t="s">
        <v>616</v>
      </c>
    </row>
    <row r="321" customFormat="false" ht="15" hidden="false" customHeight="false" outlineLevel="0" collapsed="false">
      <c r="A321" s="81" t="n">
        <v>45747</v>
      </c>
      <c r="B321" s="82" t="n">
        <v>2025</v>
      </c>
      <c r="C321" s="82" t="n">
        <v>3</v>
      </c>
      <c r="D321" s="83" t="s">
        <v>294</v>
      </c>
      <c r="E321" s="83" t="s">
        <v>297</v>
      </c>
      <c r="F321" s="83" t="s">
        <v>74</v>
      </c>
      <c r="G321" s="76" t="n">
        <v>5651</v>
      </c>
      <c r="H321" s="76" t="n">
        <v>4113</v>
      </c>
      <c r="I321" s="37" t="n">
        <f aca="false">G321-H321</f>
        <v>1538</v>
      </c>
      <c r="J321" s="83" t="s">
        <v>617</v>
      </c>
    </row>
    <row r="322" customFormat="false" ht="15" hidden="false" customHeight="false" outlineLevel="0" collapsed="false">
      <c r="A322" s="81" t="n">
        <v>45747</v>
      </c>
      <c r="B322" s="82" t="n">
        <v>2025</v>
      </c>
      <c r="C322" s="82" t="n">
        <v>3</v>
      </c>
      <c r="D322" s="83" t="s">
        <v>294</v>
      </c>
      <c r="E322" s="83" t="s">
        <v>299</v>
      </c>
      <c r="F322" s="83" t="s">
        <v>74</v>
      </c>
      <c r="G322" s="76" t="n">
        <v>4897</v>
      </c>
      <c r="H322" s="76" t="n">
        <v>3560</v>
      </c>
      <c r="I322" s="37" t="n">
        <f aca="false">G322-H322</f>
        <v>1337</v>
      </c>
      <c r="J322" s="83" t="s">
        <v>618</v>
      </c>
    </row>
    <row r="323" customFormat="false" ht="15" hidden="false" customHeight="false" outlineLevel="0" collapsed="false">
      <c r="A323" s="81" t="n">
        <v>45747</v>
      </c>
      <c r="B323" s="82" t="n">
        <v>2025</v>
      </c>
      <c r="C323" s="82" t="n">
        <v>3</v>
      </c>
      <c r="D323" s="83" t="s">
        <v>294</v>
      </c>
      <c r="E323" s="83" t="s">
        <v>295</v>
      </c>
      <c r="F323" s="83" t="s">
        <v>75</v>
      </c>
      <c r="G323" s="76" t="n">
        <v>7537</v>
      </c>
      <c r="H323" s="76" t="n">
        <v>5296</v>
      </c>
      <c r="I323" s="37" t="n">
        <f aca="false">G323-H323</f>
        <v>2241</v>
      </c>
      <c r="J323" s="83" t="s">
        <v>619</v>
      </c>
    </row>
    <row r="324" customFormat="false" ht="15" hidden="false" customHeight="false" outlineLevel="0" collapsed="false">
      <c r="A324" s="81" t="n">
        <v>45747</v>
      </c>
      <c r="B324" s="82" t="n">
        <v>2025</v>
      </c>
      <c r="C324" s="82" t="n">
        <v>3</v>
      </c>
      <c r="D324" s="83" t="s">
        <v>294</v>
      </c>
      <c r="E324" s="83" t="s">
        <v>297</v>
      </c>
      <c r="F324" s="83" t="s">
        <v>75</v>
      </c>
      <c r="G324" s="76" t="n">
        <v>3084</v>
      </c>
      <c r="H324" s="76" t="n">
        <v>2157</v>
      </c>
      <c r="I324" s="37" t="n">
        <f aca="false">G324-H324</f>
        <v>927</v>
      </c>
      <c r="J324" s="83" t="s">
        <v>620</v>
      </c>
    </row>
    <row r="325" customFormat="false" ht="15" hidden="false" customHeight="false" outlineLevel="0" collapsed="false">
      <c r="A325" s="81" t="n">
        <v>45747</v>
      </c>
      <c r="B325" s="82" t="n">
        <v>2025</v>
      </c>
      <c r="C325" s="82" t="n">
        <v>3</v>
      </c>
      <c r="D325" s="83" t="s">
        <v>294</v>
      </c>
      <c r="E325" s="83" t="s">
        <v>299</v>
      </c>
      <c r="F325" s="83" t="s">
        <v>75</v>
      </c>
      <c r="G325" s="76" t="n">
        <v>2748</v>
      </c>
      <c r="H325" s="76" t="n">
        <v>1916</v>
      </c>
      <c r="I325" s="37" t="n">
        <f aca="false">G325-H325</f>
        <v>832</v>
      </c>
      <c r="J325" s="83" t="s">
        <v>621</v>
      </c>
    </row>
    <row r="326" customFormat="false" ht="15" hidden="false" customHeight="false" outlineLevel="0" collapsed="false">
      <c r="A326" s="81" t="n">
        <v>45747</v>
      </c>
      <c r="B326" s="82" t="n">
        <v>2025</v>
      </c>
      <c r="C326" s="82" t="n">
        <v>3</v>
      </c>
      <c r="D326" s="83" t="s">
        <v>294</v>
      </c>
      <c r="E326" s="83" t="s">
        <v>295</v>
      </c>
      <c r="F326" s="83" t="s">
        <v>76</v>
      </c>
      <c r="G326" s="76" t="n">
        <v>5802</v>
      </c>
      <c r="H326" s="76" t="n">
        <v>4726</v>
      </c>
      <c r="I326" s="37" t="n">
        <f aca="false">G326-H326</f>
        <v>1076</v>
      </c>
      <c r="J326" s="83" t="s">
        <v>622</v>
      </c>
    </row>
    <row r="327" customFormat="false" ht="15" hidden="false" customHeight="false" outlineLevel="0" collapsed="false">
      <c r="A327" s="81" t="n">
        <v>45747</v>
      </c>
      <c r="B327" s="82" t="n">
        <v>2025</v>
      </c>
      <c r="C327" s="82" t="n">
        <v>3</v>
      </c>
      <c r="D327" s="83" t="s">
        <v>294</v>
      </c>
      <c r="E327" s="83" t="s">
        <v>297</v>
      </c>
      <c r="F327" s="83" t="s">
        <v>76</v>
      </c>
      <c r="G327" s="76" t="n">
        <v>2339</v>
      </c>
      <c r="H327" s="76" t="n">
        <v>1887</v>
      </c>
      <c r="I327" s="37" t="n">
        <f aca="false">G327-H327</f>
        <v>452</v>
      </c>
      <c r="J327" s="83" t="s">
        <v>623</v>
      </c>
    </row>
    <row r="328" customFormat="false" ht="15" hidden="false" customHeight="false" outlineLevel="0" collapsed="false">
      <c r="A328" s="81" t="n">
        <v>45747</v>
      </c>
      <c r="B328" s="82" t="n">
        <v>2025</v>
      </c>
      <c r="C328" s="82" t="n">
        <v>3</v>
      </c>
      <c r="D328" s="83" t="s">
        <v>294</v>
      </c>
      <c r="E328" s="83" t="s">
        <v>299</v>
      </c>
      <c r="F328" s="83" t="s">
        <v>76</v>
      </c>
      <c r="G328" s="76" t="n">
        <v>2131</v>
      </c>
      <c r="H328" s="76" t="n">
        <v>1724</v>
      </c>
      <c r="I328" s="37" t="n">
        <f aca="false">G328-H328</f>
        <v>407</v>
      </c>
      <c r="J328" s="83" t="s">
        <v>624</v>
      </c>
    </row>
    <row r="329" customFormat="false" ht="15" hidden="false" customHeight="false" outlineLevel="0" collapsed="false">
      <c r="A329" s="81" t="n">
        <v>45777</v>
      </c>
      <c r="B329" s="82" t="n">
        <v>2025</v>
      </c>
      <c r="C329" s="82" t="n">
        <v>4</v>
      </c>
      <c r="D329" s="83" t="s">
        <v>334</v>
      </c>
      <c r="E329" s="83" t="s">
        <v>295</v>
      </c>
      <c r="F329" s="83" t="s">
        <v>73</v>
      </c>
      <c r="G329" s="76" t="n">
        <v>17311</v>
      </c>
      <c r="H329" s="76" t="n">
        <v>13039</v>
      </c>
      <c r="I329" s="37" t="n">
        <f aca="false">G329-H329</f>
        <v>4272</v>
      </c>
      <c r="J329" s="83" t="s">
        <v>625</v>
      </c>
    </row>
    <row r="330" customFormat="false" ht="15" hidden="false" customHeight="false" outlineLevel="0" collapsed="false">
      <c r="A330" s="81" t="n">
        <v>45777</v>
      </c>
      <c r="B330" s="82" t="n">
        <v>2025</v>
      </c>
      <c r="C330" s="82" t="n">
        <v>4</v>
      </c>
      <c r="D330" s="83" t="s">
        <v>334</v>
      </c>
      <c r="E330" s="83" t="s">
        <v>297</v>
      </c>
      <c r="F330" s="83" t="s">
        <v>73</v>
      </c>
      <c r="G330" s="76" t="n">
        <v>7104</v>
      </c>
      <c r="H330" s="76" t="n">
        <v>5358</v>
      </c>
      <c r="I330" s="37" t="n">
        <f aca="false">G330-H330</f>
        <v>1746</v>
      </c>
      <c r="J330" s="83" t="s">
        <v>626</v>
      </c>
    </row>
    <row r="331" customFormat="false" ht="15" hidden="false" customHeight="false" outlineLevel="0" collapsed="false">
      <c r="A331" s="81" t="n">
        <v>45777</v>
      </c>
      <c r="B331" s="82" t="n">
        <v>2025</v>
      </c>
      <c r="C331" s="82" t="n">
        <v>4</v>
      </c>
      <c r="D331" s="83" t="s">
        <v>334</v>
      </c>
      <c r="E331" s="83" t="s">
        <v>299</v>
      </c>
      <c r="F331" s="83" t="s">
        <v>73</v>
      </c>
      <c r="G331" s="76" t="n">
        <v>6149</v>
      </c>
      <c r="H331" s="76" t="n">
        <v>4608</v>
      </c>
      <c r="I331" s="37" t="n">
        <f aca="false">G331-H331</f>
        <v>1541</v>
      </c>
      <c r="J331" s="83" t="s">
        <v>627</v>
      </c>
    </row>
    <row r="332" customFormat="false" ht="15" hidden="false" customHeight="false" outlineLevel="0" collapsed="false">
      <c r="A332" s="81" t="n">
        <v>45777</v>
      </c>
      <c r="B332" s="82" t="n">
        <v>2025</v>
      </c>
      <c r="C332" s="82" t="n">
        <v>4</v>
      </c>
      <c r="D332" s="83" t="s">
        <v>334</v>
      </c>
      <c r="E332" s="83" t="s">
        <v>295</v>
      </c>
      <c r="F332" s="83" t="s">
        <v>74</v>
      </c>
      <c r="G332" s="76" t="n">
        <v>14251</v>
      </c>
      <c r="H332" s="76" t="n">
        <v>10417</v>
      </c>
      <c r="I332" s="37" t="n">
        <f aca="false">G332-H332</f>
        <v>3834</v>
      </c>
      <c r="J332" s="83" t="s">
        <v>628</v>
      </c>
    </row>
    <row r="333" customFormat="false" ht="15" hidden="false" customHeight="false" outlineLevel="0" collapsed="false">
      <c r="A333" s="81" t="n">
        <v>45777</v>
      </c>
      <c r="B333" s="82" t="n">
        <v>2025</v>
      </c>
      <c r="C333" s="82" t="n">
        <v>4</v>
      </c>
      <c r="D333" s="83" t="s">
        <v>334</v>
      </c>
      <c r="E333" s="83" t="s">
        <v>297</v>
      </c>
      <c r="F333" s="83" t="s">
        <v>74</v>
      </c>
      <c r="G333" s="76" t="n">
        <v>5463</v>
      </c>
      <c r="H333" s="76" t="n">
        <v>4007</v>
      </c>
      <c r="I333" s="37" t="n">
        <f aca="false">G333-H333</f>
        <v>1456</v>
      </c>
      <c r="J333" s="83" t="s">
        <v>629</v>
      </c>
    </row>
    <row r="334" customFormat="false" ht="15" hidden="false" customHeight="false" outlineLevel="0" collapsed="false">
      <c r="A334" s="81" t="n">
        <v>45777</v>
      </c>
      <c r="B334" s="82" t="n">
        <v>2025</v>
      </c>
      <c r="C334" s="82" t="n">
        <v>4</v>
      </c>
      <c r="D334" s="83" t="s">
        <v>334</v>
      </c>
      <c r="E334" s="83" t="s">
        <v>299</v>
      </c>
      <c r="F334" s="83" t="s">
        <v>74</v>
      </c>
      <c r="G334" s="76" t="n">
        <v>4939</v>
      </c>
      <c r="H334" s="76" t="n">
        <v>3589</v>
      </c>
      <c r="I334" s="37" t="n">
        <f aca="false">G334-H334</f>
        <v>1350</v>
      </c>
      <c r="J334" s="83" t="s">
        <v>630</v>
      </c>
    </row>
    <row r="335" customFormat="false" ht="15" hidden="false" customHeight="false" outlineLevel="0" collapsed="false">
      <c r="A335" s="81" t="n">
        <v>45777</v>
      </c>
      <c r="B335" s="82" t="n">
        <v>2025</v>
      </c>
      <c r="C335" s="82" t="n">
        <v>4</v>
      </c>
      <c r="D335" s="83" t="s">
        <v>334</v>
      </c>
      <c r="E335" s="83" t="s">
        <v>295</v>
      </c>
      <c r="F335" s="83" t="s">
        <v>75</v>
      </c>
      <c r="G335" s="76" t="n">
        <v>7563</v>
      </c>
      <c r="H335" s="76" t="n">
        <v>5308</v>
      </c>
      <c r="I335" s="37" t="n">
        <f aca="false">G335-H335</f>
        <v>2255</v>
      </c>
      <c r="J335" s="83" t="s">
        <v>631</v>
      </c>
    </row>
    <row r="336" customFormat="false" ht="15" hidden="false" customHeight="false" outlineLevel="0" collapsed="false">
      <c r="A336" s="81" t="n">
        <v>45777</v>
      </c>
      <c r="B336" s="82" t="n">
        <v>2025</v>
      </c>
      <c r="C336" s="82" t="n">
        <v>4</v>
      </c>
      <c r="D336" s="83" t="s">
        <v>334</v>
      </c>
      <c r="E336" s="83" t="s">
        <v>297</v>
      </c>
      <c r="F336" s="83" t="s">
        <v>75</v>
      </c>
      <c r="G336" s="76" t="n">
        <v>3154</v>
      </c>
      <c r="H336" s="76" t="n">
        <v>2199</v>
      </c>
      <c r="I336" s="37" t="n">
        <f aca="false">G336-H336</f>
        <v>955</v>
      </c>
      <c r="J336" s="83" t="s">
        <v>632</v>
      </c>
    </row>
    <row r="337" customFormat="false" ht="15" hidden="false" customHeight="false" outlineLevel="0" collapsed="false">
      <c r="A337" s="81" t="n">
        <v>45777</v>
      </c>
      <c r="B337" s="82" t="n">
        <v>2025</v>
      </c>
      <c r="C337" s="82" t="n">
        <v>4</v>
      </c>
      <c r="D337" s="83" t="s">
        <v>334</v>
      </c>
      <c r="E337" s="83" t="s">
        <v>299</v>
      </c>
      <c r="F337" s="83" t="s">
        <v>75</v>
      </c>
      <c r="G337" s="76" t="n">
        <v>2669</v>
      </c>
      <c r="H337" s="76" t="n">
        <v>1871</v>
      </c>
      <c r="I337" s="37" t="n">
        <f aca="false">G337-H337</f>
        <v>798</v>
      </c>
      <c r="J337" s="83" t="s">
        <v>633</v>
      </c>
    </row>
    <row r="338" customFormat="false" ht="15" hidden="false" customHeight="false" outlineLevel="0" collapsed="false">
      <c r="A338" s="81" t="n">
        <v>45777</v>
      </c>
      <c r="B338" s="82" t="n">
        <v>2025</v>
      </c>
      <c r="C338" s="82" t="n">
        <v>4</v>
      </c>
      <c r="D338" s="83" t="s">
        <v>334</v>
      </c>
      <c r="E338" s="83" t="s">
        <v>295</v>
      </c>
      <c r="F338" s="83" t="s">
        <v>76</v>
      </c>
      <c r="G338" s="76" t="n">
        <v>5819</v>
      </c>
      <c r="H338" s="76" t="n">
        <v>4739</v>
      </c>
      <c r="I338" s="37" t="n">
        <f aca="false">G338-H338</f>
        <v>1080</v>
      </c>
      <c r="J338" s="83" t="s">
        <v>634</v>
      </c>
    </row>
    <row r="339" customFormat="false" ht="15" hidden="false" customHeight="false" outlineLevel="0" collapsed="false">
      <c r="A339" s="81" t="n">
        <v>45777</v>
      </c>
      <c r="B339" s="82" t="n">
        <v>2025</v>
      </c>
      <c r="C339" s="82" t="n">
        <v>4</v>
      </c>
      <c r="D339" s="83" t="s">
        <v>334</v>
      </c>
      <c r="E339" s="83" t="s">
        <v>297</v>
      </c>
      <c r="F339" s="83" t="s">
        <v>76</v>
      </c>
      <c r="G339" s="76" t="n">
        <v>2462</v>
      </c>
      <c r="H339" s="76" t="n">
        <v>1983</v>
      </c>
      <c r="I339" s="37" t="n">
        <f aca="false">G339-H339</f>
        <v>479</v>
      </c>
      <c r="J339" s="83" t="s">
        <v>635</v>
      </c>
    </row>
    <row r="340" customFormat="false" ht="15" hidden="false" customHeight="false" outlineLevel="0" collapsed="false">
      <c r="A340" s="81" t="n">
        <v>45777</v>
      </c>
      <c r="B340" s="82" t="n">
        <v>2025</v>
      </c>
      <c r="C340" s="82" t="n">
        <v>4</v>
      </c>
      <c r="D340" s="83" t="s">
        <v>334</v>
      </c>
      <c r="E340" s="83" t="s">
        <v>299</v>
      </c>
      <c r="F340" s="83" t="s">
        <v>76</v>
      </c>
      <c r="G340" s="76" t="n">
        <v>2139</v>
      </c>
      <c r="H340" s="76" t="n">
        <v>1736</v>
      </c>
      <c r="I340" s="37" t="n">
        <f aca="false">G340-H340</f>
        <v>403</v>
      </c>
      <c r="J340" s="83" t="s">
        <v>636</v>
      </c>
    </row>
    <row r="341" customFormat="false" ht="15" hidden="false" customHeight="false" outlineLevel="0" collapsed="false">
      <c r="A341" s="81" t="n">
        <v>45808</v>
      </c>
      <c r="B341" s="82" t="n">
        <v>2025</v>
      </c>
      <c r="C341" s="82" t="n">
        <v>5</v>
      </c>
      <c r="D341" s="83" t="s">
        <v>334</v>
      </c>
      <c r="E341" s="83" t="s">
        <v>295</v>
      </c>
      <c r="F341" s="83" t="s">
        <v>73</v>
      </c>
      <c r="G341" s="76" t="n">
        <v>18374</v>
      </c>
      <c r="H341" s="76" t="n">
        <v>13828</v>
      </c>
      <c r="I341" s="37" t="n">
        <f aca="false">G341-H341</f>
        <v>4546</v>
      </c>
      <c r="J341" s="83" t="s">
        <v>637</v>
      </c>
    </row>
    <row r="342" customFormat="false" ht="15" hidden="false" customHeight="false" outlineLevel="0" collapsed="false">
      <c r="A342" s="81" t="n">
        <v>45808</v>
      </c>
      <c r="B342" s="82" t="n">
        <v>2025</v>
      </c>
      <c r="C342" s="82" t="n">
        <v>5</v>
      </c>
      <c r="D342" s="83" t="s">
        <v>334</v>
      </c>
      <c r="E342" s="83" t="s">
        <v>297</v>
      </c>
      <c r="F342" s="83" t="s">
        <v>73</v>
      </c>
      <c r="G342" s="76" t="n">
        <v>7142</v>
      </c>
      <c r="H342" s="76" t="n">
        <v>5348</v>
      </c>
      <c r="I342" s="37" t="n">
        <f aca="false">G342-H342</f>
        <v>1794</v>
      </c>
      <c r="J342" s="83" t="s">
        <v>638</v>
      </c>
    </row>
    <row r="343" customFormat="false" ht="15" hidden="false" customHeight="false" outlineLevel="0" collapsed="false">
      <c r="A343" s="81" t="n">
        <v>45808</v>
      </c>
      <c r="B343" s="82" t="n">
        <v>2025</v>
      </c>
      <c r="C343" s="82" t="n">
        <v>5</v>
      </c>
      <c r="D343" s="83" t="s">
        <v>334</v>
      </c>
      <c r="E343" s="83" t="s">
        <v>299</v>
      </c>
      <c r="F343" s="83" t="s">
        <v>73</v>
      </c>
      <c r="G343" s="76" t="n">
        <v>6106</v>
      </c>
      <c r="H343" s="76" t="n">
        <v>4581</v>
      </c>
      <c r="I343" s="37" t="n">
        <f aca="false">G343-H343</f>
        <v>1525</v>
      </c>
      <c r="J343" s="83" t="s">
        <v>639</v>
      </c>
    </row>
    <row r="344" customFormat="false" ht="15" hidden="false" customHeight="false" outlineLevel="0" collapsed="false">
      <c r="A344" s="81" t="n">
        <v>45808</v>
      </c>
      <c r="B344" s="82" t="n">
        <v>2025</v>
      </c>
      <c r="C344" s="82" t="n">
        <v>5</v>
      </c>
      <c r="D344" s="83" t="s">
        <v>334</v>
      </c>
      <c r="E344" s="83" t="s">
        <v>295</v>
      </c>
      <c r="F344" s="83" t="s">
        <v>74</v>
      </c>
      <c r="G344" s="76" t="n">
        <v>14610</v>
      </c>
      <c r="H344" s="76" t="n">
        <v>10709</v>
      </c>
      <c r="I344" s="37" t="n">
        <f aca="false">G344-H344</f>
        <v>3901</v>
      </c>
      <c r="J344" s="83" t="s">
        <v>640</v>
      </c>
    </row>
    <row r="345" customFormat="false" ht="15" hidden="false" customHeight="false" outlineLevel="0" collapsed="false">
      <c r="A345" s="81" t="n">
        <v>45808</v>
      </c>
      <c r="B345" s="82" t="n">
        <v>2025</v>
      </c>
      <c r="C345" s="82" t="n">
        <v>5</v>
      </c>
      <c r="D345" s="83" t="s">
        <v>334</v>
      </c>
      <c r="E345" s="83" t="s">
        <v>297</v>
      </c>
      <c r="F345" s="83" t="s">
        <v>74</v>
      </c>
      <c r="G345" s="76" t="n">
        <v>5757</v>
      </c>
      <c r="H345" s="76" t="n">
        <v>4184</v>
      </c>
      <c r="I345" s="37" t="n">
        <f aca="false">G345-H345</f>
        <v>1573</v>
      </c>
      <c r="J345" s="83" t="s">
        <v>641</v>
      </c>
    </row>
    <row r="346" customFormat="false" ht="15" hidden="false" customHeight="false" outlineLevel="0" collapsed="false">
      <c r="A346" s="81" t="n">
        <v>45808</v>
      </c>
      <c r="B346" s="82" t="n">
        <v>2025</v>
      </c>
      <c r="C346" s="82" t="n">
        <v>5</v>
      </c>
      <c r="D346" s="83" t="s">
        <v>334</v>
      </c>
      <c r="E346" s="83" t="s">
        <v>299</v>
      </c>
      <c r="F346" s="83" t="s">
        <v>74</v>
      </c>
      <c r="G346" s="76" t="n">
        <v>5098</v>
      </c>
      <c r="H346" s="76" t="n">
        <v>3724</v>
      </c>
      <c r="I346" s="37" t="n">
        <f aca="false">G346-H346</f>
        <v>1374</v>
      </c>
      <c r="J346" s="83" t="s">
        <v>642</v>
      </c>
    </row>
    <row r="347" customFormat="false" ht="15" hidden="false" customHeight="false" outlineLevel="0" collapsed="false">
      <c r="A347" s="81" t="n">
        <v>45808</v>
      </c>
      <c r="B347" s="82" t="n">
        <v>2025</v>
      </c>
      <c r="C347" s="82" t="n">
        <v>5</v>
      </c>
      <c r="D347" s="83" t="s">
        <v>334</v>
      </c>
      <c r="E347" s="83" t="s">
        <v>295</v>
      </c>
      <c r="F347" s="83" t="s">
        <v>75</v>
      </c>
      <c r="G347" s="76" t="n">
        <v>8225</v>
      </c>
      <c r="H347" s="76" t="n">
        <v>5754</v>
      </c>
      <c r="I347" s="37" t="n">
        <f aca="false">G347-H347</f>
        <v>2471</v>
      </c>
      <c r="J347" s="83" t="s">
        <v>643</v>
      </c>
    </row>
    <row r="348" customFormat="false" ht="15" hidden="false" customHeight="false" outlineLevel="0" collapsed="false">
      <c r="A348" s="81" t="n">
        <v>45808</v>
      </c>
      <c r="B348" s="82" t="n">
        <v>2025</v>
      </c>
      <c r="C348" s="82" t="n">
        <v>5</v>
      </c>
      <c r="D348" s="83" t="s">
        <v>334</v>
      </c>
      <c r="E348" s="83" t="s">
        <v>297</v>
      </c>
      <c r="F348" s="83" t="s">
        <v>75</v>
      </c>
      <c r="G348" s="76" t="n">
        <v>3249</v>
      </c>
      <c r="H348" s="76" t="n">
        <v>2277</v>
      </c>
      <c r="I348" s="37" t="n">
        <f aca="false">G348-H348</f>
        <v>972</v>
      </c>
      <c r="J348" s="83" t="s">
        <v>644</v>
      </c>
    </row>
    <row r="349" customFormat="false" ht="15" hidden="false" customHeight="false" outlineLevel="0" collapsed="false">
      <c r="A349" s="81" t="n">
        <v>45808</v>
      </c>
      <c r="B349" s="82" t="n">
        <v>2025</v>
      </c>
      <c r="C349" s="82" t="n">
        <v>5</v>
      </c>
      <c r="D349" s="83" t="s">
        <v>334</v>
      </c>
      <c r="E349" s="83" t="s">
        <v>299</v>
      </c>
      <c r="F349" s="83" t="s">
        <v>75</v>
      </c>
      <c r="G349" s="76" t="n">
        <v>2879</v>
      </c>
      <c r="H349" s="76" t="n">
        <v>2019</v>
      </c>
      <c r="I349" s="37" t="n">
        <f aca="false">G349-H349</f>
        <v>860</v>
      </c>
      <c r="J349" s="83" t="s">
        <v>645</v>
      </c>
    </row>
    <row r="350" customFormat="false" ht="15" hidden="false" customHeight="false" outlineLevel="0" collapsed="false">
      <c r="A350" s="81" t="n">
        <v>45808</v>
      </c>
      <c r="B350" s="82" t="n">
        <v>2025</v>
      </c>
      <c r="C350" s="82" t="n">
        <v>5</v>
      </c>
      <c r="D350" s="83" t="s">
        <v>334</v>
      </c>
      <c r="E350" s="83" t="s">
        <v>295</v>
      </c>
      <c r="F350" s="83" t="s">
        <v>76</v>
      </c>
      <c r="G350" s="76" t="n">
        <v>5957</v>
      </c>
      <c r="H350" s="76" t="n">
        <v>4811</v>
      </c>
      <c r="I350" s="37" t="n">
        <f aca="false">G350-H350</f>
        <v>1146</v>
      </c>
      <c r="J350" s="83" t="s">
        <v>646</v>
      </c>
    </row>
    <row r="351" customFormat="false" ht="15" hidden="false" customHeight="false" outlineLevel="0" collapsed="false">
      <c r="A351" s="81" t="n">
        <v>45808</v>
      </c>
      <c r="B351" s="82" t="n">
        <v>2025</v>
      </c>
      <c r="C351" s="82" t="n">
        <v>5</v>
      </c>
      <c r="D351" s="83" t="s">
        <v>334</v>
      </c>
      <c r="E351" s="83" t="s">
        <v>297</v>
      </c>
      <c r="F351" s="83" t="s">
        <v>76</v>
      </c>
      <c r="G351" s="76" t="n">
        <v>2456</v>
      </c>
      <c r="H351" s="76" t="n">
        <v>1988</v>
      </c>
      <c r="I351" s="37" t="n">
        <f aca="false">G351-H351</f>
        <v>468</v>
      </c>
      <c r="J351" s="83" t="s">
        <v>647</v>
      </c>
    </row>
    <row r="352" customFormat="false" ht="15" hidden="false" customHeight="false" outlineLevel="0" collapsed="false">
      <c r="A352" s="81" t="n">
        <v>45808</v>
      </c>
      <c r="B352" s="82" t="n">
        <v>2025</v>
      </c>
      <c r="C352" s="82" t="n">
        <v>5</v>
      </c>
      <c r="D352" s="83" t="s">
        <v>334</v>
      </c>
      <c r="E352" s="83" t="s">
        <v>299</v>
      </c>
      <c r="F352" s="83" t="s">
        <v>76</v>
      </c>
      <c r="G352" s="76" t="n">
        <v>2093</v>
      </c>
      <c r="H352" s="76" t="n">
        <v>1702</v>
      </c>
      <c r="I352" s="37" t="n">
        <f aca="false">G352-H352</f>
        <v>391</v>
      </c>
      <c r="J352" s="83" t="s">
        <v>648</v>
      </c>
    </row>
    <row r="353" customFormat="false" ht="15" hidden="false" customHeight="false" outlineLevel="0" collapsed="false">
      <c r="A353" s="81" t="n">
        <v>45838</v>
      </c>
      <c r="B353" s="82" t="n">
        <v>2025</v>
      </c>
      <c r="C353" s="82" t="n">
        <v>6</v>
      </c>
      <c r="D353" s="83" t="s">
        <v>334</v>
      </c>
      <c r="E353" s="83" t="s">
        <v>295</v>
      </c>
      <c r="F353" s="83" t="s">
        <v>73</v>
      </c>
      <c r="G353" s="76" t="n">
        <v>17777</v>
      </c>
      <c r="H353" s="76" t="n">
        <v>13338</v>
      </c>
      <c r="I353" s="37" t="n">
        <f aca="false">G353-H353</f>
        <v>4439</v>
      </c>
      <c r="J353" s="83" t="s">
        <v>649</v>
      </c>
    </row>
    <row r="354" customFormat="false" ht="15" hidden="false" customHeight="false" outlineLevel="0" collapsed="false">
      <c r="A354" s="81" t="n">
        <v>45838</v>
      </c>
      <c r="B354" s="82" t="n">
        <v>2025</v>
      </c>
      <c r="C354" s="82" t="n">
        <v>6</v>
      </c>
      <c r="D354" s="83" t="s">
        <v>334</v>
      </c>
      <c r="E354" s="83" t="s">
        <v>297</v>
      </c>
      <c r="F354" s="83" t="s">
        <v>73</v>
      </c>
      <c r="G354" s="76" t="n">
        <v>6990</v>
      </c>
      <c r="H354" s="76" t="n">
        <v>5228</v>
      </c>
      <c r="I354" s="37" t="n">
        <f aca="false">G354-H354</f>
        <v>1762</v>
      </c>
      <c r="J354" s="83" t="s">
        <v>650</v>
      </c>
    </row>
    <row r="355" customFormat="false" ht="15" hidden="false" customHeight="false" outlineLevel="0" collapsed="false">
      <c r="A355" s="81" t="n">
        <v>45838</v>
      </c>
      <c r="B355" s="82" t="n">
        <v>2025</v>
      </c>
      <c r="C355" s="82" t="n">
        <v>6</v>
      </c>
      <c r="D355" s="83" t="s">
        <v>334</v>
      </c>
      <c r="E355" s="83" t="s">
        <v>299</v>
      </c>
      <c r="F355" s="83" t="s">
        <v>73</v>
      </c>
      <c r="G355" s="76" t="n">
        <v>6055</v>
      </c>
      <c r="H355" s="76" t="n">
        <v>4546</v>
      </c>
      <c r="I355" s="37" t="n">
        <f aca="false">G355-H355</f>
        <v>1509</v>
      </c>
      <c r="J355" s="83" t="s">
        <v>651</v>
      </c>
    </row>
    <row r="356" customFormat="false" ht="15" hidden="false" customHeight="false" outlineLevel="0" collapsed="false">
      <c r="A356" s="81" t="n">
        <v>45838</v>
      </c>
      <c r="B356" s="82" t="n">
        <v>2025</v>
      </c>
      <c r="C356" s="82" t="n">
        <v>6</v>
      </c>
      <c r="D356" s="83" t="s">
        <v>334</v>
      </c>
      <c r="E356" s="83" t="s">
        <v>295</v>
      </c>
      <c r="F356" s="83" t="s">
        <v>74</v>
      </c>
      <c r="G356" s="76" t="n">
        <v>13781</v>
      </c>
      <c r="H356" s="76" t="n">
        <v>10111</v>
      </c>
      <c r="I356" s="37" t="n">
        <f aca="false">G356-H356</f>
        <v>3670</v>
      </c>
      <c r="J356" s="83" t="s">
        <v>652</v>
      </c>
    </row>
    <row r="357" customFormat="false" ht="15" hidden="false" customHeight="false" outlineLevel="0" collapsed="false">
      <c r="A357" s="81" t="n">
        <v>45838</v>
      </c>
      <c r="B357" s="82" t="n">
        <v>2025</v>
      </c>
      <c r="C357" s="82" t="n">
        <v>6</v>
      </c>
      <c r="D357" s="83" t="s">
        <v>334</v>
      </c>
      <c r="E357" s="83" t="s">
        <v>297</v>
      </c>
      <c r="F357" s="83" t="s">
        <v>74</v>
      </c>
      <c r="G357" s="76" t="n">
        <v>5730</v>
      </c>
      <c r="H357" s="76" t="n">
        <v>4177</v>
      </c>
      <c r="I357" s="37" t="n">
        <f aca="false">G357-H357</f>
        <v>1553</v>
      </c>
      <c r="J357" s="83" t="s">
        <v>653</v>
      </c>
    </row>
    <row r="358" customFormat="false" ht="15" hidden="false" customHeight="false" outlineLevel="0" collapsed="false">
      <c r="A358" s="81" t="n">
        <v>45838</v>
      </c>
      <c r="B358" s="82" t="n">
        <v>2025</v>
      </c>
      <c r="C358" s="82" t="n">
        <v>6</v>
      </c>
      <c r="D358" s="83" t="s">
        <v>334</v>
      </c>
      <c r="E358" s="83" t="s">
        <v>299</v>
      </c>
      <c r="F358" s="83" t="s">
        <v>74</v>
      </c>
      <c r="G358" s="76" t="n">
        <v>5007</v>
      </c>
      <c r="H358" s="76" t="n">
        <v>3658</v>
      </c>
      <c r="I358" s="37" t="n">
        <f aca="false">G358-H358</f>
        <v>1349</v>
      </c>
      <c r="J358" s="83" t="s">
        <v>654</v>
      </c>
    </row>
    <row r="359" customFormat="false" ht="15" hidden="false" customHeight="false" outlineLevel="0" collapsed="false">
      <c r="A359" s="81" t="n">
        <v>45838</v>
      </c>
      <c r="B359" s="82" t="n">
        <v>2025</v>
      </c>
      <c r="C359" s="82" t="n">
        <v>6</v>
      </c>
      <c r="D359" s="83" t="s">
        <v>334</v>
      </c>
      <c r="E359" s="83" t="s">
        <v>295</v>
      </c>
      <c r="F359" s="83" t="s">
        <v>75</v>
      </c>
      <c r="G359" s="76" t="n">
        <v>7899</v>
      </c>
      <c r="H359" s="76" t="n">
        <v>5528</v>
      </c>
      <c r="I359" s="37" t="n">
        <f aca="false">G359-H359</f>
        <v>2371</v>
      </c>
      <c r="J359" s="83" t="s">
        <v>655</v>
      </c>
    </row>
    <row r="360" customFormat="false" ht="15" hidden="false" customHeight="false" outlineLevel="0" collapsed="false">
      <c r="A360" s="81" t="n">
        <v>45838</v>
      </c>
      <c r="B360" s="82" t="n">
        <v>2025</v>
      </c>
      <c r="C360" s="82" t="n">
        <v>6</v>
      </c>
      <c r="D360" s="83" t="s">
        <v>334</v>
      </c>
      <c r="E360" s="83" t="s">
        <v>297</v>
      </c>
      <c r="F360" s="83" t="s">
        <v>75</v>
      </c>
      <c r="G360" s="76" t="n">
        <v>3104</v>
      </c>
      <c r="H360" s="76" t="n">
        <v>2183</v>
      </c>
      <c r="I360" s="37" t="n">
        <f aca="false">G360-H360</f>
        <v>921</v>
      </c>
      <c r="J360" s="83" t="s">
        <v>656</v>
      </c>
    </row>
    <row r="361" customFormat="false" ht="15" hidden="false" customHeight="false" outlineLevel="0" collapsed="false">
      <c r="A361" s="81" t="n">
        <v>45838</v>
      </c>
      <c r="B361" s="82" t="n">
        <v>2025</v>
      </c>
      <c r="C361" s="82" t="n">
        <v>6</v>
      </c>
      <c r="D361" s="83" t="s">
        <v>334</v>
      </c>
      <c r="E361" s="83" t="s">
        <v>299</v>
      </c>
      <c r="F361" s="83" t="s">
        <v>75</v>
      </c>
      <c r="G361" s="76" t="n">
        <v>2718</v>
      </c>
      <c r="H361" s="76" t="n">
        <v>1894</v>
      </c>
      <c r="I361" s="37" t="n">
        <f aca="false">G361-H361</f>
        <v>824</v>
      </c>
      <c r="J361" s="83" t="s">
        <v>657</v>
      </c>
    </row>
    <row r="362" customFormat="false" ht="15" hidden="false" customHeight="false" outlineLevel="0" collapsed="false">
      <c r="A362" s="81" t="n">
        <v>45838</v>
      </c>
      <c r="B362" s="82" t="n">
        <v>2025</v>
      </c>
      <c r="C362" s="82" t="n">
        <v>6</v>
      </c>
      <c r="D362" s="83" t="s">
        <v>334</v>
      </c>
      <c r="E362" s="83" t="s">
        <v>295</v>
      </c>
      <c r="F362" s="83" t="s">
        <v>76</v>
      </c>
      <c r="G362" s="76" t="n">
        <v>5843</v>
      </c>
      <c r="H362" s="76" t="n">
        <v>4735</v>
      </c>
      <c r="I362" s="37" t="n">
        <f aca="false">G362-H362</f>
        <v>1108</v>
      </c>
      <c r="J362" s="83" t="s">
        <v>658</v>
      </c>
    </row>
    <row r="363" customFormat="false" ht="15" hidden="false" customHeight="false" outlineLevel="0" collapsed="false">
      <c r="A363" s="81" t="n">
        <v>45838</v>
      </c>
      <c r="B363" s="82" t="n">
        <v>2025</v>
      </c>
      <c r="C363" s="82" t="n">
        <v>6</v>
      </c>
      <c r="D363" s="83" t="s">
        <v>334</v>
      </c>
      <c r="E363" s="83" t="s">
        <v>297</v>
      </c>
      <c r="F363" s="83" t="s">
        <v>76</v>
      </c>
      <c r="G363" s="76" t="n">
        <v>2381</v>
      </c>
      <c r="H363" s="76" t="n">
        <v>1940</v>
      </c>
      <c r="I363" s="37" t="n">
        <f aca="false">G363-H363</f>
        <v>441</v>
      </c>
      <c r="J363" s="83" t="s">
        <v>659</v>
      </c>
    </row>
    <row r="364" customFormat="false" ht="15" hidden="false" customHeight="false" outlineLevel="0" collapsed="false">
      <c r="A364" s="81" t="n">
        <v>45838</v>
      </c>
      <c r="B364" s="82" t="n">
        <v>2025</v>
      </c>
      <c r="C364" s="82" t="n">
        <v>6</v>
      </c>
      <c r="D364" s="83" t="s">
        <v>334</v>
      </c>
      <c r="E364" s="83" t="s">
        <v>299</v>
      </c>
      <c r="F364" s="83" t="s">
        <v>76</v>
      </c>
      <c r="G364" s="76" t="n">
        <v>2133</v>
      </c>
      <c r="H364" s="76" t="n">
        <v>1719</v>
      </c>
      <c r="I364" s="37" t="n">
        <f aca="false">G364-H364</f>
        <v>414</v>
      </c>
      <c r="J364" s="83" t="s">
        <v>660</v>
      </c>
    </row>
    <row r="365" customFormat="false" ht="15" hidden="false" customHeight="false" outlineLevel="0" collapsed="false">
      <c r="A365" s="81" t="n">
        <v>45869</v>
      </c>
      <c r="B365" s="82" t="n">
        <v>2025</v>
      </c>
      <c r="C365" s="82" t="n">
        <v>7</v>
      </c>
      <c r="D365" s="83" t="s">
        <v>371</v>
      </c>
      <c r="E365" s="83" t="s">
        <v>295</v>
      </c>
      <c r="F365" s="83" t="s">
        <v>73</v>
      </c>
      <c r="G365" s="76" t="n">
        <v>18399</v>
      </c>
      <c r="H365" s="76" t="n">
        <v>13736</v>
      </c>
      <c r="I365" s="37" t="n">
        <f aca="false">G365-H365</f>
        <v>4663</v>
      </c>
      <c r="J365" s="83" t="s">
        <v>661</v>
      </c>
    </row>
    <row r="366" customFormat="false" ht="15" hidden="false" customHeight="false" outlineLevel="0" collapsed="false">
      <c r="A366" s="81" t="n">
        <v>45869</v>
      </c>
      <c r="B366" s="82" t="n">
        <v>2025</v>
      </c>
      <c r="C366" s="82" t="n">
        <v>7</v>
      </c>
      <c r="D366" s="83" t="s">
        <v>371</v>
      </c>
      <c r="E366" s="83" t="s">
        <v>297</v>
      </c>
      <c r="F366" s="83" t="s">
        <v>73</v>
      </c>
      <c r="G366" s="76" t="n">
        <v>7585</v>
      </c>
      <c r="H366" s="76" t="n">
        <v>5716</v>
      </c>
      <c r="I366" s="37" t="n">
        <f aca="false">G366-H366</f>
        <v>1869</v>
      </c>
      <c r="J366" s="83" t="s">
        <v>662</v>
      </c>
    </row>
    <row r="367" customFormat="false" ht="15" hidden="false" customHeight="false" outlineLevel="0" collapsed="false">
      <c r="A367" s="81" t="n">
        <v>45869</v>
      </c>
      <c r="B367" s="82" t="n">
        <v>2025</v>
      </c>
      <c r="C367" s="82" t="n">
        <v>7</v>
      </c>
      <c r="D367" s="83" t="s">
        <v>371</v>
      </c>
      <c r="E367" s="83" t="s">
        <v>299</v>
      </c>
      <c r="F367" s="83" t="s">
        <v>73</v>
      </c>
      <c r="G367" s="76" t="n">
        <v>6500</v>
      </c>
      <c r="H367" s="76" t="n">
        <v>4864</v>
      </c>
      <c r="I367" s="37" t="n">
        <f aca="false">G367-H367</f>
        <v>1636</v>
      </c>
      <c r="J367" s="83" t="s">
        <v>663</v>
      </c>
    </row>
    <row r="368" customFormat="false" ht="15" hidden="false" customHeight="false" outlineLevel="0" collapsed="false">
      <c r="A368" s="81" t="n">
        <v>45869</v>
      </c>
      <c r="B368" s="82" t="n">
        <v>2025</v>
      </c>
      <c r="C368" s="82" t="n">
        <v>7</v>
      </c>
      <c r="D368" s="83" t="s">
        <v>371</v>
      </c>
      <c r="E368" s="83" t="s">
        <v>295</v>
      </c>
      <c r="F368" s="83" t="s">
        <v>74</v>
      </c>
      <c r="G368" s="76" t="n">
        <v>13588</v>
      </c>
      <c r="H368" s="76" t="n">
        <v>9898</v>
      </c>
      <c r="I368" s="37" t="n">
        <f aca="false">G368-H368</f>
        <v>3690</v>
      </c>
      <c r="J368" s="83" t="s">
        <v>664</v>
      </c>
    </row>
    <row r="369" customFormat="false" ht="15" hidden="false" customHeight="false" outlineLevel="0" collapsed="false">
      <c r="A369" s="81" t="n">
        <v>45869</v>
      </c>
      <c r="B369" s="82" t="n">
        <v>2025</v>
      </c>
      <c r="C369" s="82" t="n">
        <v>7</v>
      </c>
      <c r="D369" s="83" t="s">
        <v>371</v>
      </c>
      <c r="E369" s="83" t="s">
        <v>297</v>
      </c>
      <c r="F369" s="83" t="s">
        <v>74</v>
      </c>
      <c r="G369" s="76" t="n">
        <v>5623</v>
      </c>
      <c r="H369" s="76" t="n">
        <v>4114</v>
      </c>
      <c r="I369" s="37" t="n">
        <f aca="false">G369-H369</f>
        <v>1509</v>
      </c>
      <c r="J369" s="83" t="s">
        <v>665</v>
      </c>
    </row>
    <row r="370" customFormat="false" ht="15" hidden="false" customHeight="false" outlineLevel="0" collapsed="false">
      <c r="A370" s="81" t="n">
        <v>45869</v>
      </c>
      <c r="B370" s="82" t="n">
        <v>2025</v>
      </c>
      <c r="C370" s="82" t="n">
        <v>7</v>
      </c>
      <c r="D370" s="83" t="s">
        <v>371</v>
      </c>
      <c r="E370" s="83" t="s">
        <v>299</v>
      </c>
      <c r="F370" s="83" t="s">
        <v>74</v>
      </c>
      <c r="G370" s="76" t="n">
        <v>4747</v>
      </c>
      <c r="H370" s="76" t="n">
        <v>3466</v>
      </c>
      <c r="I370" s="37" t="n">
        <f aca="false">G370-H370</f>
        <v>1281</v>
      </c>
      <c r="J370" s="83" t="s">
        <v>666</v>
      </c>
    </row>
    <row r="371" customFormat="false" ht="15" hidden="false" customHeight="false" outlineLevel="0" collapsed="false">
      <c r="A371" s="81" t="n">
        <v>45869</v>
      </c>
      <c r="B371" s="82" t="n">
        <v>2025</v>
      </c>
      <c r="C371" s="82" t="n">
        <v>7</v>
      </c>
      <c r="D371" s="83" t="s">
        <v>371</v>
      </c>
      <c r="E371" s="83" t="s">
        <v>295</v>
      </c>
      <c r="F371" s="83" t="s">
        <v>75</v>
      </c>
      <c r="G371" s="76" t="n">
        <v>8330</v>
      </c>
      <c r="H371" s="76" t="n">
        <v>5825</v>
      </c>
      <c r="I371" s="37" t="n">
        <f aca="false">G371-H371</f>
        <v>2505</v>
      </c>
      <c r="J371" s="83" t="s">
        <v>667</v>
      </c>
    </row>
    <row r="372" customFormat="false" ht="15" hidden="false" customHeight="false" outlineLevel="0" collapsed="false">
      <c r="A372" s="81" t="n">
        <v>45869</v>
      </c>
      <c r="B372" s="82" t="n">
        <v>2025</v>
      </c>
      <c r="C372" s="82" t="n">
        <v>7</v>
      </c>
      <c r="D372" s="83" t="s">
        <v>371</v>
      </c>
      <c r="E372" s="83" t="s">
        <v>297</v>
      </c>
      <c r="F372" s="83" t="s">
        <v>75</v>
      </c>
      <c r="G372" s="76" t="n">
        <v>3290</v>
      </c>
      <c r="H372" s="76" t="n">
        <v>2306</v>
      </c>
      <c r="I372" s="37" t="n">
        <f aca="false">G372-H372</f>
        <v>984</v>
      </c>
      <c r="J372" s="83" t="s">
        <v>668</v>
      </c>
    </row>
    <row r="373" customFormat="false" ht="15" hidden="false" customHeight="false" outlineLevel="0" collapsed="false">
      <c r="A373" s="81" t="n">
        <v>45869</v>
      </c>
      <c r="B373" s="82" t="n">
        <v>2025</v>
      </c>
      <c r="C373" s="82" t="n">
        <v>7</v>
      </c>
      <c r="D373" s="83" t="s">
        <v>371</v>
      </c>
      <c r="E373" s="83" t="s">
        <v>299</v>
      </c>
      <c r="F373" s="83" t="s">
        <v>75</v>
      </c>
      <c r="G373" s="76" t="n">
        <v>2852</v>
      </c>
      <c r="H373" s="76" t="n">
        <v>2003</v>
      </c>
      <c r="I373" s="37" t="n">
        <f aca="false">G373-H373</f>
        <v>849</v>
      </c>
      <c r="J373" s="83" t="s">
        <v>669</v>
      </c>
    </row>
    <row r="374" customFormat="false" ht="15" hidden="false" customHeight="false" outlineLevel="0" collapsed="false">
      <c r="A374" s="81" t="n">
        <v>45869</v>
      </c>
      <c r="B374" s="82" t="n">
        <v>2025</v>
      </c>
      <c r="C374" s="82" t="n">
        <v>7</v>
      </c>
      <c r="D374" s="83" t="s">
        <v>371</v>
      </c>
      <c r="E374" s="83" t="s">
        <v>295</v>
      </c>
      <c r="F374" s="83" t="s">
        <v>76</v>
      </c>
      <c r="G374" s="76" t="n">
        <v>6112</v>
      </c>
      <c r="H374" s="76" t="n">
        <v>4956</v>
      </c>
      <c r="I374" s="37" t="n">
        <f aca="false">G374-H374</f>
        <v>1156</v>
      </c>
      <c r="J374" s="83" t="s">
        <v>670</v>
      </c>
    </row>
    <row r="375" customFormat="false" ht="15" hidden="false" customHeight="false" outlineLevel="0" collapsed="false">
      <c r="A375" s="81" t="n">
        <v>45869</v>
      </c>
      <c r="B375" s="82" t="n">
        <v>2025</v>
      </c>
      <c r="C375" s="82" t="n">
        <v>7</v>
      </c>
      <c r="D375" s="83" t="s">
        <v>371</v>
      </c>
      <c r="E375" s="83" t="s">
        <v>297</v>
      </c>
      <c r="F375" s="83" t="s">
        <v>76</v>
      </c>
      <c r="G375" s="76" t="n">
        <v>2451</v>
      </c>
      <c r="H375" s="76" t="n">
        <v>1974</v>
      </c>
      <c r="I375" s="37" t="n">
        <f aca="false">G375-H375</f>
        <v>477</v>
      </c>
      <c r="J375" s="83" t="s">
        <v>671</v>
      </c>
    </row>
    <row r="376" customFormat="false" ht="15" hidden="false" customHeight="false" outlineLevel="0" collapsed="false">
      <c r="A376" s="81" t="n">
        <v>45869</v>
      </c>
      <c r="B376" s="82" t="n">
        <v>2025</v>
      </c>
      <c r="C376" s="82" t="n">
        <v>7</v>
      </c>
      <c r="D376" s="83" t="s">
        <v>371</v>
      </c>
      <c r="E376" s="83" t="s">
        <v>299</v>
      </c>
      <c r="F376" s="83" t="s">
        <v>76</v>
      </c>
      <c r="G376" s="76" t="n">
        <v>2190</v>
      </c>
      <c r="H376" s="76" t="n">
        <v>1771</v>
      </c>
      <c r="I376" s="37" t="n">
        <f aca="false">G376-H376</f>
        <v>419</v>
      </c>
      <c r="J376" s="83" t="s">
        <v>672</v>
      </c>
    </row>
    <row r="377" customFormat="false" ht="15" hidden="false" customHeight="false" outlineLevel="0" collapsed="false">
      <c r="A377" s="81" t="n">
        <v>45900</v>
      </c>
      <c r="B377" s="82" t="n">
        <v>2025</v>
      </c>
      <c r="C377" s="82" t="n">
        <v>8</v>
      </c>
      <c r="D377" s="83" t="s">
        <v>371</v>
      </c>
      <c r="E377" s="83" t="s">
        <v>295</v>
      </c>
      <c r="F377" s="83" t="s">
        <v>73</v>
      </c>
      <c r="G377" s="76" t="n">
        <v>18125</v>
      </c>
      <c r="H377" s="76" t="n">
        <v>13588</v>
      </c>
      <c r="I377" s="37" t="n">
        <f aca="false">G377-H377</f>
        <v>4537</v>
      </c>
      <c r="J377" s="83" t="s">
        <v>673</v>
      </c>
    </row>
    <row r="378" customFormat="false" ht="15" hidden="false" customHeight="false" outlineLevel="0" collapsed="false">
      <c r="A378" s="81" t="n">
        <v>45900</v>
      </c>
      <c r="B378" s="82" t="n">
        <v>2025</v>
      </c>
      <c r="C378" s="82" t="n">
        <v>8</v>
      </c>
      <c r="D378" s="83" t="s">
        <v>371</v>
      </c>
      <c r="E378" s="83" t="s">
        <v>297</v>
      </c>
      <c r="F378" s="83" t="s">
        <v>73</v>
      </c>
      <c r="G378" s="76" t="n">
        <v>7361</v>
      </c>
      <c r="H378" s="76" t="n">
        <v>5504</v>
      </c>
      <c r="I378" s="37" t="n">
        <f aca="false">G378-H378</f>
        <v>1857</v>
      </c>
      <c r="J378" s="83" t="s">
        <v>674</v>
      </c>
    </row>
    <row r="379" customFormat="false" ht="15" hidden="false" customHeight="false" outlineLevel="0" collapsed="false">
      <c r="A379" s="81" t="n">
        <v>45900</v>
      </c>
      <c r="B379" s="82" t="n">
        <v>2025</v>
      </c>
      <c r="C379" s="82" t="n">
        <v>8</v>
      </c>
      <c r="D379" s="83" t="s">
        <v>371</v>
      </c>
      <c r="E379" s="83" t="s">
        <v>299</v>
      </c>
      <c r="F379" s="83" t="s">
        <v>73</v>
      </c>
      <c r="G379" s="76" t="n">
        <v>6551</v>
      </c>
      <c r="H379" s="76" t="n">
        <v>4900</v>
      </c>
      <c r="I379" s="37" t="n">
        <f aca="false">G379-H379</f>
        <v>1651</v>
      </c>
      <c r="J379" s="83" t="s">
        <v>675</v>
      </c>
    </row>
    <row r="380" customFormat="false" ht="15" hidden="false" customHeight="false" outlineLevel="0" collapsed="false">
      <c r="A380" s="81" t="n">
        <v>45900</v>
      </c>
      <c r="B380" s="82" t="n">
        <v>2025</v>
      </c>
      <c r="C380" s="82" t="n">
        <v>8</v>
      </c>
      <c r="D380" s="83" t="s">
        <v>371</v>
      </c>
      <c r="E380" s="83" t="s">
        <v>295</v>
      </c>
      <c r="F380" s="83" t="s">
        <v>74</v>
      </c>
      <c r="G380" s="76" t="n">
        <v>13822</v>
      </c>
      <c r="H380" s="76" t="n">
        <v>10119</v>
      </c>
      <c r="I380" s="37" t="n">
        <f aca="false">G380-H380</f>
        <v>3703</v>
      </c>
      <c r="J380" s="83" t="s">
        <v>676</v>
      </c>
    </row>
    <row r="381" customFormat="false" ht="15" hidden="false" customHeight="false" outlineLevel="0" collapsed="false">
      <c r="A381" s="81" t="n">
        <v>45900</v>
      </c>
      <c r="B381" s="82" t="n">
        <v>2025</v>
      </c>
      <c r="C381" s="82" t="n">
        <v>8</v>
      </c>
      <c r="D381" s="83" t="s">
        <v>371</v>
      </c>
      <c r="E381" s="83" t="s">
        <v>297</v>
      </c>
      <c r="F381" s="83" t="s">
        <v>74</v>
      </c>
      <c r="G381" s="76" t="n">
        <v>5441</v>
      </c>
      <c r="H381" s="76" t="n">
        <v>3977</v>
      </c>
      <c r="I381" s="37" t="n">
        <f aca="false">G381-H381</f>
        <v>1464</v>
      </c>
      <c r="J381" s="83" t="s">
        <v>677</v>
      </c>
    </row>
    <row r="382" customFormat="false" ht="15" hidden="false" customHeight="false" outlineLevel="0" collapsed="false">
      <c r="A382" s="81" t="n">
        <v>45900</v>
      </c>
      <c r="B382" s="82" t="n">
        <v>2025</v>
      </c>
      <c r="C382" s="82" t="n">
        <v>8</v>
      </c>
      <c r="D382" s="83" t="s">
        <v>371</v>
      </c>
      <c r="E382" s="83" t="s">
        <v>299</v>
      </c>
      <c r="F382" s="83" t="s">
        <v>74</v>
      </c>
      <c r="G382" s="76" t="n">
        <v>4875</v>
      </c>
      <c r="H382" s="76" t="n">
        <v>3578</v>
      </c>
      <c r="I382" s="37" t="n">
        <f aca="false">G382-H382</f>
        <v>1297</v>
      </c>
      <c r="J382" s="83" t="s">
        <v>678</v>
      </c>
    </row>
    <row r="383" customFormat="false" ht="15" hidden="false" customHeight="false" outlineLevel="0" collapsed="false">
      <c r="A383" s="81" t="n">
        <v>45900</v>
      </c>
      <c r="B383" s="82" t="n">
        <v>2025</v>
      </c>
      <c r="C383" s="82" t="n">
        <v>8</v>
      </c>
      <c r="D383" s="83" t="s">
        <v>371</v>
      </c>
      <c r="E383" s="83" t="s">
        <v>295</v>
      </c>
      <c r="F383" s="83" t="s">
        <v>75</v>
      </c>
      <c r="G383" s="76" t="n">
        <v>8131</v>
      </c>
      <c r="H383" s="76" t="n">
        <v>5683</v>
      </c>
      <c r="I383" s="37" t="n">
        <f aca="false">G383-H383</f>
        <v>2448</v>
      </c>
      <c r="J383" s="83" t="s">
        <v>679</v>
      </c>
    </row>
    <row r="384" customFormat="false" ht="15" hidden="false" customHeight="false" outlineLevel="0" collapsed="false">
      <c r="A384" s="81" t="n">
        <v>45900</v>
      </c>
      <c r="B384" s="82" t="n">
        <v>2025</v>
      </c>
      <c r="C384" s="82" t="n">
        <v>8</v>
      </c>
      <c r="D384" s="83" t="s">
        <v>371</v>
      </c>
      <c r="E384" s="83" t="s">
        <v>297</v>
      </c>
      <c r="F384" s="83" t="s">
        <v>75</v>
      </c>
      <c r="G384" s="76" t="n">
        <v>3300</v>
      </c>
      <c r="H384" s="76" t="n">
        <v>2298</v>
      </c>
      <c r="I384" s="37" t="n">
        <f aca="false">G384-H384</f>
        <v>1002</v>
      </c>
      <c r="J384" s="83" t="s">
        <v>680</v>
      </c>
    </row>
    <row r="385" customFormat="false" ht="15" hidden="false" customHeight="false" outlineLevel="0" collapsed="false">
      <c r="A385" s="81" t="n">
        <v>45900</v>
      </c>
      <c r="B385" s="82" t="n">
        <v>2025</v>
      </c>
      <c r="C385" s="82" t="n">
        <v>8</v>
      </c>
      <c r="D385" s="83" t="s">
        <v>371</v>
      </c>
      <c r="E385" s="83" t="s">
        <v>299</v>
      </c>
      <c r="F385" s="83" t="s">
        <v>75</v>
      </c>
      <c r="G385" s="76" t="n">
        <v>2861</v>
      </c>
      <c r="H385" s="76" t="n">
        <v>2000</v>
      </c>
      <c r="I385" s="37" t="n">
        <f aca="false">G385-H385</f>
        <v>861</v>
      </c>
      <c r="J385" s="83" t="s">
        <v>681</v>
      </c>
    </row>
    <row r="386" customFormat="false" ht="15" hidden="false" customHeight="false" outlineLevel="0" collapsed="false">
      <c r="A386" s="81" t="n">
        <v>45900</v>
      </c>
      <c r="B386" s="82" t="n">
        <v>2025</v>
      </c>
      <c r="C386" s="82" t="n">
        <v>8</v>
      </c>
      <c r="D386" s="83" t="s">
        <v>371</v>
      </c>
      <c r="E386" s="83" t="s">
        <v>295</v>
      </c>
      <c r="F386" s="83" t="s">
        <v>76</v>
      </c>
      <c r="G386" s="76" t="n">
        <v>5997</v>
      </c>
      <c r="H386" s="76" t="n">
        <v>4835</v>
      </c>
      <c r="I386" s="37" t="n">
        <f aca="false">G386-H386</f>
        <v>1162</v>
      </c>
      <c r="J386" s="83" t="s">
        <v>682</v>
      </c>
    </row>
    <row r="387" customFormat="false" ht="15" hidden="false" customHeight="false" outlineLevel="0" collapsed="false">
      <c r="A387" s="81" t="n">
        <v>45900</v>
      </c>
      <c r="B387" s="82" t="n">
        <v>2025</v>
      </c>
      <c r="C387" s="82" t="n">
        <v>8</v>
      </c>
      <c r="D387" s="83" t="s">
        <v>371</v>
      </c>
      <c r="E387" s="83" t="s">
        <v>297</v>
      </c>
      <c r="F387" s="83" t="s">
        <v>76</v>
      </c>
      <c r="G387" s="76" t="n">
        <v>2550</v>
      </c>
      <c r="H387" s="76" t="n">
        <v>2063</v>
      </c>
      <c r="I387" s="37" t="n">
        <f aca="false">G387-H387</f>
        <v>487</v>
      </c>
      <c r="J387" s="83" t="s">
        <v>683</v>
      </c>
    </row>
    <row r="388" customFormat="false" ht="15" hidden="false" customHeight="false" outlineLevel="0" collapsed="false">
      <c r="A388" s="81" t="n">
        <v>45900</v>
      </c>
      <c r="B388" s="82" t="n">
        <v>2025</v>
      </c>
      <c r="C388" s="82" t="n">
        <v>8</v>
      </c>
      <c r="D388" s="83" t="s">
        <v>371</v>
      </c>
      <c r="E388" s="83" t="s">
        <v>299</v>
      </c>
      <c r="F388" s="83" t="s">
        <v>76</v>
      </c>
      <c r="G388" s="76" t="n">
        <v>2091</v>
      </c>
      <c r="H388" s="76" t="n">
        <v>1688</v>
      </c>
      <c r="I388" s="37" t="n">
        <f aca="false">G388-H388</f>
        <v>403</v>
      </c>
      <c r="J388" s="83" t="s">
        <v>684</v>
      </c>
    </row>
    <row r="389" customFormat="false" ht="15" hidden="false" customHeight="false" outlineLevel="0" collapsed="false">
      <c r="A389" s="81" t="n">
        <v>45930</v>
      </c>
      <c r="B389" s="82" t="n">
        <v>2025</v>
      </c>
      <c r="C389" s="82" t="n">
        <v>9</v>
      </c>
      <c r="D389" s="83" t="s">
        <v>371</v>
      </c>
      <c r="E389" s="83" t="s">
        <v>295</v>
      </c>
      <c r="F389" s="83" t="s">
        <v>73</v>
      </c>
      <c r="G389" s="76" t="n">
        <v>18204</v>
      </c>
      <c r="H389" s="76" t="n">
        <v>13702</v>
      </c>
      <c r="I389" s="37" t="n">
        <f aca="false">G389-H389</f>
        <v>4502</v>
      </c>
      <c r="J389" s="83" t="s">
        <v>685</v>
      </c>
    </row>
    <row r="390" customFormat="false" ht="15" hidden="false" customHeight="false" outlineLevel="0" collapsed="false">
      <c r="A390" s="81" t="n">
        <v>45930</v>
      </c>
      <c r="B390" s="82" t="n">
        <v>2025</v>
      </c>
      <c r="C390" s="82" t="n">
        <v>9</v>
      </c>
      <c r="D390" s="83" t="s">
        <v>371</v>
      </c>
      <c r="E390" s="83" t="s">
        <v>297</v>
      </c>
      <c r="F390" s="83" t="s">
        <v>73</v>
      </c>
      <c r="G390" s="76" t="n">
        <v>7463</v>
      </c>
      <c r="H390" s="76" t="n">
        <v>5625</v>
      </c>
      <c r="I390" s="37" t="n">
        <f aca="false">G390-H390</f>
        <v>1838</v>
      </c>
      <c r="J390" s="83" t="s">
        <v>686</v>
      </c>
    </row>
    <row r="391" customFormat="false" ht="15" hidden="false" customHeight="false" outlineLevel="0" collapsed="false">
      <c r="A391" s="81" t="n">
        <v>45930</v>
      </c>
      <c r="B391" s="82" t="n">
        <v>2025</v>
      </c>
      <c r="C391" s="82" t="n">
        <v>9</v>
      </c>
      <c r="D391" s="83" t="s">
        <v>371</v>
      </c>
      <c r="E391" s="83" t="s">
        <v>299</v>
      </c>
      <c r="F391" s="83" t="s">
        <v>73</v>
      </c>
      <c r="G391" s="76" t="n">
        <v>6318</v>
      </c>
      <c r="H391" s="76" t="n">
        <v>4720</v>
      </c>
      <c r="I391" s="37" t="n">
        <f aca="false">G391-H391</f>
        <v>1598</v>
      </c>
      <c r="J391" s="83" t="s">
        <v>687</v>
      </c>
    </row>
    <row r="392" customFormat="false" ht="15" hidden="false" customHeight="false" outlineLevel="0" collapsed="false">
      <c r="A392" s="81" t="n">
        <v>45930</v>
      </c>
      <c r="B392" s="82" t="n">
        <v>2025</v>
      </c>
      <c r="C392" s="82" t="n">
        <v>9</v>
      </c>
      <c r="D392" s="83" t="s">
        <v>371</v>
      </c>
      <c r="E392" s="83" t="s">
        <v>295</v>
      </c>
      <c r="F392" s="83" t="s">
        <v>74</v>
      </c>
      <c r="G392" s="76" t="n">
        <v>14084</v>
      </c>
      <c r="H392" s="76" t="n">
        <v>10247</v>
      </c>
      <c r="I392" s="37" t="n">
        <f aca="false">G392-H392</f>
        <v>3837</v>
      </c>
      <c r="J392" s="83" t="s">
        <v>688</v>
      </c>
    </row>
    <row r="393" customFormat="false" ht="15" hidden="false" customHeight="false" outlineLevel="0" collapsed="false">
      <c r="A393" s="81" t="n">
        <v>45930</v>
      </c>
      <c r="B393" s="82" t="n">
        <v>2025</v>
      </c>
      <c r="C393" s="82" t="n">
        <v>9</v>
      </c>
      <c r="D393" s="83" t="s">
        <v>371</v>
      </c>
      <c r="E393" s="83" t="s">
        <v>297</v>
      </c>
      <c r="F393" s="83" t="s">
        <v>74</v>
      </c>
      <c r="G393" s="76" t="n">
        <v>5660</v>
      </c>
      <c r="H393" s="76" t="n">
        <v>4147</v>
      </c>
      <c r="I393" s="37" t="n">
        <f aca="false">G393-H393</f>
        <v>1513</v>
      </c>
      <c r="J393" s="83" t="s">
        <v>689</v>
      </c>
    </row>
    <row r="394" customFormat="false" ht="15" hidden="false" customHeight="false" outlineLevel="0" collapsed="false">
      <c r="A394" s="81" t="n">
        <v>45930</v>
      </c>
      <c r="B394" s="82" t="n">
        <v>2025</v>
      </c>
      <c r="C394" s="82" t="n">
        <v>9</v>
      </c>
      <c r="D394" s="83" t="s">
        <v>371</v>
      </c>
      <c r="E394" s="83" t="s">
        <v>299</v>
      </c>
      <c r="F394" s="83" t="s">
        <v>74</v>
      </c>
      <c r="G394" s="76" t="n">
        <v>4841</v>
      </c>
      <c r="H394" s="76" t="n">
        <v>3551</v>
      </c>
      <c r="I394" s="37" t="n">
        <f aca="false">G394-H394</f>
        <v>1290</v>
      </c>
      <c r="J394" s="83" t="s">
        <v>690</v>
      </c>
    </row>
    <row r="395" customFormat="false" ht="15" hidden="false" customHeight="false" outlineLevel="0" collapsed="false">
      <c r="A395" s="81" t="n">
        <v>45930</v>
      </c>
      <c r="B395" s="82" t="n">
        <v>2025</v>
      </c>
      <c r="C395" s="82" t="n">
        <v>9</v>
      </c>
      <c r="D395" s="83" t="s">
        <v>371</v>
      </c>
      <c r="E395" s="83" t="s">
        <v>295</v>
      </c>
      <c r="F395" s="83" t="s">
        <v>75</v>
      </c>
      <c r="G395" s="76" t="n">
        <v>8264</v>
      </c>
      <c r="H395" s="76" t="n">
        <v>5753</v>
      </c>
      <c r="I395" s="37" t="n">
        <f aca="false">G395-H395</f>
        <v>2511</v>
      </c>
      <c r="J395" s="83" t="s">
        <v>691</v>
      </c>
    </row>
    <row r="396" customFormat="false" ht="15" hidden="false" customHeight="false" outlineLevel="0" collapsed="false">
      <c r="A396" s="81" t="n">
        <v>45930</v>
      </c>
      <c r="B396" s="82" t="n">
        <v>2025</v>
      </c>
      <c r="C396" s="82" t="n">
        <v>9</v>
      </c>
      <c r="D396" s="83" t="s">
        <v>371</v>
      </c>
      <c r="E396" s="83" t="s">
        <v>297</v>
      </c>
      <c r="F396" s="83" t="s">
        <v>75</v>
      </c>
      <c r="G396" s="76" t="n">
        <v>3416</v>
      </c>
      <c r="H396" s="76" t="n">
        <v>2405</v>
      </c>
      <c r="I396" s="37" t="n">
        <f aca="false">G396-H396</f>
        <v>1011</v>
      </c>
      <c r="J396" s="83" t="s">
        <v>692</v>
      </c>
    </row>
    <row r="397" customFormat="false" ht="15" hidden="false" customHeight="false" outlineLevel="0" collapsed="false">
      <c r="A397" s="81" t="n">
        <v>45930</v>
      </c>
      <c r="B397" s="82" t="n">
        <v>2025</v>
      </c>
      <c r="C397" s="82" t="n">
        <v>9</v>
      </c>
      <c r="D397" s="83" t="s">
        <v>371</v>
      </c>
      <c r="E397" s="83" t="s">
        <v>299</v>
      </c>
      <c r="F397" s="83" t="s">
        <v>75</v>
      </c>
      <c r="G397" s="76" t="n">
        <v>2925</v>
      </c>
      <c r="H397" s="76" t="n">
        <v>2056</v>
      </c>
      <c r="I397" s="37" t="n">
        <f aca="false">G397-H397</f>
        <v>869</v>
      </c>
      <c r="J397" s="83" t="s">
        <v>693</v>
      </c>
    </row>
    <row r="398" customFormat="false" ht="15" hidden="false" customHeight="false" outlineLevel="0" collapsed="false">
      <c r="A398" s="81" t="n">
        <v>45930</v>
      </c>
      <c r="B398" s="82" t="n">
        <v>2025</v>
      </c>
      <c r="C398" s="82" t="n">
        <v>9</v>
      </c>
      <c r="D398" s="83" t="s">
        <v>371</v>
      </c>
      <c r="E398" s="83" t="s">
        <v>295</v>
      </c>
      <c r="F398" s="83" t="s">
        <v>76</v>
      </c>
      <c r="G398" s="76" t="n">
        <v>6116</v>
      </c>
      <c r="H398" s="76" t="n">
        <v>4980</v>
      </c>
      <c r="I398" s="37" t="n">
        <f aca="false">G398-H398</f>
        <v>1136</v>
      </c>
      <c r="J398" s="83" t="s">
        <v>694</v>
      </c>
    </row>
    <row r="399" customFormat="false" ht="15" hidden="false" customHeight="false" outlineLevel="0" collapsed="false">
      <c r="A399" s="81" t="n">
        <v>45930</v>
      </c>
      <c r="B399" s="82" t="n">
        <v>2025</v>
      </c>
      <c r="C399" s="82" t="n">
        <v>9</v>
      </c>
      <c r="D399" s="83" t="s">
        <v>371</v>
      </c>
      <c r="E399" s="83" t="s">
        <v>297</v>
      </c>
      <c r="F399" s="83" t="s">
        <v>76</v>
      </c>
      <c r="G399" s="76" t="n">
        <v>2533</v>
      </c>
      <c r="H399" s="76" t="n">
        <v>2062</v>
      </c>
      <c r="I399" s="37" t="n">
        <f aca="false">G399-H399</f>
        <v>471</v>
      </c>
      <c r="J399" s="83" t="s">
        <v>695</v>
      </c>
    </row>
    <row r="400" customFormat="false" ht="15" hidden="false" customHeight="false" outlineLevel="0" collapsed="false">
      <c r="A400" s="81" t="n">
        <v>45930</v>
      </c>
      <c r="B400" s="82" t="n">
        <v>2025</v>
      </c>
      <c r="C400" s="82" t="n">
        <v>9</v>
      </c>
      <c r="D400" s="83" t="s">
        <v>371</v>
      </c>
      <c r="E400" s="83" t="s">
        <v>299</v>
      </c>
      <c r="F400" s="83" t="s">
        <v>76</v>
      </c>
      <c r="G400" s="76" t="n">
        <v>2204</v>
      </c>
      <c r="H400" s="76" t="n">
        <v>1788</v>
      </c>
      <c r="I400" s="37" t="n">
        <f aca="false">G400-H400</f>
        <v>416</v>
      </c>
      <c r="J400" s="83" t="s">
        <v>696</v>
      </c>
    </row>
    <row r="401" customFormat="false" ht="15" hidden="false" customHeight="false" outlineLevel="0" collapsed="false">
      <c r="A401" s="81" t="n">
        <v>45961</v>
      </c>
      <c r="B401" s="82" t="n">
        <v>2025</v>
      </c>
      <c r="C401" s="82" t="n">
        <v>10</v>
      </c>
      <c r="D401" s="83" t="s">
        <v>408</v>
      </c>
      <c r="E401" s="83" t="s">
        <v>295</v>
      </c>
      <c r="F401" s="83" t="s">
        <v>73</v>
      </c>
      <c r="G401" s="76" t="n">
        <v>19357</v>
      </c>
      <c r="H401" s="76" t="n">
        <v>14439</v>
      </c>
      <c r="I401" s="37" t="n">
        <f aca="false">G401-H401</f>
        <v>4918</v>
      </c>
      <c r="J401" s="83" t="s">
        <v>697</v>
      </c>
    </row>
    <row r="402" customFormat="false" ht="15" hidden="false" customHeight="false" outlineLevel="0" collapsed="false">
      <c r="A402" s="81" t="n">
        <v>45961</v>
      </c>
      <c r="B402" s="82" t="n">
        <v>2025</v>
      </c>
      <c r="C402" s="82" t="n">
        <v>10</v>
      </c>
      <c r="D402" s="83" t="s">
        <v>408</v>
      </c>
      <c r="E402" s="83" t="s">
        <v>297</v>
      </c>
      <c r="F402" s="83" t="s">
        <v>73</v>
      </c>
      <c r="G402" s="76" t="n">
        <v>7410</v>
      </c>
      <c r="H402" s="76" t="n">
        <v>5568</v>
      </c>
      <c r="I402" s="37" t="n">
        <f aca="false">G402-H402</f>
        <v>1842</v>
      </c>
      <c r="J402" s="83" t="s">
        <v>698</v>
      </c>
    </row>
    <row r="403" customFormat="false" ht="15" hidden="false" customHeight="false" outlineLevel="0" collapsed="false">
      <c r="A403" s="81" t="n">
        <v>45961</v>
      </c>
      <c r="B403" s="82" t="n">
        <v>2025</v>
      </c>
      <c r="C403" s="82" t="n">
        <v>10</v>
      </c>
      <c r="D403" s="83" t="s">
        <v>408</v>
      </c>
      <c r="E403" s="83" t="s">
        <v>299</v>
      </c>
      <c r="F403" s="83" t="s">
        <v>73</v>
      </c>
      <c r="G403" s="76" t="n">
        <v>6518</v>
      </c>
      <c r="H403" s="76" t="n">
        <v>4860</v>
      </c>
      <c r="I403" s="37" t="n">
        <f aca="false">G403-H403</f>
        <v>1658</v>
      </c>
      <c r="J403" s="83" t="s">
        <v>699</v>
      </c>
    </row>
    <row r="404" customFormat="false" ht="15" hidden="false" customHeight="false" outlineLevel="0" collapsed="false">
      <c r="A404" s="81" t="n">
        <v>45961</v>
      </c>
      <c r="B404" s="82" t="n">
        <v>2025</v>
      </c>
      <c r="C404" s="82" t="n">
        <v>10</v>
      </c>
      <c r="D404" s="83" t="s">
        <v>408</v>
      </c>
      <c r="E404" s="83" t="s">
        <v>295</v>
      </c>
      <c r="F404" s="83" t="s">
        <v>74</v>
      </c>
      <c r="G404" s="76" t="n">
        <v>14111</v>
      </c>
      <c r="H404" s="76" t="n">
        <v>10245</v>
      </c>
      <c r="I404" s="37" t="n">
        <f aca="false">G404-H404</f>
        <v>3866</v>
      </c>
      <c r="J404" s="83" t="s">
        <v>700</v>
      </c>
    </row>
    <row r="405" customFormat="false" ht="15" hidden="false" customHeight="false" outlineLevel="0" collapsed="false">
      <c r="A405" s="81" t="n">
        <v>45961</v>
      </c>
      <c r="B405" s="82" t="n">
        <v>2025</v>
      </c>
      <c r="C405" s="82" t="n">
        <v>10</v>
      </c>
      <c r="D405" s="83" t="s">
        <v>408</v>
      </c>
      <c r="E405" s="83" t="s">
        <v>297</v>
      </c>
      <c r="F405" s="83" t="s">
        <v>74</v>
      </c>
      <c r="G405" s="76" t="n">
        <v>5798</v>
      </c>
      <c r="H405" s="76" t="n">
        <v>4211</v>
      </c>
      <c r="I405" s="37" t="n">
        <f aca="false">G405-H405</f>
        <v>1587</v>
      </c>
      <c r="J405" s="83" t="s">
        <v>701</v>
      </c>
    </row>
    <row r="406" customFormat="false" ht="15" hidden="false" customHeight="false" outlineLevel="0" collapsed="false">
      <c r="A406" s="81" t="n">
        <v>45961</v>
      </c>
      <c r="B406" s="82" t="n">
        <v>2025</v>
      </c>
      <c r="C406" s="82" t="n">
        <v>10</v>
      </c>
      <c r="D406" s="83" t="s">
        <v>408</v>
      </c>
      <c r="E406" s="83" t="s">
        <v>299</v>
      </c>
      <c r="F406" s="83" t="s">
        <v>74</v>
      </c>
      <c r="G406" s="76" t="n">
        <v>4976</v>
      </c>
      <c r="H406" s="76" t="n">
        <v>3635</v>
      </c>
      <c r="I406" s="37" t="n">
        <f aca="false">G406-H406</f>
        <v>1341</v>
      </c>
      <c r="J406" s="83" t="s">
        <v>702</v>
      </c>
    </row>
    <row r="407" customFormat="false" ht="15" hidden="false" customHeight="false" outlineLevel="0" collapsed="false">
      <c r="A407" s="81" t="n">
        <v>45961</v>
      </c>
      <c r="B407" s="82" t="n">
        <v>2025</v>
      </c>
      <c r="C407" s="82" t="n">
        <v>10</v>
      </c>
      <c r="D407" s="83" t="s">
        <v>408</v>
      </c>
      <c r="E407" s="83" t="s">
        <v>295</v>
      </c>
      <c r="F407" s="83" t="s">
        <v>75</v>
      </c>
      <c r="G407" s="76" t="n">
        <v>8423</v>
      </c>
      <c r="H407" s="76" t="n">
        <v>5897</v>
      </c>
      <c r="I407" s="37" t="n">
        <f aca="false">G407-H407</f>
        <v>2526</v>
      </c>
      <c r="J407" s="83" t="s">
        <v>703</v>
      </c>
    </row>
    <row r="408" customFormat="false" ht="15" hidden="false" customHeight="false" outlineLevel="0" collapsed="false">
      <c r="A408" s="81" t="n">
        <v>45961</v>
      </c>
      <c r="B408" s="82" t="n">
        <v>2025</v>
      </c>
      <c r="C408" s="82" t="n">
        <v>10</v>
      </c>
      <c r="D408" s="83" t="s">
        <v>408</v>
      </c>
      <c r="E408" s="83" t="s">
        <v>297</v>
      </c>
      <c r="F408" s="83" t="s">
        <v>75</v>
      </c>
      <c r="G408" s="76" t="n">
        <v>3397</v>
      </c>
      <c r="H408" s="76" t="n">
        <v>2378</v>
      </c>
      <c r="I408" s="37" t="n">
        <f aca="false">G408-H408</f>
        <v>1019</v>
      </c>
      <c r="J408" s="83" t="s">
        <v>704</v>
      </c>
    </row>
    <row r="409" customFormat="false" ht="15" hidden="false" customHeight="false" outlineLevel="0" collapsed="false">
      <c r="A409" s="81" t="n">
        <v>45961</v>
      </c>
      <c r="B409" s="82" t="n">
        <v>2025</v>
      </c>
      <c r="C409" s="82" t="n">
        <v>10</v>
      </c>
      <c r="D409" s="83" t="s">
        <v>408</v>
      </c>
      <c r="E409" s="83" t="s">
        <v>299</v>
      </c>
      <c r="F409" s="83" t="s">
        <v>75</v>
      </c>
      <c r="G409" s="76" t="n">
        <v>2868</v>
      </c>
      <c r="H409" s="76" t="n">
        <v>2004</v>
      </c>
      <c r="I409" s="37" t="n">
        <f aca="false">G409-H409</f>
        <v>864</v>
      </c>
      <c r="J409" s="83" t="s">
        <v>705</v>
      </c>
    </row>
    <row r="410" customFormat="false" ht="15" hidden="false" customHeight="false" outlineLevel="0" collapsed="false">
      <c r="A410" s="81" t="n">
        <v>45961</v>
      </c>
      <c r="B410" s="82" t="n">
        <v>2025</v>
      </c>
      <c r="C410" s="82" t="n">
        <v>10</v>
      </c>
      <c r="D410" s="83" t="s">
        <v>408</v>
      </c>
      <c r="E410" s="83" t="s">
        <v>295</v>
      </c>
      <c r="F410" s="83" t="s">
        <v>76</v>
      </c>
      <c r="G410" s="76" t="n">
        <v>6184</v>
      </c>
      <c r="H410" s="76" t="n">
        <v>5007</v>
      </c>
      <c r="I410" s="37" t="n">
        <f aca="false">G410-H410</f>
        <v>1177</v>
      </c>
      <c r="J410" s="83" t="s">
        <v>706</v>
      </c>
    </row>
    <row r="411" customFormat="false" ht="15" hidden="false" customHeight="false" outlineLevel="0" collapsed="false">
      <c r="A411" s="81" t="n">
        <v>45961</v>
      </c>
      <c r="B411" s="82" t="n">
        <v>2025</v>
      </c>
      <c r="C411" s="82" t="n">
        <v>10</v>
      </c>
      <c r="D411" s="83" t="s">
        <v>408</v>
      </c>
      <c r="E411" s="83" t="s">
        <v>297</v>
      </c>
      <c r="F411" s="83" t="s">
        <v>76</v>
      </c>
      <c r="G411" s="76" t="n">
        <v>2451</v>
      </c>
      <c r="H411" s="76" t="n">
        <v>1974</v>
      </c>
      <c r="I411" s="37" t="n">
        <f aca="false">G411-H411</f>
        <v>477</v>
      </c>
      <c r="J411" s="83" t="s">
        <v>707</v>
      </c>
    </row>
    <row r="412" customFormat="false" ht="15" hidden="false" customHeight="false" outlineLevel="0" collapsed="false">
      <c r="A412" s="81" t="n">
        <v>45961</v>
      </c>
      <c r="B412" s="82" t="n">
        <v>2025</v>
      </c>
      <c r="C412" s="82" t="n">
        <v>10</v>
      </c>
      <c r="D412" s="83" t="s">
        <v>408</v>
      </c>
      <c r="E412" s="83" t="s">
        <v>299</v>
      </c>
      <c r="F412" s="83" t="s">
        <v>76</v>
      </c>
      <c r="G412" s="76" t="n">
        <v>2150</v>
      </c>
      <c r="H412" s="76" t="n">
        <v>1733</v>
      </c>
      <c r="I412" s="37" t="n">
        <f aca="false">G412-H412</f>
        <v>417</v>
      </c>
      <c r="J412" s="83" t="s">
        <v>708</v>
      </c>
    </row>
    <row r="413" customFormat="false" ht="15" hidden="false" customHeight="false" outlineLevel="0" collapsed="false">
      <c r="A413" s="81" t="n">
        <v>45991</v>
      </c>
      <c r="B413" s="82" t="n">
        <v>2025</v>
      </c>
      <c r="C413" s="82" t="n">
        <v>11</v>
      </c>
      <c r="D413" s="83" t="s">
        <v>408</v>
      </c>
      <c r="E413" s="83" t="s">
        <v>295</v>
      </c>
      <c r="F413" s="83" t="s">
        <v>73</v>
      </c>
      <c r="G413" s="76" t="n">
        <v>19748</v>
      </c>
      <c r="H413" s="76" t="n">
        <v>14754</v>
      </c>
      <c r="I413" s="37" t="n">
        <f aca="false">G413-H413</f>
        <v>4994</v>
      </c>
      <c r="J413" s="83" t="s">
        <v>709</v>
      </c>
    </row>
    <row r="414" customFormat="false" ht="15" hidden="false" customHeight="false" outlineLevel="0" collapsed="false">
      <c r="A414" s="81" t="n">
        <v>45991</v>
      </c>
      <c r="B414" s="82" t="n">
        <v>2025</v>
      </c>
      <c r="C414" s="82" t="n">
        <v>11</v>
      </c>
      <c r="D414" s="83" t="s">
        <v>408</v>
      </c>
      <c r="E414" s="83" t="s">
        <v>297</v>
      </c>
      <c r="F414" s="83" t="s">
        <v>73</v>
      </c>
      <c r="G414" s="76" t="n">
        <v>7761</v>
      </c>
      <c r="H414" s="76" t="n">
        <v>5825</v>
      </c>
      <c r="I414" s="37" t="n">
        <f aca="false">G414-H414</f>
        <v>1936</v>
      </c>
      <c r="J414" s="83" t="s">
        <v>710</v>
      </c>
    </row>
    <row r="415" customFormat="false" ht="15" hidden="false" customHeight="false" outlineLevel="0" collapsed="false">
      <c r="A415" s="81" t="n">
        <v>45991</v>
      </c>
      <c r="B415" s="82" t="n">
        <v>2025</v>
      </c>
      <c r="C415" s="82" t="n">
        <v>11</v>
      </c>
      <c r="D415" s="83" t="s">
        <v>408</v>
      </c>
      <c r="E415" s="83" t="s">
        <v>299</v>
      </c>
      <c r="F415" s="83" t="s">
        <v>73</v>
      </c>
      <c r="G415" s="76" t="n">
        <v>6859</v>
      </c>
      <c r="H415" s="76" t="n">
        <v>5134</v>
      </c>
      <c r="I415" s="37" t="n">
        <f aca="false">G415-H415</f>
        <v>1725</v>
      </c>
      <c r="J415" s="83" t="s">
        <v>711</v>
      </c>
    </row>
    <row r="416" customFormat="false" ht="15" hidden="false" customHeight="false" outlineLevel="0" collapsed="false">
      <c r="A416" s="81" t="n">
        <v>45991</v>
      </c>
      <c r="B416" s="82" t="n">
        <v>2025</v>
      </c>
      <c r="C416" s="82" t="n">
        <v>11</v>
      </c>
      <c r="D416" s="83" t="s">
        <v>408</v>
      </c>
      <c r="E416" s="83" t="s">
        <v>295</v>
      </c>
      <c r="F416" s="83" t="s">
        <v>74</v>
      </c>
      <c r="G416" s="76" t="n">
        <v>14353</v>
      </c>
      <c r="H416" s="76" t="n">
        <v>10496</v>
      </c>
      <c r="I416" s="37" t="n">
        <f aca="false">G416-H416</f>
        <v>3857</v>
      </c>
      <c r="J416" s="83" t="s">
        <v>712</v>
      </c>
    </row>
    <row r="417" customFormat="false" ht="15" hidden="false" customHeight="false" outlineLevel="0" collapsed="false">
      <c r="A417" s="81" t="n">
        <v>45991</v>
      </c>
      <c r="B417" s="82" t="n">
        <v>2025</v>
      </c>
      <c r="C417" s="82" t="n">
        <v>11</v>
      </c>
      <c r="D417" s="83" t="s">
        <v>408</v>
      </c>
      <c r="E417" s="83" t="s">
        <v>297</v>
      </c>
      <c r="F417" s="83" t="s">
        <v>74</v>
      </c>
      <c r="G417" s="76" t="n">
        <v>5753</v>
      </c>
      <c r="H417" s="76" t="n">
        <v>4179</v>
      </c>
      <c r="I417" s="37" t="n">
        <f aca="false">G417-H417</f>
        <v>1574</v>
      </c>
      <c r="J417" s="83" t="s">
        <v>713</v>
      </c>
    </row>
    <row r="418" customFormat="false" ht="15" hidden="false" customHeight="false" outlineLevel="0" collapsed="false">
      <c r="A418" s="81" t="n">
        <v>45991</v>
      </c>
      <c r="B418" s="82" t="n">
        <v>2025</v>
      </c>
      <c r="C418" s="82" t="n">
        <v>11</v>
      </c>
      <c r="D418" s="83" t="s">
        <v>408</v>
      </c>
      <c r="E418" s="83" t="s">
        <v>299</v>
      </c>
      <c r="F418" s="83" t="s">
        <v>74</v>
      </c>
      <c r="G418" s="76" t="n">
        <v>5056</v>
      </c>
      <c r="H418" s="76" t="n">
        <v>3702</v>
      </c>
      <c r="I418" s="37" t="n">
        <f aca="false">G418-H418</f>
        <v>1354</v>
      </c>
      <c r="J418" s="83" t="s">
        <v>714</v>
      </c>
    </row>
    <row r="419" customFormat="false" ht="15" hidden="false" customHeight="false" outlineLevel="0" collapsed="false">
      <c r="A419" s="81" t="n">
        <v>45991</v>
      </c>
      <c r="B419" s="82" t="n">
        <v>2025</v>
      </c>
      <c r="C419" s="82" t="n">
        <v>11</v>
      </c>
      <c r="D419" s="83" t="s">
        <v>408</v>
      </c>
      <c r="E419" s="83" t="s">
        <v>295</v>
      </c>
      <c r="F419" s="83" t="s">
        <v>75</v>
      </c>
      <c r="G419" s="76" t="n">
        <v>8526</v>
      </c>
      <c r="H419" s="76" t="n">
        <v>6000</v>
      </c>
      <c r="I419" s="37" t="n">
        <f aca="false">G419-H419</f>
        <v>2526</v>
      </c>
      <c r="J419" s="83" t="s">
        <v>715</v>
      </c>
    </row>
    <row r="420" customFormat="false" ht="15" hidden="false" customHeight="false" outlineLevel="0" collapsed="false">
      <c r="A420" s="81" t="n">
        <v>45991</v>
      </c>
      <c r="B420" s="82" t="n">
        <v>2025</v>
      </c>
      <c r="C420" s="82" t="n">
        <v>11</v>
      </c>
      <c r="D420" s="83" t="s">
        <v>408</v>
      </c>
      <c r="E420" s="83" t="s">
        <v>297</v>
      </c>
      <c r="F420" s="83" t="s">
        <v>75</v>
      </c>
      <c r="G420" s="76" t="n">
        <v>3595</v>
      </c>
      <c r="H420" s="76" t="n">
        <v>2525</v>
      </c>
      <c r="I420" s="37" t="n">
        <f aca="false">G420-H420</f>
        <v>1070</v>
      </c>
      <c r="J420" s="83" t="s">
        <v>716</v>
      </c>
    </row>
    <row r="421" customFormat="false" ht="15" hidden="false" customHeight="false" outlineLevel="0" collapsed="false">
      <c r="A421" s="81" t="n">
        <v>45991</v>
      </c>
      <c r="B421" s="82" t="n">
        <v>2025</v>
      </c>
      <c r="C421" s="82" t="n">
        <v>11</v>
      </c>
      <c r="D421" s="83" t="s">
        <v>408</v>
      </c>
      <c r="E421" s="83" t="s">
        <v>299</v>
      </c>
      <c r="F421" s="83" t="s">
        <v>75</v>
      </c>
      <c r="G421" s="76" t="n">
        <v>3119</v>
      </c>
      <c r="H421" s="76" t="n">
        <v>2183</v>
      </c>
      <c r="I421" s="37" t="n">
        <f aca="false">G421-H421</f>
        <v>936</v>
      </c>
      <c r="J421" s="83" t="s">
        <v>717</v>
      </c>
    </row>
    <row r="422" customFormat="false" ht="15" hidden="false" customHeight="false" outlineLevel="0" collapsed="false">
      <c r="A422" s="81" t="n">
        <v>45991</v>
      </c>
      <c r="B422" s="82" t="n">
        <v>2025</v>
      </c>
      <c r="C422" s="82" t="n">
        <v>11</v>
      </c>
      <c r="D422" s="83" t="s">
        <v>408</v>
      </c>
      <c r="E422" s="83" t="s">
        <v>295</v>
      </c>
      <c r="F422" s="83" t="s">
        <v>76</v>
      </c>
      <c r="G422" s="76" t="n">
        <v>6364</v>
      </c>
      <c r="H422" s="76" t="n">
        <v>5166</v>
      </c>
      <c r="I422" s="37" t="n">
        <f aca="false">G422-H422</f>
        <v>1198</v>
      </c>
      <c r="J422" s="83" t="s">
        <v>718</v>
      </c>
    </row>
    <row r="423" customFormat="false" ht="15" hidden="false" customHeight="false" outlineLevel="0" collapsed="false">
      <c r="A423" s="81" t="n">
        <v>45991</v>
      </c>
      <c r="B423" s="82" t="n">
        <v>2025</v>
      </c>
      <c r="C423" s="82" t="n">
        <v>11</v>
      </c>
      <c r="D423" s="83" t="s">
        <v>408</v>
      </c>
      <c r="E423" s="83" t="s">
        <v>297</v>
      </c>
      <c r="F423" s="83" t="s">
        <v>76</v>
      </c>
      <c r="G423" s="76" t="n">
        <v>2511</v>
      </c>
      <c r="H423" s="76" t="n">
        <v>2034</v>
      </c>
      <c r="I423" s="37" t="n">
        <f aca="false">G423-H423</f>
        <v>477</v>
      </c>
      <c r="J423" s="83" t="s">
        <v>719</v>
      </c>
    </row>
    <row r="424" customFormat="false" ht="15" hidden="false" customHeight="false" outlineLevel="0" collapsed="false">
      <c r="A424" s="81" t="n">
        <v>45991</v>
      </c>
      <c r="B424" s="82" t="n">
        <v>2025</v>
      </c>
      <c r="C424" s="82" t="n">
        <v>11</v>
      </c>
      <c r="D424" s="83" t="s">
        <v>408</v>
      </c>
      <c r="E424" s="83" t="s">
        <v>299</v>
      </c>
      <c r="F424" s="83" t="s">
        <v>76</v>
      </c>
      <c r="G424" s="76" t="n">
        <v>2156</v>
      </c>
      <c r="H424" s="76" t="n">
        <v>1736</v>
      </c>
      <c r="I424" s="37" t="n">
        <f aca="false">G424-H424</f>
        <v>420</v>
      </c>
      <c r="J424" s="83" t="s">
        <v>720</v>
      </c>
    </row>
    <row r="425" customFormat="false" ht="15" hidden="false" customHeight="false" outlineLevel="0" collapsed="false">
      <c r="A425" s="81" t="n">
        <v>46022</v>
      </c>
      <c r="B425" s="82" t="n">
        <v>2025</v>
      </c>
      <c r="C425" s="82" t="n">
        <v>12</v>
      </c>
      <c r="D425" s="83" t="s">
        <v>408</v>
      </c>
      <c r="E425" s="83" t="s">
        <v>295</v>
      </c>
      <c r="F425" s="83" t="s">
        <v>73</v>
      </c>
      <c r="G425" s="76" t="n">
        <v>21359</v>
      </c>
      <c r="H425" s="76" t="n">
        <v>16109</v>
      </c>
      <c r="I425" s="37" t="n">
        <f aca="false">G425-H425</f>
        <v>5250</v>
      </c>
      <c r="J425" s="83" t="s">
        <v>721</v>
      </c>
    </row>
    <row r="426" customFormat="false" ht="15" hidden="false" customHeight="false" outlineLevel="0" collapsed="false">
      <c r="A426" s="81" t="n">
        <v>46022</v>
      </c>
      <c r="B426" s="82" t="n">
        <v>2025</v>
      </c>
      <c r="C426" s="82" t="n">
        <v>12</v>
      </c>
      <c r="D426" s="83" t="s">
        <v>408</v>
      </c>
      <c r="E426" s="83" t="s">
        <v>297</v>
      </c>
      <c r="F426" s="83" t="s">
        <v>73</v>
      </c>
      <c r="G426" s="76" t="n">
        <v>8680</v>
      </c>
      <c r="H426" s="76" t="n">
        <v>6504</v>
      </c>
      <c r="I426" s="37" t="n">
        <f aca="false">G426-H426</f>
        <v>2176</v>
      </c>
      <c r="J426" s="83" t="s">
        <v>722</v>
      </c>
    </row>
    <row r="427" customFormat="false" ht="15" hidden="false" customHeight="false" outlineLevel="0" collapsed="false">
      <c r="A427" s="81" t="n">
        <v>46022</v>
      </c>
      <c r="B427" s="82" t="n">
        <v>2025</v>
      </c>
      <c r="C427" s="82" t="n">
        <v>12</v>
      </c>
      <c r="D427" s="83" t="s">
        <v>408</v>
      </c>
      <c r="E427" s="83" t="s">
        <v>299</v>
      </c>
      <c r="F427" s="83" t="s">
        <v>73</v>
      </c>
      <c r="G427" s="76" t="n">
        <v>7579</v>
      </c>
      <c r="H427" s="76" t="n">
        <v>5685</v>
      </c>
      <c r="I427" s="37" t="n">
        <f aca="false">G427-H427</f>
        <v>1894</v>
      </c>
      <c r="J427" s="83" t="s">
        <v>723</v>
      </c>
    </row>
    <row r="428" customFormat="false" ht="15" hidden="false" customHeight="false" outlineLevel="0" collapsed="false">
      <c r="A428" s="81" t="n">
        <v>46022</v>
      </c>
      <c r="B428" s="82" t="n">
        <v>2025</v>
      </c>
      <c r="C428" s="82" t="n">
        <v>12</v>
      </c>
      <c r="D428" s="83" t="s">
        <v>408</v>
      </c>
      <c r="E428" s="83" t="s">
        <v>295</v>
      </c>
      <c r="F428" s="83" t="s">
        <v>74</v>
      </c>
      <c r="G428" s="76" t="n">
        <v>15875</v>
      </c>
      <c r="H428" s="76" t="n">
        <v>11622</v>
      </c>
      <c r="I428" s="37" t="n">
        <f aca="false">G428-H428</f>
        <v>4253</v>
      </c>
      <c r="J428" s="83" t="s">
        <v>724</v>
      </c>
    </row>
    <row r="429" customFormat="false" ht="15" hidden="false" customHeight="false" outlineLevel="0" collapsed="false">
      <c r="A429" s="81" t="n">
        <v>46022</v>
      </c>
      <c r="B429" s="82" t="n">
        <v>2025</v>
      </c>
      <c r="C429" s="82" t="n">
        <v>12</v>
      </c>
      <c r="D429" s="83" t="s">
        <v>408</v>
      </c>
      <c r="E429" s="83" t="s">
        <v>297</v>
      </c>
      <c r="F429" s="83" t="s">
        <v>74</v>
      </c>
      <c r="G429" s="76" t="n">
        <v>6497</v>
      </c>
      <c r="H429" s="76" t="n">
        <v>4751</v>
      </c>
      <c r="I429" s="37" t="n">
        <f aca="false">G429-H429</f>
        <v>1746</v>
      </c>
      <c r="J429" s="83" t="s">
        <v>725</v>
      </c>
    </row>
    <row r="430" customFormat="false" ht="15" hidden="false" customHeight="false" outlineLevel="0" collapsed="false">
      <c r="A430" s="81" t="n">
        <v>46022</v>
      </c>
      <c r="B430" s="82" t="n">
        <v>2025</v>
      </c>
      <c r="C430" s="82" t="n">
        <v>12</v>
      </c>
      <c r="D430" s="83" t="s">
        <v>408</v>
      </c>
      <c r="E430" s="83" t="s">
        <v>299</v>
      </c>
      <c r="F430" s="83" t="s">
        <v>74</v>
      </c>
      <c r="G430" s="76" t="n">
        <v>5530</v>
      </c>
      <c r="H430" s="76" t="n">
        <v>4031</v>
      </c>
      <c r="I430" s="37" t="n">
        <f aca="false">G430-H430</f>
        <v>1499</v>
      </c>
      <c r="J430" s="83" t="s">
        <v>726</v>
      </c>
    </row>
    <row r="431" customFormat="false" ht="15" hidden="false" customHeight="false" outlineLevel="0" collapsed="false">
      <c r="A431" s="81" t="n">
        <v>46022</v>
      </c>
      <c r="B431" s="82" t="n">
        <v>2025</v>
      </c>
      <c r="C431" s="82" t="n">
        <v>12</v>
      </c>
      <c r="D431" s="83" t="s">
        <v>408</v>
      </c>
      <c r="E431" s="83" t="s">
        <v>295</v>
      </c>
      <c r="F431" s="83" t="s">
        <v>75</v>
      </c>
      <c r="G431" s="76" t="n">
        <v>9452</v>
      </c>
      <c r="H431" s="76" t="n">
        <v>6601</v>
      </c>
      <c r="I431" s="37" t="n">
        <f aca="false">G431-H431</f>
        <v>2851</v>
      </c>
      <c r="J431" s="83" t="s">
        <v>727</v>
      </c>
    </row>
    <row r="432" customFormat="false" ht="15" hidden="false" customHeight="false" outlineLevel="0" collapsed="false">
      <c r="A432" s="81" t="n">
        <v>46022</v>
      </c>
      <c r="B432" s="82" t="n">
        <v>2025</v>
      </c>
      <c r="C432" s="82" t="n">
        <v>12</v>
      </c>
      <c r="D432" s="83" t="s">
        <v>408</v>
      </c>
      <c r="E432" s="83" t="s">
        <v>297</v>
      </c>
      <c r="F432" s="83" t="s">
        <v>75</v>
      </c>
      <c r="G432" s="76" t="n">
        <v>3914</v>
      </c>
      <c r="H432" s="76" t="n">
        <v>2746</v>
      </c>
      <c r="I432" s="37" t="n">
        <f aca="false">G432-H432</f>
        <v>1168</v>
      </c>
      <c r="J432" s="83" t="s">
        <v>728</v>
      </c>
    </row>
    <row r="433" customFormat="false" ht="15" hidden="false" customHeight="false" outlineLevel="0" collapsed="false">
      <c r="A433" s="81" t="n">
        <v>46022</v>
      </c>
      <c r="B433" s="82" t="n">
        <v>2025</v>
      </c>
      <c r="C433" s="82" t="n">
        <v>12</v>
      </c>
      <c r="D433" s="83" t="s">
        <v>408</v>
      </c>
      <c r="E433" s="83" t="s">
        <v>299</v>
      </c>
      <c r="F433" s="83" t="s">
        <v>75</v>
      </c>
      <c r="G433" s="76" t="n">
        <v>3382</v>
      </c>
      <c r="H433" s="76" t="n">
        <v>2362</v>
      </c>
      <c r="I433" s="37" t="n">
        <f aca="false">G433-H433</f>
        <v>1020</v>
      </c>
      <c r="J433" s="83" t="s">
        <v>729</v>
      </c>
    </row>
    <row r="434" customFormat="false" ht="15" hidden="false" customHeight="false" outlineLevel="0" collapsed="false">
      <c r="A434" s="81" t="n">
        <v>46022</v>
      </c>
      <c r="B434" s="82" t="n">
        <v>2025</v>
      </c>
      <c r="C434" s="82" t="n">
        <v>12</v>
      </c>
      <c r="D434" s="83" t="s">
        <v>408</v>
      </c>
      <c r="E434" s="83" t="s">
        <v>295</v>
      </c>
      <c r="F434" s="83" t="s">
        <v>76</v>
      </c>
      <c r="G434" s="76" t="n">
        <v>6634</v>
      </c>
      <c r="H434" s="76" t="n">
        <v>5404</v>
      </c>
      <c r="I434" s="37" t="n">
        <f aca="false">G434-H434</f>
        <v>1230</v>
      </c>
      <c r="J434" s="83" t="s">
        <v>730</v>
      </c>
    </row>
    <row r="435" customFormat="false" ht="15" hidden="false" customHeight="false" outlineLevel="0" collapsed="false">
      <c r="A435" s="81" t="n">
        <v>46022</v>
      </c>
      <c r="B435" s="82" t="n">
        <v>2025</v>
      </c>
      <c r="C435" s="82" t="n">
        <v>12</v>
      </c>
      <c r="D435" s="83" t="s">
        <v>408</v>
      </c>
      <c r="E435" s="83" t="s">
        <v>297</v>
      </c>
      <c r="F435" s="83" t="s">
        <v>76</v>
      </c>
      <c r="G435" s="76" t="n">
        <v>2647</v>
      </c>
      <c r="H435" s="76" t="n">
        <v>2150</v>
      </c>
      <c r="I435" s="37" t="n">
        <f aca="false">G435-H435</f>
        <v>497</v>
      </c>
      <c r="J435" s="83" t="s">
        <v>731</v>
      </c>
    </row>
    <row r="436" customFormat="false" ht="15" hidden="false" customHeight="false" outlineLevel="0" collapsed="false">
      <c r="A436" s="81" t="n">
        <v>46022</v>
      </c>
      <c r="B436" s="82" t="n">
        <v>2025</v>
      </c>
      <c r="C436" s="82" t="n">
        <v>12</v>
      </c>
      <c r="D436" s="83" t="s">
        <v>408</v>
      </c>
      <c r="E436" s="83" t="s">
        <v>299</v>
      </c>
      <c r="F436" s="83" t="s">
        <v>76</v>
      </c>
      <c r="G436" s="76" t="n">
        <v>2353</v>
      </c>
      <c r="H436" s="76" t="n">
        <v>1908</v>
      </c>
      <c r="I436" s="37" t="n">
        <f aca="false">G436-H436</f>
        <v>445</v>
      </c>
      <c r="J436" s="83" t="s">
        <v>732</v>
      </c>
    </row>
  </sheetData>
  <autoFilter ref="A4:J43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H47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4" min="4" style="0" width="32"/>
    <col collapsed="false" customWidth="true" hidden="false" outlineLevel="0" max="5" min="5" style="0" width="24"/>
    <col collapsed="false" customWidth="true" hidden="false" outlineLevel="0" max="6" min="6" style="0" width="11"/>
    <col collapsed="false" customWidth="true" hidden="false" outlineLevel="0" max="7" min="7" style="0" width="12"/>
    <col collapsed="false" customWidth="true" hidden="false" outlineLevel="0" max="8" min="8" style="0" width="16"/>
  </cols>
  <sheetData>
    <row r="1" customFormat="false" ht="17.35" hidden="false" customHeight="false" outlineLevel="0" collapsed="false">
      <c r="A1" s="80" t="s">
        <v>733</v>
      </c>
    </row>
    <row r="2" customFormat="false" ht="15" hidden="false" customHeight="false" outlineLevel="0" collapsed="false">
      <c r="A2" s="14" t="s">
        <v>734</v>
      </c>
    </row>
    <row r="3" customFormat="false" ht="15" hidden="false" customHeight="false" outlineLevel="0" collapsed="false">
      <c r="A3" s="16" t="str">
        <f aca="false">HYPERLINK("#Cover!A1","◄ Back to Cover")</f>
        <v>◄ Back to Cover</v>
      </c>
    </row>
    <row r="4" customFormat="false" ht="19.5" hidden="false" customHeight="true" outlineLevel="0" collapsed="false">
      <c r="A4" s="26" t="s">
        <v>288</v>
      </c>
      <c r="B4" s="27" t="s">
        <v>56</v>
      </c>
      <c r="C4" s="27" t="s">
        <v>289</v>
      </c>
      <c r="D4" s="27" t="s">
        <v>190</v>
      </c>
      <c r="E4" s="27" t="s">
        <v>125</v>
      </c>
      <c r="F4" s="27" t="s">
        <v>49</v>
      </c>
      <c r="G4" s="27" t="s">
        <v>735</v>
      </c>
      <c r="H4" s="27" t="s">
        <v>293</v>
      </c>
    </row>
    <row r="5" customFormat="false" ht="15" hidden="false" customHeight="false" outlineLevel="0" collapsed="false">
      <c r="A5" s="81" t="n">
        <v>44957</v>
      </c>
      <c r="B5" s="82" t="n">
        <v>2023</v>
      </c>
      <c r="C5" s="82" t="n">
        <v>1</v>
      </c>
      <c r="D5" s="83" t="s">
        <v>129</v>
      </c>
      <c r="E5" s="83" t="s">
        <v>130</v>
      </c>
      <c r="F5" s="83" t="s">
        <v>131</v>
      </c>
      <c r="G5" s="76" t="n">
        <v>981</v>
      </c>
      <c r="H5" s="83" t="s">
        <v>736</v>
      </c>
    </row>
    <row r="6" customFormat="false" ht="15" hidden="false" customHeight="false" outlineLevel="0" collapsed="false">
      <c r="A6" s="81" t="n">
        <v>44957</v>
      </c>
      <c r="B6" s="82" t="n">
        <v>2023</v>
      </c>
      <c r="C6" s="82" t="n">
        <v>1</v>
      </c>
      <c r="D6" s="83" t="s">
        <v>132</v>
      </c>
      <c r="E6" s="83" t="s">
        <v>130</v>
      </c>
      <c r="F6" s="83" t="s">
        <v>131</v>
      </c>
      <c r="G6" s="76" t="n">
        <v>559</v>
      </c>
      <c r="H6" s="83" t="s">
        <v>737</v>
      </c>
    </row>
    <row r="7" customFormat="false" ht="15" hidden="false" customHeight="false" outlineLevel="0" collapsed="false">
      <c r="A7" s="81" t="n">
        <v>44957</v>
      </c>
      <c r="B7" s="82" t="n">
        <v>2023</v>
      </c>
      <c r="C7" s="82" t="n">
        <v>1</v>
      </c>
      <c r="D7" s="83" t="s">
        <v>133</v>
      </c>
      <c r="E7" s="83" t="s">
        <v>130</v>
      </c>
      <c r="F7" s="83" t="s">
        <v>131</v>
      </c>
      <c r="G7" s="76" t="n">
        <v>1534</v>
      </c>
      <c r="H7" s="83" t="s">
        <v>738</v>
      </c>
    </row>
    <row r="8" customFormat="false" ht="15" hidden="false" customHeight="false" outlineLevel="0" collapsed="false">
      <c r="A8" s="81" t="n">
        <v>44957</v>
      </c>
      <c r="B8" s="82" t="n">
        <v>2023</v>
      </c>
      <c r="C8" s="82" t="n">
        <v>1</v>
      </c>
      <c r="D8" s="83" t="s">
        <v>134</v>
      </c>
      <c r="E8" s="83" t="s">
        <v>130</v>
      </c>
      <c r="F8" s="83" t="s">
        <v>135</v>
      </c>
      <c r="G8" s="76" t="n">
        <v>1908</v>
      </c>
      <c r="H8" s="83" t="s">
        <v>739</v>
      </c>
    </row>
    <row r="9" customFormat="false" ht="15" hidden="false" customHeight="false" outlineLevel="0" collapsed="false">
      <c r="A9" s="81" t="n">
        <v>44957</v>
      </c>
      <c r="B9" s="82" t="n">
        <v>2023</v>
      </c>
      <c r="C9" s="82" t="n">
        <v>1</v>
      </c>
      <c r="D9" s="83" t="s">
        <v>136</v>
      </c>
      <c r="E9" s="83" t="s">
        <v>130</v>
      </c>
      <c r="F9" s="83" t="s">
        <v>135</v>
      </c>
      <c r="G9" s="76" t="n">
        <v>2500</v>
      </c>
      <c r="H9" s="83" t="s">
        <v>740</v>
      </c>
    </row>
    <row r="10" customFormat="false" ht="15" hidden="false" customHeight="false" outlineLevel="0" collapsed="false">
      <c r="A10" s="81" t="n">
        <v>44957</v>
      </c>
      <c r="B10" s="82" t="n">
        <v>2023</v>
      </c>
      <c r="C10" s="82" t="n">
        <v>1</v>
      </c>
      <c r="D10" s="83" t="s">
        <v>137</v>
      </c>
      <c r="E10" s="83" t="s">
        <v>138</v>
      </c>
      <c r="F10" s="83" t="s">
        <v>135</v>
      </c>
      <c r="G10" s="76" t="n">
        <v>2315</v>
      </c>
      <c r="H10" s="83" t="s">
        <v>741</v>
      </c>
    </row>
    <row r="11" customFormat="false" ht="15" hidden="false" customHeight="false" outlineLevel="0" collapsed="false">
      <c r="A11" s="81" t="n">
        <v>44957</v>
      </c>
      <c r="B11" s="82" t="n">
        <v>2023</v>
      </c>
      <c r="C11" s="82" t="n">
        <v>1</v>
      </c>
      <c r="D11" s="83" t="s">
        <v>139</v>
      </c>
      <c r="E11" s="83" t="s">
        <v>138</v>
      </c>
      <c r="F11" s="83" t="s">
        <v>135</v>
      </c>
      <c r="G11" s="76" t="n">
        <v>610</v>
      </c>
      <c r="H11" s="83" t="s">
        <v>742</v>
      </c>
    </row>
    <row r="12" customFormat="false" ht="15" hidden="false" customHeight="false" outlineLevel="0" collapsed="false">
      <c r="A12" s="81" t="n">
        <v>44957</v>
      </c>
      <c r="B12" s="82" t="n">
        <v>2023</v>
      </c>
      <c r="C12" s="82" t="n">
        <v>1</v>
      </c>
      <c r="D12" s="83" t="s">
        <v>140</v>
      </c>
      <c r="E12" s="83" t="s">
        <v>138</v>
      </c>
      <c r="F12" s="83" t="s">
        <v>135</v>
      </c>
      <c r="G12" s="76" t="n">
        <v>296</v>
      </c>
      <c r="H12" s="83" t="s">
        <v>743</v>
      </c>
    </row>
    <row r="13" customFormat="false" ht="15" hidden="false" customHeight="false" outlineLevel="0" collapsed="false">
      <c r="A13" s="81" t="n">
        <v>44957</v>
      </c>
      <c r="B13" s="82" t="n">
        <v>2023</v>
      </c>
      <c r="C13" s="82" t="n">
        <v>1</v>
      </c>
      <c r="D13" s="83" t="s">
        <v>141</v>
      </c>
      <c r="E13" s="83" t="s">
        <v>138</v>
      </c>
      <c r="F13" s="83" t="s">
        <v>135</v>
      </c>
      <c r="G13" s="76" t="n">
        <v>522</v>
      </c>
      <c r="H13" s="83" t="s">
        <v>744</v>
      </c>
    </row>
    <row r="14" customFormat="false" ht="15" hidden="false" customHeight="false" outlineLevel="0" collapsed="false">
      <c r="A14" s="81" t="n">
        <v>44957</v>
      </c>
      <c r="B14" s="82" t="n">
        <v>2023</v>
      </c>
      <c r="C14" s="82" t="n">
        <v>1</v>
      </c>
      <c r="D14" s="83" t="s">
        <v>142</v>
      </c>
      <c r="E14" s="83" t="s">
        <v>138</v>
      </c>
      <c r="F14" s="83" t="s">
        <v>135</v>
      </c>
      <c r="G14" s="76" t="n">
        <v>204</v>
      </c>
      <c r="H14" s="83" t="s">
        <v>745</v>
      </c>
    </row>
    <row r="15" customFormat="false" ht="15" hidden="false" customHeight="false" outlineLevel="0" collapsed="false">
      <c r="A15" s="81" t="n">
        <v>44957</v>
      </c>
      <c r="B15" s="82" t="n">
        <v>2023</v>
      </c>
      <c r="C15" s="82" t="n">
        <v>1</v>
      </c>
      <c r="D15" s="83" t="s">
        <v>143</v>
      </c>
      <c r="E15" s="83" t="s">
        <v>138</v>
      </c>
      <c r="F15" s="83" t="s">
        <v>135</v>
      </c>
      <c r="G15" s="76" t="n">
        <v>416</v>
      </c>
      <c r="H15" s="83" t="s">
        <v>746</v>
      </c>
    </row>
    <row r="16" customFormat="false" ht="15" hidden="false" customHeight="false" outlineLevel="0" collapsed="false">
      <c r="A16" s="81" t="n">
        <v>44957</v>
      </c>
      <c r="B16" s="82" t="n">
        <v>2023</v>
      </c>
      <c r="C16" s="82" t="n">
        <v>1</v>
      </c>
      <c r="D16" s="83" t="s">
        <v>144</v>
      </c>
      <c r="E16" s="83" t="s">
        <v>138</v>
      </c>
      <c r="F16" s="83" t="s">
        <v>135</v>
      </c>
      <c r="G16" s="76" t="n">
        <v>339</v>
      </c>
      <c r="H16" s="83" t="s">
        <v>747</v>
      </c>
    </row>
    <row r="17" customFormat="false" ht="15" hidden="false" customHeight="false" outlineLevel="0" collapsed="false">
      <c r="A17" s="81" t="n">
        <v>44957</v>
      </c>
      <c r="B17" s="82" t="n">
        <v>2023</v>
      </c>
      <c r="C17" s="82" t="n">
        <v>1</v>
      </c>
      <c r="D17" s="83" t="s">
        <v>145</v>
      </c>
      <c r="E17" s="83" t="s">
        <v>138</v>
      </c>
      <c r="F17" s="83" t="s">
        <v>131</v>
      </c>
      <c r="G17" s="76" t="n">
        <v>92</v>
      </c>
      <c r="H17" s="83" t="s">
        <v>748</v>
      </c>
    </row>
    <row r="18" customFormat="false" ht="15" hidden="false" customHeight="false" outlineLevel="0" collapsed="false">
      <c r="A18" s="81" t="n">
        <v>44985</v>
      </c>
      <c r="B18" s="82" t="n">
        <v>2023</v>
      </c>
      <c r="C18" s="82" t="n">
        <v>2</v>
      </c>
      <c r="D18" s="83" t="s">
        <v>129</v>
      </c>
      <c r="E18" s="83" t="s">
        <v>130</v>
      </c>
      <c r="F18" s="83" t="s">
        <v>131</v>
      </c>
      <c r="G18" s="76" t="n">
        <v>958</v>
      </c>
      <c r="H18" s="83" t="s">
        <v>749</v>
      </c>
    </row>
    <row r="19" customFormat="false" ht="15" hidden="false" customHeight="false" outlineLevel="0" collapsed="false">
      <c r="A19" s="81" t="n">
        <v>44985</v>
      </c>
      <c r="B19" s="82" t="n">
        <v>2023</v>
      </c>
      <c r="C19" s="82" t="n">
        <v>2</v>
      </c>
      <c r="D19" s="83" t="s">
        <v>132</v>
      </c>
      <c r="E19" s="83" t="s">
        <v>130</v>
      </c>
      <c r="F19" s="83" t="s">
        <v>131</v>
      </c>
      <c r="G19" s="76" t="n">
        <v>555</v>
      </c>
      <c r="H19" s="83" t="s">
        <v>750</v>
      </c>
    </row>
    <row r="20" customFormat="false" ht="15" hidden="false" customHeight="false" outlineLevel="0" collapsed="false">
      <c r="A20" s="81" t="n">
        <v>44985</v>
      </c>
      <c r="B20" s="82" t="n">
        <v>2023</v>
      </c>
      <c r="C20" s="82" t="n">
        <v>2</v>
      </c>
      <c r="D20" s="83" t="s">
        <v>133</v>
      </c>
      <c r="E20" s="83" t="s">
        <v>130</v>
      </c>
      <c r="F20" s="83" t="s">
        <v>131</v>
      </c>
      <c r="G20" s="76" t="n">
        <v>1424</v>
      </c>
      <c r="H20" s="83" t="s">
        <v>751</v>
      </c>
    </row>
    <row r="21" customFormat="false" ht="15" hidden="false" customHeight="false" outlineLevel="0" collapsed="false">
      <c r="A21" s="81" t="n">
        <v>44985</v>
      </c>
      <c r="B21" s="82" t="n">
        <v>2023</v>
      </c>
      <c r="C21" s="82" t="n">
        <v>2</v>
      </c>
      <c r="D21" s="83" t="s">
        <v>134</v>
      </c>
      <c r="E21" s="83" t="s">
        <v>130</v>
      </c>
      <c r="F21" s="83" t="s">
        <v>135</v>
      </c>
      <c r="G21" s="76" t="n">
        <v>1907</v>
      </c>
      <c r="H21" s="83" t="s">
        <v>752</v>
      </c>
    </row>
    <row r="22" customFormat="false" ht="15" hidden="false" customHeight="false" outlineLevel="0" collapsed="false">
      <c r="A22" s="81" t="n">
        <v>44985</v>
      </c>
      <c r="B22" s="82" t="n">
        <v>2023</v>
      </c>
      <c r="C22" s="82" t="n">
        <v>2</v>
      </c>
      <c r="D22" s="83" t="s">
        <v>136</v>
      </c>
      <c r="E22" s="83" t="s">
        <v>130</v>
      </c>
      <c r="F22" s="83" t="s">
        <v>135</v>
      </c>
      <c r="G22" s="76" t="n">
        <v>2460</v>
      </c>
      <c r="H22" s="83" t="s">
        <v>753</v>
      </c>
    </row>
    <row r="23" customFormat="false" ht="15" hidden="false" customHeight="false" outlineLevel="0" collapsed="false">
      <c r="A23" s="81" t="n">
        <v>44985</v>
      </c>
      <c r="B23" s="82" t="n">
        <v>2023</v>
      </c>
      <c r="C23" s="82" t="n">
        <v>2</v>
      </c>
      <c r="D23" s="83" t="s">
        <v>137</v>
      </c>
      <c r="E23" s="83" t="s">
        <v>138</v>
      </c>
      <c r="F23" s="83" t="s">
        <v>135</v>
      </c>
      <c r="G23" s="76" t="n">
        <v>2331</v>
      </c>
      <c r="H23" s="83" t="s">
        <v>754</v>
      </c>
    </row>
    <row r="24" customFormat="false" ht="15" hidden="false" customHeight="false" outlineLevel="0" collapsed="false">
      <c r="A24" s="81" t="n">
        <v>44985</v>
      </c>
      <c r="B24" s="82" t="n">
        <v>2023</v>
      </c>
      <c r="C24" s="82" t="n">
        <v>2</v>
      </c>
      <c r="D24" s="83" t="s">
        <v>139</v>
      </c>
      <c r="E24" s="83" t="s">
        <v>138</v>
      </c>
      <c r="F24" s="83" t="s">
        <v>135</v>
      </c>
      <c r="G24" s="76" t="n">
        <v>619</v>
      </c>
      <c r="H24" s="83" t="s">
        <v>755</v>
      </c>
    </row>
    <row r="25" customFormat="false" ht="15" hidden="false" customHeight="false" outlineLevel="0" collapsed="false">
      <c r="A25" s="81" t="n">
        <v>44985</v>
      </c>
      <c r="B25" s="82" t="n">
        <v>2023</v>
      </c>
      <c r="C25" s="82" t="n">
        <v>2</v>
      </c>
      <c r="D25" s="83" t="s">
        <v>140</v>
      </c>
      <c r="E25" s="83" t="s">
        <v>138</v>
      </c>
      <c r="F25" s="83" t="s">
        <v>135</v>
      </c>
      <c r="G25" s="76" t="n">
        <v>295</v>
      </c>
      <c r="H25" s="83" t="s">
        <v>756</v>
      </c>
    </row>
    <row r="26" customFormat="false" ht="15" hidden="false" customHeight="false" outlineLevel="0" collapsed="false">
      <c r="A26" s="81" t="n">
        <v>44985</v>
      </c>
      <c r="B26" s="82" t="n">
        <v>2023</v>
      </c>
      <c r="C26" s="82" t="n">
        <v>2</v>
      </c>
      <c r="D26" s="83" t="s">
        <v>141</v>
      </c>
      <c r="E26" s="83" t="s">
        <v>138</v>
      </c>
      <c r="F26" s="83" t="s">
        <v>135</v>
      </c>
      <c r="G26" s="76" t="n">
        <v>518</v>
      </c>
      <c r="H26" s="83" t="s">
        <v>757</v>
      </c>
    </row>
    <row r="27" customFormat="false" ht="15" hidden="false" customHeight="false" outlineLevel="0" collapsed="false">
      <c r="A27" s="81" t="n">
        <v>44985</v>
      </c>
      <c r="B27" s="82" t="n">
        <v>2023</v>
      </c>
      <c r="C27" s="82" t="n">
        <v>2</v>
      </c>
      <c r="D27" s="83" t="s">
        <v>142</v>
      </c>
      <c r="E27" s="83" t="s">
        <v>138</v>
      </c>
      <c r="F27" s="83" t="s">
        <v>135</v>
      </c>
      <c r="G27" s="76" t="n">
        <v>222</v>
      </c>
      <c r="H27" s="83" t="s">
        <v>758</v>
      </c>
    </row>
    <row r="28" customFormat="false" ht="15" hidden="false" customHeight="false" outlineLevel="0" collapsed="false">
      <c r="A28" s="81" t="n">
        <v>44985</v>
      </c>
      <c r="B28" s="82" t="n">
        <v>2023</v>
      </c>
      <c r="C28" s="82" t="n">
        <v>2</v>
      </c>
      <c r="D28" s="83" t="s">
        <v>143</v>
      </c>
      <c r="E28" s="83" t="s">
        <v>138</v>
      </c>
      <c r="F28" s="83" t="s">
        <v>135</v>
      </c>
      <c r="G28" s="76" t="n">
        <v>424</v>
      </c>
      <c r="H28" s="83" t="s">
        <v>759</v>
      </c>
    </row>
    <row r="29" customFormat="false" ht="15" hidden="false" customHeight="false" outlineLevel="0" collapsed="false">
      <c r="A29" s="81" t="n">
        <v>44985</v>
      </c>
      <c r="B29" s="82" t="n">
        <v>2023</v>
      </c>
      <c r="C29" s="82" t="n">
        <v>2</v>
      </c>
      <c r="D29" s="83" t="s">
        <v>144</v>
      </c>
      <c r="E29" s="83" t="s">
        <v>138</v>
      </c>
      <c r="F29" s="83" t="s">
        <v>135</v>
      </c>
      <c r="G29" s="76" t="n">
        <v>344</v>
      </c>
      <c r="H29" s="83" t="s">
        <v>760</v>
      </c>
    </row>
    <row r="30" customFormat="false" ht="15" hidden="false" customHeight="false" outlineLevel="0" collapsed="false">
      <c r="A30" s="81" t="n">
        <v>44985</v>
      </c>
      <c r="B30" s="82" t="n">
        <v>2023</v>
      </c>
      <c r="C30" s="82" t="n">
        <v>2</v>
      </c>
      <c r="D30" s="83" t="s">
        <v>145</v>
      </c>
      <c r="E30" s="83" t="s">
        <v>138</v>
      </c>
      <c r="F30" s="83" t="s">
        <v>131</v>
      </c>
      <c r="G30" s="76" t="n">
        <v>90</v>
      </c>
      <c r="H30" s="83" t="s">
        <v>761</v>
      </c>
    </row>
    <row r="31" customFormat="false" ht="15" hidden="false" customHeight="false" outlineLevel="0" collapsed="false">
      <c r="A31" s="81" t="n">
        <v>45016</v>
      </c>
      <c r="B31" s="82" t="n">
        <v>2023</v>
      </c>
      <c r="C31" s="82" t="n">
        <v>3</v>
      </c>
      <c r="D31" s="83" t="s">
        <v>129</v>
      </c>
      <c r="E31" s="83" t="s">
        <v>130</v>
      </c>
      <c r="F31" s="83" t="s">
        <v>131</v>
      </c>
      <c r="G31" s="76" t="n">
        <v>1071</v>
      </c>
      <c r="H31" s="83" t="s">
        <v>762</v>
      </c>
    </row>
    <row r="32" customFormat="false" ht="15" hidden="false" customHeight="false" outlineLevel="0" collapsed="false">
      <c r="A32" s="81" t="n">
        <v>45016</v>
      </c>
      <c r="B32" s="82" t="n">
        <v>2023</v>
      </c>
      <c r="C32" s="82" t="n">
        <v>3</v>
      </c>
      <c r="D32" s="83" t="s">
        <v>132</v>
      </c>
      <c r="E32" s="83" t="s">
        <v>130</v>
      </c>
      <c r="F32" s="83" t="s">
        <v>131</v>
      </c>
      <c r="G32" s="76" t="n">
        <v>590</v>
      </c>
      <c r="H32" s="83" t="s">
        <v>763</v>
      </c>
    </row>
    <row r="33" customFormat="false" ht="15" hidden="false" customHeight="false" outlineLevel="0" collapsed="false">
      <c r="A33" s="81" t="n">
        <v>45016</v>
      </c>
      <c r="B33" s="82" t="n">
        <v>2023</v>
      </c>
      <c r="C33" s="82" t="n">
        <v>3</v>
      </c>
      <c r="D33" s="83" t="s">
        <v>133</v>
      </c>
      <c r="E33" s="83" t="s">
        <v>130</v>
      </c>
      <c r="F33" s="83" t="s">
        <v>131</v>
      </c>
      <c r="G33" s="76" t="n">
        <v>1564</v>
      </c>
      <c r="H33" s="83" t="s">
        <v>764</v>
      </c>
    </row>
    <row r="34" customFormat="false" ht="15" hidden="false" customHeight="false" outlineLevel="0" collapsed="false">
      <c r="A34" s="81" t="n">
        <v>45016</v>
      </c>
      <c r="B34" s="82" t="n">
        <v>2023</v>
      </c>
      <c r="C34" s="82" t="n">
        <v>3</v>
      </c>
      <c r="D34" s="83" t="s">
        <v>134</v>
      </c>
      <c r="E34" s="83" t="s">
        <v>130</v>
      </c>
      <c r="F34" s="83" t="s">
        <v>135</v>
      </c>
      <c r="G34" s="76" t="n">
        <v>1886</v>
      </c>
      <c r="H34" s="83" t="s">
        <v>765</v>
      </c>
    </row>
    <row r="35" customFormat="false" ht="15" hidden="false" customHeight="false" outlineLevel="0" collapsed="false">
      <c r="A35" s="81" t="n">
        <v>45016</v>
      </c>
      <c r="B35" s="82" t="n">
        <v>2023</v>
      </c>
      <c r="C35" s="82" t="n">
        <v>3</v>
      </c>
      <c r="D35" s="83" t="s">
        <v>136</v>
      </c>
      <c r="E35" s="83" t="s">
        <v>130</v>
      </c>
      <c r="F35" s="83" t="s">
        <v>135</v>
      </c>
      <c r="G35" s="76" t="n">
        <v>2467</v>
      </c>
      <c r="H35" s="83" t="s">
        <v>766</v>
      </c>
    </row>
    <row r="36" customFormat="false" ht="15" hidden="false" customHeight="false" outlineLevel="0" collapsed="false">
      <c r="A36" s="81" t="n">
        <v>45016</v>
      </c>
      <c r="B36" s="82" t="n">
        <v>2023</v>
      </c>
      <c r="C36" s="82" t="n">
        <v>3</v>
      </c>
      <c r="D36" s="83" t="s">
        <v>137</v>
      </c>
      <c r="E36" s="83" t="s">
        <v>138</v>
      </c>
      <c r="F36" s="83" t="s">
        <v>135</v>
      </c>
      <c r="G36" s="76" t="n">
        <v>2310</v>
      </c>
      <c r="H36" s="83" t="s">
        <v>767</v>
      </c>
    </row>
    <row r="37" customFormat="false" ht="15" hidden="false" customHeight="false" outlineLevel="0" collapsed="false">
      <c r="A37" s="81" t="n">
        <v>45016</v>
      </c>
      <c r="B37" s="82" t="n">
        <v>2023</v>
      </c>
      <c r="C37" s="82" t="n">
        <v>3</v>
      </c>
      <c r="D37" s="83" t="s">
        <v>139</v>
      </c>
      <c r="E37" s="83" t="s">
        <v>138</v>
      </c>
      <c r="F37" s="83" t="s">
        <v>135</v>
      </c>
      <c r="G37" s="76" t="n">
        <v>608</v>
      </c>
      <c r="H37" s="83" t="s">
        <v>768</v>
      </c>
    </row>
    <row r="38" customFormat="false" ht="15" hidden="false" customHeight="false" outlineLevel="0" collapsed="false">
      <c r="A38" s="81" t="n">
        <v>45016</v>
      </c>
      <c r="B38" s="82" t="n">
        <v>2023</v>
      </c>
      <c r="C38" s="82" t="n">
        <v>3</v>
      </c>
      <c r="D38" s="83" t="s">
        <v>140</v>
      </c>
      <c r="E38" s="83" t="s">
        <v>138</v>
      </c>
      <c r="F38" s="83" t="s">
        <v>135</v>
      </c>
      <c r="G38" s="76" t="n">
        <v>771</v>
      </c>
      <c r="H38" s="83" t="s">
        <v>769</v>
      </c>
    </row>
    <row r="39" customFormat="false" ht="15" hidden="false" customHeight="false" outlineLevel="0" collapsed="false">
      <c r="A39" s="81" t="n">
        <v>45016</v>
      </c>
      <c r="B39" s="82" t="n">
        <v>2023</v>
      </c>
      <c r="C39" s="82" t="n">
        <v>3</v>
      </c>
      <c r="D39" s="83" t="s">
        <v>141</v>
      </c>
      <c r="E39" s="83" t="s">
        <v>138</v>
      </c>
      <c r="F39" s="83" t="s">
        <v>135</v>
      </c>
      <c r="G39" s="76" t="n">
        <v>524</v>
      </c>
      <c r="H39" s="83" t="s">
        <v>770</v>
      </c>
    </row>
    <row r="40" customFormat="false" ht="15" hidden="false" customHeight="false" outlineLevel="0" collapsed="false">
      <c r="A40" s="81" t="n">
        <v>45016</v>
      </c>
      <c r="B40" s="82" t="n">
        <v>2023</v>
      </c>
      <c r="C40" s="82" t="n">
        <v>3</v>
      </c>
      <c r="D40" s="83" t="s">
        <v>142</v>
      </c>
      <c r="E40" s="83" t="s">
        <v>138</v>
      </c>
      <c r="F40" s="83" t="s">
        <v>135</v>
      </c>
      <c r="G40" s="76" t="n">
        <v>225</v>
      </c>
      <c r="H40" s="83" t="s">
        <v>771</v>
      </c>
    </row>
    <row r="41" customFormat="false" ht="15" hidden="false" customHeight="false" outlineLevel="0" collapsed="false">
      <c r="A41" s="81" t="n">
        <v>45016</v>
      </c>
      <c r="B41" s="82" t="n">
        <v>2023</v>
      </c>
      <c r="C41" s="82" t="n">
        <v>3</v>
      </c>
      <c r="D41" s="83" t="s">
        <v>143</v>
      </c>
      <c r="E41" s="83" t="s">
        <v>138</v>
      </c>
      <c r="F41" s="83" t="s">
        <v>135</v>
      </c>
      <c r="G41" s="76" t="n">
        <v>418</v>
      </c>
      <c r="H41" s="83" t="s">
        <v>772</v>
      </c>
    </row>
    <row r="42" customFormat="false" ht="15" hidden="false" customHeight="false" outlineLevel="0" collapsed="false">
      <c r="A42" s="81" t="n">
        <v>45016</v>
      </c>
      <c r="B42" s="82" t="n">
        <v>2023</v>
      </c>
      <c r="C42" s="82" t="n">
        <v>3</v>
      </c>
      <c r="D42" s="83" t="s">
        <v>144</v>
      </c>
      <c r="E42" s="83" t="s">
        <v>138</v>
      </c>
      <c r="F42" s="83" t="s">
        <v>135</v>
      </c>
      <c r="G42" s="76" t="n">
        <v>345</v>
      </c>
      <c r="H42" s="83" t="s">
        <v>773</v>
      </c>
    </row>
    <row r="43" customFormat="false" ht="15" hidden="false" customHeight="false" outlineLevel="0" collapsed="false">
      <c r="A43" s="81" t="n">
        <v>45016</v>
      </c>
      <c r="B43" s="82" t="n">
        <v>2023</v>
      </c>
      <c r="C43" s="82" t="n">
        <v>3</v>
      </c>
      <c r="D43" s="83" t="s">
        <v>145</v>
      </c>
      <c r="E43" s="83" t="s">
        <v>138</v>
      </c>
      <c r="F43" s="83" t="s">
        <v>131</v>
      </c>
      <c r="G43" s="76" t="n">
        <v>100</v>
      </c>
      <c r="H43" s="83" t="s">
        <v>774</v>
      </c>
    </row>
    <row r="44" customFormat="false" ht="15" hidden="false" customHeight="false" outlineLevel="0" collapsed="false">
      <c r="A44" s="81" t="n">
        <v>45046</v>
      </c>
      <c r="B44" s="82" t="n">
        <v>2023</v>
      </c>
      <c r="C44" s="82" t="n">
        <v>4</v>
      </c>
      <c r="D44" s="83" t="s">
        <v>129</v>
      </c>
      <c r="E44" s="83" t="s">
        <v>130</v>
      </c>
      <c r="F44" s="83" t="s">
        <v>131</v>
      </c>
      <c r="G44" s="76" t="n">
        <v>1043</v>
      </c>
      <c r="H44" s="83" t="s">
        <v>775</v>
      </c>
    </row>
    <row r="45" customFormat="false" ht="15" hidden="false" customHeight="false" outlineLevel="0" collapsed="false">
      <c r="A45" s="81" t="n">
        <v>45046</v>
      </c>
      <c r="B45" s="82" t="n">
        <v>2023</v>
      </c>
      <c r="C45" s="82" t="n">
        <v>4</v>
      </c>
      <c r="D45" s="83" t="s">
        <v>132</v>
      </c>
      <c r="E45" s="83" t="s">
        <v>130</v>
      </c>
      <c r="F45" s="83" t="s">
        <v>131</v>
      </c>
      <c r="G45" s="76" t="n">
        <v>584</v>
      </c>
      <c r="H45" s="83" t="s">
        <v>776</v>
      </c>
    </row>
    <row r="46" customFormat="false" ht="15" hidden="false" customHeight="false" outlineLevel="0" collapsed="false">
      <c r="A46" s="81" t="n">
        <v>45046</v>
      </c>
      <c r="B46" s="82" t="n">
        <v>2023</v>
      </c>
      <c r="C46" s="82" t="n">
        <v>4</v>
      </c>
      <c r="D46" s="83" t="s">
        <v>133</v>
      </c>
      <c r="E46" s="83" t="s">
        <v>130</v>
      </c>
      <c r="F46" s="83" t="s">
        <v>131</v>
      </c>
      <c r="G46" s="76" t="n">
        <v>1586</v>
      </c>
      <c r="H46" s="83" t="s">
        <v>777</v>
      </c>
    </row>
    <row r="47" customFormat="false" ht="15" hidden="false" customHeight="false" outlineLevel="0" collapsed="false">
      <c r="A47" s="81" t="n">
        <v>45046</v>
      </c>
      <c r="B47" s="82" t="n">
        <v>2023</v>
      </c>
      <c r="C47" s="82" t="n">
        <v>4</v>
      </c>
      <c r="D47" s="83" t="s">
        <v>134</v>
      </c>
      <c r="E47" s="83" t="s">
        <v>130</v>
      </c>
      <c r="F47" s="83" t="s">
        <v>135</v>
      </c>
      <c r="G47" s="76" t="n">
        <v>1908</v>
      </c>
      <c r="H47" s="83" t="s">
        <v>778</v>
      </c>
    </row>
    <row r="48" customFormat="false" ht="15" hidden="false" customHeight="false" outlineLevel="0" collapsed="false">
      <c r="A48" s="81" t="n">
        <v>45046</v>
      </c>
      <c r="B48" s="82" t="n">
        <v>2023</v>
      </c>
      <c r="C48" s="82" t="n">
        <v>4</v>
      </c>
      <c r="D48" s="83" t="s">
        <v>136</v>
      </c>
      <c r="E48" s="83" t="s">
        <v>130</v>
      </c>
      <c r="F48" s="83" t="s">
        <v>135</v>
      </c>
      <c r="G48" s="76" t="n">
        <v>2514</v>
      </c>
      <c r="H48" s="83" t="s">
        <v>779</v>
      </c>
    </row>
    <row r="49" customFormat="false" ht="15" hidden="false" customHeight="false" outlineLevel="0" collapsed="false">
      <c r="A49" s="81" t="n">
        <v>45046</v>
      </c>
      <c r="B49" s="82" t="n">
        <v>2023</v>
      </c>
      <c r="C49" s="82" t="n">
        <v>4</v>
      </c>
      <c r="D49" s="83" t="s">
        <v>137</v>
      </c>
      <c r="E49" s="83" t="s">
        <v>138</v>
      </c>
      <c r="F49" s="83" t="s">
        <v>135</v>
      </c>
      <c r="G49" s="76" t="n">
        <v>2290</v>
      </c>
      <c r="H49" s="83" t="s">
        <v>780</v>
      </c>
    </row>
    <row r="50" customFormat="false" ht="15" hidden="false" customHeight="false" outlineLevel="0" collapsed="false">
      <c r="A50" s="81" t="n">
        <v>45046</v>
      </c>
      <c r="B50" s="82" t="n">
        <v>2023</v>
      </c>
      <c r="C50" s="82" t="n">
        <v>4</v>
      </c>
      <c r="D50" s="83" t="s">
        <v>139</v>
      </c>
      <c r="E50" s="83" t="s">
        <v>138</v>
      </c>
      <c r="F50" s="83" t="s">
        <v>135</v>
      </c>
      <c r="G50" s="76" t="n">
        <v>623</v>
      </c>
      <c r="H50" s="83" t="s">
        <v>781</v>
      </c>
    </row>
    <row r="51" customFormat="false" ht="15" hidden="false" customHeight="false" outlineLevel="0" collapsed="false">
      <c r="A51" s="81" t="n">
        <v>45046</v>
      </c>
      <c r="B51" s="82" t="n">
        <v>2023</v>
      </c>
      <c r="C51" s="82" t="n">
        <v>4</v>
      </c>
      <c r="D51" s="83" t="s">
        <v>140</v>
      </c>
      <c r="E51" s="83" t="s">
        <v>138</v>
      </c>
      <c r="F51" s="83" t="s">
        <v>135</v>
      </c>
      <c r="G51" s="76" t="n">
        <v>298</v>
      </c>
      <c r="H51" s="83" t="s">
        <v>782</v>
      </c>
    </row>
    <row r="52" customFormat="false" ht="15" hidden="false" customHeight="false" outlineLevel="0" collapsed="false">
      <c r="A52" s="81" t="n">
        <v>45046</v>
      </c>
      <c r="B52" s="82" t="n">
        <v>2023</v>
      </c>
      <c r="C52" s="82" t="n">
        <v>4</v>
      </c>
      <c r="D52" s="83" t="s">
        <v>141</v>
      </c>
      <c r="E52" s="83" t="s">
        <v>138</v>
      </c>
      <c r="F52" s="83" t="s">
        <v>135</v>
      </c>
      <c r="G52" s="76" t="n">
        <v>521</v>
      </c>
      <c r="H52" s="83" t="s">
        <v>783</v>
      </c>
    </row>
    <row r="53" customFormat="false" ht="15" hidden="false" customHeight="false" outlineLevel="0" collapsed="false">
      <c r="A53" s="81" t="n">
        <v>45046</v>
      </c>
      <c r="B53" s="82" t="n">
        <v>2023</v>
      </c>
      <c r="C53" s="82" t="n">
        <v>4</v>
      </c>
      <c r="D53" s="83" t="s">
        <v>142</v>
      </c>
      <c r="E53" s="83" t="s">
        <v>138</v>
      </c>
      <c r="F53" s="83" t="s">
        <v>135</v>
      </c>
      <c r="G53" s="76" t="n">
        <v>224</v>
      </c>
      <c r="H53" s="83" t="s">
        <v>784</v>
      </c>
    </row>
    <row r="54" customFormat="false" ht="15" hidden="false" customHeight="false" outlineLevel="0" collapsed="false">
      <c r="A54" s="81" t="n">
        <v>45046</v>
      </c>
      <c r="B54" s="82" t="n">
        <v>2023</v>
      </c>
      <c r="C54" s="82" t="n">
        <v>4</v>
      </c>
      <c r="D54" s="83" t="s">
        <v>143</v>
      </c>
      <c r="E54" s="83" t="s">
        <v>138</v>
      </c>
      <c r="F54" s="83" t="s">
        <v>135</v>
      </c>
      <c r="G54" s="76" t="n">
        <v>417</v>
      </c>
      <c r="H54" s="83" t="s">
        <v>785</v>
      </c>
    </row>
    <row r="55" customFormat="false" ht="15" hidden="false" customHeight="false" outlineLevel="0" collapsed="false">
      <c r="A55" s="81" t="n">
        <v>45046</v>
      </c>
      <c r="B55" s="82" t="n">
        <v>2023</v>
      </c>
      <c r="C55" s="82" t="n">
        <v>4</v>
      </c>
      <c r="D55" s="83" t="s">
        <v>144</v>
      </c>
      <c r="E55" s="83" t="s">
        <v>138</v>
      </c>
      <c r="F55" s="83" t="s">
        <v>135</v>
      </c>
      <c r="G55" s="76" t="n">
        <v>346</v>
      </c>
      <c r="H55" s="83" t="s">
        <v>786</v>
      </c>
    </row>
    <row r="56" customFormat="false" ht="15" hidden="false" customHeight="false" outlineLevel="0" collapsed="false">
      <c r="A56" s="81" t="n">
        <v>45046</v>
      </c>
      <c r="B56" s="82" t="n">
        <v>2023</v>
      </c>
      <c r="C56" s="82" t="n">
        <v>4</v>
      </c>
      <c r="D56" s="83" t="s">
        <v>145</v>
      </c>
      <c r="E56" s="83" t="s">
        <v>138</v>
      </c>
      <c r="F56" s="83" t="s">
        <v>131</v>
      </c>
      <c r="G56" s="76" t="n">
        <v>98</v>
      </c>
      <c r="H56" s="83" t="s">
        <v>787</v>
      </c>
    </row>
    <row r="57" customFormat="false" ht="15" hidden="false" customHeight="false" outlineLevel="0" collapsed="false">
      <c r="A57" s="81" t="n">
        <v>45077</v>
      </c>
      <c r="B57" s="82" t="n">
        <v>2023</v>
      </c>
      <c r="C57" s="82" t="n">
        <v>5</v>
      </c>
      <c r="D57" s="83" t="s">
        <v>129</v>
      </c>
      <c r="E57" s="83" t="s">
        <v>130</v>
      </c>
      <c r="F57" s="83" t="s">
        <v>131</v>
      </c>
      <c r="G57" s="76" t="n">
        <v>1098</v>
      </c>
      <c r="H57" s="83" t="s">
        <v>788</v>
      </c>
    </row>
    <row r="58" customFormat="false" ht="15" hidden="false" customHeight="false" outlineLevel="0" collapsed="false">
      <c r="A58" s="81" t="n">
        <v>45077</v>
      </c>
      <c r="B58" s="82" t="n">
        <v>2023</v>
      </c>
      <c r="C58" s="82" t="n">
        <v>5</v>
      </c>
      <c r="D58" s="83" t="s">
        <v>132</v>
      </c>
      <c r="E58" s="83" t="s">
        <v>130</v>
      </c>
      <c r="F58" s="83" t="s">
        <v>131</v>
      </c>
      <c r="G58" s="76" t="n">
        <v>600</v>
      </c>
      <c r="H58" s="83" t="s">
        <v>789</v>
      </c>
    </row>
    <row r="59" customFormat="false" ht="15" hidden="false" customHeight="false" outlineLevel="0" collapsed="false">
      <c r="A59" s="81" t="n">
        <v>45077</v>
      </c>
      <c r="B59" s="82" t="n">
        <v>2023</v>
      </c>
      <c r="C59" s="82" t="n">
        <v>5</v>
      </c>
      <c r="D59" s="83" t="s">
        <v>133</v>
      </c>
      <c r="E59" s="83" t="s">
        <v>130</v>
      </c>
      <c r="F59" s="83" t="s">
        <v>131</v>
      </c>
      <c r="G59" s="76" t="n">
        <v>1658</v>
      </c>
      <c r="H59" s="83" t="s">
        <v>790</v>
      </c>
    </row>
    <row r="60" customFormat="false" ht="15" hidden="false" customHeight="false" outlineLevel="0" collapsed="false">
      <c r="A60" s="81" t="n">
        <v>45077</v>
      </c>
      <c r="B60" s="82" t="n">
        <v>2023</v>
      </c>
      <c r="C60" s="82" t="n">
        <v>5</v>
      </c>
      <c r="D60" s="83" t="s">
        <v>134</v>
      </c>
      <c r="E60" s="83" t="s">
        <v>130</v>
      </c>
      <c r="F60" s="83" t="s">
        <v>135</v>
      </c>
      <c r="G60" s="76" t="n">
        <v>1877</v>
      </c>
      <c r="H60" s="83" t="s">
        <v>791</v>
      </c>
    </row>
    <row r="61" customFormat="false" ht="15" hidden="false" customHeight="false" outlineLevel="0" collapsed="false">
      <c r="A61" s="81" t="n">
        <v>45077</v>
      </c>
      <c r="B61" s="82" t="n">
        <v>2023</v>
      </c>
      <c r="C61" s="82" t="n">
        <v>5</v>
      </c>
      <c r="D61" s="83" t="s">
        <v>136</v>
      </c>
      <c r="E61" s="83" t="s">
        <v>130</v>
      </c>
      <c r="F61" s="83" t="s">
        <v>135</v>
      </c>
      <c r="G61" s="76" t="n">
        <v>2467</v>
      </c>
      <c r="H61" s="83" t="s">
        <v>792</v>
      </c>
    </row>
    <row r="62" customFormat="false" ht="15" hidden="false" customHeight="false" outlineLevel="0" collapsed="false">
      <c r="A62" s="81" t="n">
        <v>45077</v>
      </c>
      <c r="B62" s="82" t="n">
        <v>2023</v>
      </c>
      <c r="C62" s="82" t="n">
        <v>5</v>
      </c>
      <c r="D62" s="83" t="s">
        <v>137</v>
      </c>
      <c r="E62" s="83" t="s">
        <v>138</v>
      </c>
      <c r="F62" s="83" t="s">
        <v>135</v>
      </c>
      <c r="G62" s="76" t="n">
        <v>2294</v>
      </c>
      <c r="H62" s="83" t="s">
        <v>793</v>
      </c>
    </row>
    <row r="63" customFormat="false" ht="15" hidden="false" customHeight="false" outlineLevel="0" collapsed="false">
      <c r="A63" s="81" t="n">
        <v>45077</v>
      </c>
      <c r="B63" s="82" t="n">
        <v>2023</v>
      </c>
      <c r="C63" s="82" t="n">
        <v>5</v>
      </c>
      <c r="D63" s="83" t="s">
        <v>139</v>
      </c>
      <c r="E63" s="83" t="s">
        <v>138</v>
      </c>
      <c r="F63" s="83" t="s">
        <v>135</v>
      </c>
      <c r="G63" s="76" t="n">
        <v>622</v>
      </c>
      <c r="H63" s="83" t="s">
        <v>794</v>
      </c>
    </row>
    <row r="64" customFormat="false" ht="15" hidden="false" customHeight="false" outlineLevel="0" collapsed="false">
      <c r="A64" s="81" t="n">
        <v>45077</v>
      </c>
      <c r="B64" s="82" t="n">
        <v>2023</v>
      </c>
      <c r="C64" s="82" t="n">
        <v>5</v>
      </c>
      <c r="D64" s="83" t="s">
        <v>140</v>
      </c>
      <c r="E64" s="83" t="s">
        <v>138</v>
      </c>
      <c r="F64" s="83" t="s">
        <v>135</v>
      </c>
      <c r="G64" s="76" t="n">
        <v>299</v>
      </c>
      <c r="H64" s="83" t="s">
        <v>795</v>
      </c>
    </row>
    <row r="65" customFormat="false" ht="15" hidden="false" customHeight="false" outlineLevel="0" collapsed="false">
      <c r="A65" s="81" t="n">
        <v>45077</v>
      </c>
      <c r="B65" s="82" t="n">
        <v>2023</v>
      </c>
      <c r="C65" s="82" t="n">
        <v>5</v>
      </c>
      <c r="D65" s="83" t="s">
        <v>141</v>
      </c>
      <c r="E65" s="83" t="s">
        <v>138</v>
      </c>
      <c r="F65" s="83" t="s">
        <v>135</v>
      </c>
      <c r="G65" s="76" t="n">
        <v>517</v>
      </c>
      <c r="H65" s="83" t="s">
        <v>796</v>
      </c>
    </row>
    <row r="66" customFormat="false" ht="15" hidden="false" customHeight="false" outlineLevel="0" collapsed="false">
      <c r="A66" s="81" t="n">
        <v>45077</v>
      </c>
      <c r="B66" s="82" t="n">
        <v>2023</v>
      </c>
      <c r="C66" s="82" t="n">
        <v>5</v>
      </c>
      <c r="D66" s="83" t="s">
        <v>142</v>
      </c>
      <c r="E66" s="83" t="s">
        <v>138</v>
      </c>
      <c r="F66" s="83" t="s">
        <v>135</v>
      </c>
      <c r="G66" s="76" t="n">
        <v>188</v>
      </c>
      <c r="H66" s="83" t="s">
        <v>797</v>
      </c>
    </row>
    <row r="67" customFormat="false" ht="15" hidden="false" customHeight="false" outlineLevel="0" collapsed="false">
      <c r="A67" s="81" t="n">
        <v>45077</v>
      </c>
      <c r="B67" s="82" t="n">
        <v>2023</v>
      </c>
      <c r="C67" s="82" t="n">
        <v>5</v>
      </c>
      <c r="D67" s="83" t="s">
        <v>143</v>
      </c>
      <c r="E67" s="83" t="s">
        <v>138</v>
      </c>
      <c r="F67" s="83" t="s">
        <v>135</v>
      </c>
      <c r="G67" s="76" t="n">
        <v>417</v>
      </c>
      <c r="H67" s="83" t="s">
        <v>798</v>
      </c>
    </row>
    <row r="68" customFormat="false" ht="15" hidden="false" customHeight="false" outlineLevel="0" collapsed="false">
      <c r="A68" s="81" t="n">
        <v>45077</v>
      </c>
      <c r="B68" s="82" t="n">
        <v>2023</v>
      </c>
      <c r="C68" s="82" t="n">
        <v>5</v>
      </c>
      <c r="D68" s="83" t="s">
        <v>144</v>
      </c>
      <c r="E68" s="83" t="s">
        <v>138</v>
      </c>
      <c r="F68" s="83" t="s">
        <v>135</v>
      </c>
      <c r="G68" s="76" t="n">
        <v>334</v>
      </c>
      <c r="H68" s="83" t="s">
        <v>799</v>
      </c>
    </row>
    <row r="69" customFormat="false" ht="15" hidden="false" customHeight="false" outlineLevel="0" collapsed="false">
      <c r="A69" s="81" t="n">
        <v>45077</v>
      </c>
      <c r="B69" s="82" t="n">
        <v>2023</v>
      </c>
      <c r="C69" s="82" t="n">
        <v>5</v>
      </c>
      <c r="D69" s="83" t="s">
        <v>145</v>
      </c>
      <c r="E69" s="83" t="s">
        <v>138</v>
      </c>
      <c r="F69" s="83" t="s">
        <v>131</v>
      </c>
      <c r="G69" s="76" t="n">
        <v>104</v>
      </c>
      <c r="H69" s="83" t="s">
        <v>800</v>
      </c>
    </row>
    <row r="70" customFormat="false" ht="15" hidden="false" customHeight="false" outlineLevel="0" collapsed="false">
      <c r="A70" s="81" t="n">
        <v>45107</v>
      </c>
      <c r="B70" s="82" t="n">
        <v>2023</v>
      </c>
      <c r="C70" s="82" t="n">
        <v>6</v>
      </c>
      <c r="D70" s="83" t="s">
        <v>129</v>
      </c>
      <c r="E70" s="83" t="s">
        <v>130</v>
      </c>
      <c r="F70" s="83" t="s">
        <v>131</v>
      </c>
      <c r="G70" s="76" t="n">
        <v>1072</v>
      </c>
      <c r="H70" s="83" t="s">
        <v>801</v>
      </c>
    </row>
    <row r="71" customFormat="false" ht="15" hidden="false" customHeight="false" outlineLevel="0" collapsed="false">
      <c r="A71" s="81" t="n">
        <v>45107</v>
      </c>
      <c r="B71" s="82" t="n">
        <v>2023</v>
      </c>
      <c r="C71" s="82" t="n">
        <v>6</v>
      </c>
      <c r="D71" s="83" t="s">
        <v>132</v>
      </c>
      <c r="E71" s="83" t="s">
        <v>130</v>
      </c>
      <c r="F71" s="83" t="s">
        <v>131</v>
      </c>
      <c r="G71" s="76" t="n">
        <v>601</v>
      </c>
      <c r="H71" s="83" t="s">
        <v>802</v>
      </c>
    </row>
    <row r="72" customFormat="false" ht="15" hidden="false" customHeight="false" outlineLevel="0" collapsed="false">
      <c r="A72" s="81" t="n">
        <v>45107</v>
      </c>
      <c r="B72" s="82" t="n">
        <v>2023</v>
      </c>
      <c r="C72" s="82" t="n">
        <v>6</v>
      </c>
      <c r="D72" s="83" t="s">
        <v>133</v>
      </c>
      <c r="E72" s="83" t="s">
        <v>130</v>
      </c>
      <c r="F72" s="83" t="s">
        <v>131</v>
      </c>
      <c r="G72" s="76" t="n">
        <v>1615</v>
      </c>
      <c r="H72" s="83" t="s">
        <v>803</v>
      </c>
    </row>
    <row r="73" customFormat="false" ht="15" hidden="false" customHeight="false" outlineLevel="0" collapsed="false">
      <c r="A73" s="81" t="n">
        <v>45107</v>
      </c>
      <c r="B73" s="82" t="n">
        <v>2023</v>
      </c>
      <c r="C73" s="82" t="n">
        <v>6</v>
      </c>
      <c r="D73" s="83" t="s">
        <v>134</v>
      </c>
      <c r="E73" s="83" t="s">
        <v>130</v>
      </c>
      <c r="F73" s="83" t="s">
        <v>135</v>
      </c>
      <c r="G73" s="76" t="n">
        <v>1937</v>
      </c>
      <c r="H73" s="83" t="s">
        <v>804</v>
      </c>
    </row>
    <row r="74" customFormat="false" ht="15" hidden="false" customHeight="false" outlineLevel="0" collapsed="false">
      <c r="A74" s="81" t="n">
        <v>45107</v>
      </c>
      <c r="B74" s="82" t="n">
        <v>2023</v>
      </c>
      <c r="C74" s="82" t="n">
        <v>6</v>
      </c>
      <c r="D74" s="83" t="s">
        <v>136</v>
      </c>
      <c r="E74" s="83" t="s">
        <v>130</v>
      </c>
      <c r="F74" s="83" t="s">
        <v>135</v>
      </c>
      <c r="G74" s="76" t="n">
        <v>2513</v>
      </c>
      <c r="H74" s="83" t="s">
        <v>805</v>
      </c>
    </row>
    <row r="75" customFormat="false" ht="15" hidden="false" customHeight="false" outlineLevel="0" collapsed="false">
      <c r="A75" s="81" t="n">
        <v>45107</v>
      </c>
      <c r="B75" s="82" t="n">
        <v>2023</v>
      </c>
      <c r="C75" s="82" t="n">
        <v>6</v>
      </c>
      <c r="D75" s="83" t="s">
        <v>137</v>
      </c>
      <c r="E75" s="83" t="s">
        <v>138</v>
      </c>
      <c r="F75" s="83" t="s">
        <v>135</v>
      </c>
      <c r="G75" s="76" t="n">
        <v>2303</v>
      </c>
      <c r="H75" s="83" t="s">
        <v>806</v>
      </c>
    </row>
    <row r="76" customFormat="false" ht="15" hidden="false" customHeight="false" outlineLevel="0" collapsed="false">
      <c r="A76" s="81" t="n">
        <v>45107</v>
      </c>
      <c r="B76" s="82" t="n">
        <v>2023</v>
      </c>
      <c r="C76" s="82" t="n">
        <v>6</v>
      </c>
      <c r="D76" s="83" t="s">
        <v>139</v>
      </c>
      <c r="E76" s="83" t="s">
        <v>138</v>
      </c>
      <c r="F76" s="83" t="s">
        <v>135</v>
      </c>
      <c r="G76" s="76" t="n">
        <v>628</v>
      </c>
      <c r="H76" s="83" t="s">
        <v>807</v>
      </c>
    </row>
    <row r="77" customFormat="false" ht="15" hidden="false" customHeight="false" outlineLevel="0" collapsed="false">
      <c r="A77" s="81" t="n">
        <v>45107</v>
      </c>
      <c r="B77" s="82" t="n">
        <v>2023</v>
      </c>
      <c r="C77" s="82" t="n">
        <v>6</v>
      </c>
      <c r="D77" s="83" t="s">
        <v>140</v>
      </c>
      <c r="E77" s="83" t="s">
        <v>138</v>
      </c>
      <c r="F77" s="83" t="s">
        <v>135</v>
      </c>
      <c r="G77" s="76" t="n">
        <v>305</v>
      </c>
      <c r="H77" s="83" t="s">
        <v>808</v>
      </c>
    </row>
    <row r="78" customFormat="false" ht="15" hidden="false" customHeight="false" outlineLevel="0" collapsed="false">
      <c r="A78" s="81" t="n">
        <v>45107</v>
      </c>
      <c r="B78" s="82" t="n">
        <v>2023</v>
      </c>
      <c r="C78" s="82" t="n">
        <v>6</v>
      </c>
      <c r="D78" s="83" t="s">
        <v>141</v>
      </c>
      <c r="E78" s="83" t="s">
        <v>138</v>
      </c>
      <c r="F78" s="83" t="s">
        <v>135</v>
      </c>
      <c r="G78" s="76" t="n">
        <v>516</v>
      </c>
      <c r="H78" s="83" t="s">
        <v>809</v>
      </c>
    </row>
    <row r="79" customFormat="false" ht="15" hidden="false" customHeight="false" outlineLevel="0" collapsed="false">
      <c r="A79" s="81" t="n">
        <v>45107</v>
      </c>
      <c r="B79" s="82" t="n">
        <v>2023</v>
      </c>
      <c r="C79" s="82" t="n">
        <v>6</v>
      </c>
      <c r="D79" s="83" t="s">
        <v>142</v>
      </c>
      <c r="E79" s="83" t="s">
        <v>138</v>
      </c>
      <c r="F79" s="83" t="s">
        <v>135</v>
      </c>
      <c r="G79" s="76" t="n">
        <v>235</v>
      </c>
      <c r="H79" s="83" t="s">
        <v>810</v>
      </c>
    </row>
    <row r="80" customFormat="false" ht="15" hidden="false" customHeight="false" outlineLevel="0" collapsed="false">
      <c r="A80" s="81" t="n">
        <v>45107</v>
      </c>
      <c r="B80" s="82" t="n">
        <v>2023</v>
      </c>
      <c r="C80" s="82" t="n">
        <v>6</v>
      </c>
      <c r="D80" s="83" t="s">
        <v>143</v>
      </c>
      <c r="E80" s="83" t="s">
        <v>138</v>
      </c>
      <c r="F80" s="83" t="s">
        <v>135</v>
      </c>
      <c r="G80" s="76" t="n">
        <v>420</v>
      </c>
      <c r="H80" s="83" t="s">
        <v>811</v>
      </c>
    </row>
    <row r="81" customFormat="false" ht="15" hidden="false" customHeight="false" outlineLevel="0" collapsed="false">
      <c r="A81" s="81" t="n">
        <v>45107</v>
      </c>
      <c r="B81" s="82" t="n">
        <v>2023</v>
      </c>
      <c r="C81" s="82" t="n">
        <v>6</v>
      </c>
      <c r="D81" s="83" t="s">
        <v>144</v>
      </c>
      <c r="E81" s="83" t="s">
        <v>138</v>
      </c>
      <c r="F81" s="83" t="s">
        <v>135</v>
      </c>
      <c r="G81" s="76" t="n">
        <v>345</v>
      </c>
      <c r="H81" s="83" t="s">
        <v>812</v>
      </c>
    </row>
    <row r="82" customFormat="false" ht="15" hidden="false" customHeight="false" outlineLevel="0" collapsed="false">
      <c r="A82" s="81" t="n">
        <v>45107</v>
      </c>
      <c r="B82" s="82" t="n">
        <v>2023</v>
      </c>
      <c r="C82" s="82" t="n">
        <v>6</v>
      </c>
      <c r="D82" s="83" t="s">
        <v>145</v>
      </c>
      <c r="E82" s="83" t="s">
        <v>138</v>
      </c>
      <c r="F82" s="83" t="s">
        <v>131</v>
      </c>
      <c r="G82" s="76" t="n">
        <v>101</v>
      </c>
      <c r="H82" s="83" t="s">
        <v>813</v>
      </c>
    </row>
    <row r="83" customFormat="false" ht="15" hidden="false" customHeight="false" outlineLevel="0" collapsed="false">
      <c r="A83" s="81" t="n">
        <v>45138</v>
      </c>
      <c r="B83" s="82" t="n">
        <v>2023</v>
      </c>
      <c r="C83" s="82" t="n">
        <v>7</v>
      </c>
      <c r="D83" s="83" t="s">
        <v>129</v>
      </c>
      <c r="E83" s="83" t="s">
        <v>130</v>
      </c>
      <c r="F83" s="83" t="s">
        <v>131</v>
      </c>
      <c r="G83" s="76" t="n">
        <v>1080</v>
      </c>
      <c r="H83" s="83" t="s">
        <v>814</v>
      </c>
    </row>
    <row r="84" customFormat="false" ht="15" hidden="false" customHeight="false" outlineLevel="0" collapsed="false">
      <c r="A84" s="81" t="n">
        <v>45138</v>
      </c>
      <c r="B84" s="82" t="n">
        <v>2023</v>
      </c>
      <c r="C84" s="82" t="n">
        <v>7</v>
      </c>
      <c r="D84" s="83" t="s">
        <v>132</v>
      </c>
      <c r="E84" s="83" t="s">
        <v>130</v>
      </c>
      <c r="F84" s="83" t="s">
        <v>131</v>
      </c>
      <c r="G84" s="76" t="n">
        <v>601</v>
      </c>
      <c r="H84" s="83" t="s">
        <v>815</v>
      </c>
    </row>
    <row r="85" customFormat="false" ht="15" hidden="false" customHeight="false" outlineLevel="0" collapsed="false">
      <c r="A85" s="81" t="n">
        <v>45138</v>
      </c>
      <c r="B85" s="82" t="n">
        <v>2023</v>
      </c>
      <c r="C85" s="82" t="n">
        <v>7</v>
      </c>
      <c r="D85" s="83" t="s">
        <v>133</v>
      </c>
      <c r="E85" s="83" t="s">
        <v>130</v>
      </c>
      <c r="F85" s="83" t="s">
        <v>131</v>
      </c>
      <c r="G85" s="76" t="n">
        <v>1623</v>
      </c>
      <c r="H85" s="83" t="s">
        <v>816</v>
      </c>
    </row>
    <row r="86" customFormat="false" ht="15" hidden="false" customHeight="false" outlineLevel="0" collapsed="false">
      <c r="A86" s="81" t="n">
        <v>45138</v>
      </c>
      <c r="B86" s="82" t="n">
        <v>2023</v>
      </c>
      <c r="C86" s="82" t="n">
        <v>7</v>
      </c>
      <c r="D86" s="83" t="s">
        <v>134</v>
      </c>
      <c r="E86" s="83" t="s">
        <v>130</v>
      </c>
      <c r="F86" s="83" t="s">
        <v>135</v>
      </c>
      <c r="G86" s="76" t="n">
        <v>1895</v>
      </c>
      <c r="H86" s="83" t="s">
        <v>817</v>
      </c>
    </row>
    <row r="87" customFormat="false" ht="15" hidden="false" customHeight="false" outlineLevel="0" collapsed="false">
      <c r="A87" s="81" t="n">
        <v>45138</v>
      </c>
      <c r="B87" s="82" t="n">
        <v>2023</v>
      </c>
      <c r="C87" s="82" t="n">
        <v>7</v>
      </c>
      <c r="D87" s="83" t="s">
        <v>136</v>
      </c>
      <c r="E87" s="83" t="s">
        <v>130</v>
      </c>
      <c r="F87" s="83" t="s">
        <v>135</v>
      </c>
      <c r="G87" s="76" t="n">
        <v>2512</v>
      </c>
      <c r="H87" s="83" t="s">
        <v>818</v>
      </c>
    </row>
    <row r="88" customFormat="false" ht="15" hidden="false" customHeight="false" outlineLevel="0" collapsed="false">
      <c r="A88" s="81" t="n">
        <v>45138</v>
      </c>
      <c r="B88" s="82" t="n">
        <v>2023</v>
      </c>
      <c r="C88" s="82" t="n">
        <v>7</v>
      </c>
      <c r="D88" s="83" t="s">
        <v>137</v>
      </c>
      <c r="E88" s="83" t="s">
        <v>138</v>
      </c>
      <c r="F88" s="83" t="s">
        <v>135</v>
      </c>
      <c r="G88" s="76" t="n">
        <v>2338</v>
      </c>
      <c r="H88" s="83" t="s">
        <v>819</v>
      </c>
    </row>
    <row r="89" customFormat="false" ht="15" hidden="false" customHeight="false" outlineLevel="0" collapsed="false">
      <c r="A89" s="81" t="n">
        <v>45138</v>
      </c>
      <c r="B89" s="82" t="n">
        <v>2023</v>
      </c>
      <c r="C89" s="82" t="n">
        <v>7</v>
      </c>
      <c r="D89" s="83" t="s">
        <v>139</v>
      </c>
      <c r="E89" s="83" t="s">
        <v>138</v>
      </c>
      <c r="F89" s="83" t="s">
        <v>135</v>
      </c>
      <c r="G89" s="76" t="n">
        <v>629</v>
      </c>
      <c r="H89" s="83" t="s">
        <v>820</v>
      </c>
    </row>
    <row r="90" customFormat="false" ht="15" hidden="false" customHeight="false" outlineLevel="0" collapsed="false">
      <c r="A90" s="81" t="n">
        <v>45138</v>
      </c>
      <c r="B90" s="82" t="n">
        <v>2023</v>
      </c>
      <c r="C90" s="82" t="n">
        <v>7</v>
      </c>
      <c r="D90" s="83" t="s">
        <v>140</v>
      </c>
      <c r="E90" s="83" t="s">
        <v>138</v>
      </c>
      <c r="F90" s="83" t="s">
        <v>135</v>
      </c>
      <c r="G90" s="76" t="n">
        <v>304</v>
      </c>
      <c r="H90" s="83" t="s">
        <v>821</v>
      </c>
    </row>
    <row r="91" customFormat="false" ht="15" hidden="false" customHeight="false" outlineLevel="0" collapsed="false">
      <c r="A91" s="81" t="n">
        <v>45138</v>
      </c>
      <c r="B91" s="82" t="n">
        <v>2023</v>
      </c>
      <c r="C91" s="82" t="n">
        <v>7</v>
      </c>
      <c r="D91" s="83" t="s">
        <v>141</v>
      </c>
      <c r="E91" s="83" t="s">
        <v>138</v>
      </c>
      <c r="F91" s="83" t="s">
        <v>135</v>
      </c>
      <c r="G91" s="76" t="n">
        <v>521</v>
      </c>
      <c r="H91" s="83" t="s">
        <v>822</v>
      </c>
    </row>
    <row r="92" customFormat="false" ht="15" hidden="false" customHeight="false" outlineLevel="0" collapsed="false">
      <c r="A92" s="81" t="n">
        <v>45138</v>
      </c>
      <c r="B92" s="82" t="n">
        <v>2023</v>
      </c>
      <c r="C92" s="82" t="n">
        <v>7</v>
      </c>
      <c r="D92" s="83" t="s">
        <v>142</v>
      </c>
      <c r="E92" s="83" t="s">
        <v>138</v>
      </c>
      <c r="F92" s="83" t="s">
        <v>135</v>
      </c>
      <c r="G92" s="76" t="n">
        <v>227</v>
      </c>
      <c r="H92" s="83" t="s">
        <v>823</v>
      </c>
    </row>
    <row r="93" customFormat="false" ht="15" hidden="false" customHeight="false" outlineLevel="0" collapsed="false">
      <c r="A93" s="81" t="n">
        <v>45138</v>
      </c>
      <c r="B93" s="82" t="n">
        <v>2023</v>
      </c>
      <c r="C93" s="82" t="n">
        <v>7</v>
      </c>
      <c r="D93" s="83" t="s">
        <v>143</v>
      </c>
      <c r="E93" s="83" t="s">
        <v>138</v>
      </c>
      <c r="F93" s="83" t="s">
        <v>135</v>
      </c>
      <c r="G93" s="76" t="n">
        <v>426</v>
      </c>
      <c r="H93" s="83" t="s">
        <v>824</v>
      </c>
    </row>
    <row r="94" customFormat="false" ht="15" hidden="false" customHeight="false" outlineLevel="0" collapsed="false">
      <c r="A94" s="81" t="n">
        <v>45138</v>
      </c>
      <c r="B94" s="82" t="n">
        <v>2023</v>
      </c>
      <c r="C94" s="82" t="n">
        <v>7</v>
      </c>
      <c r="D94" s="83" t="s">
        <v>144</v>
      </c>
      <c r="E94" s="83" t="s">
        <v>138</v>
      </c>
      <c r="F94" s="83" t="s">
        <v>135</v>
      </c>
      <c r="G94" s="76" t="n">
        <v>334</v>
      </c>
      <c r="H94" s="83" t="s">
        <v>825</v>
      </c>
    </row>
    <row r="95" customFormat="false" ht="15" hidden="false" customHeight="false" outlineLevel="0" collapsed="false">
      <c r="A95" s="81" t="n">
        <v>45138</v>
      </c>
      <c r="B95" s="82" t="n">
        <v>2023</v>
      </c>
      <c r="C95" s="82" t="n">
        <v>7</v>
      </c>
      <c r="D95" s="83" t="s">
        <v>145</v>
      </c>
      <c r="E95" s="83" t="s">
        <v>138</v>
      </c>
      <c r="F95" s="83" t="s">
        <v>131</v>
      </c>
      <c r="G95" s="76" t="n">
        <v>100</v>
      </c>
      <c r="H95" s="83" t="s">
        <v>826</v>
      </c>
    </row>
    <row r="96" customFormat="false" ht="15" hidden="false" customHeight="false" outlineLevel="0" collapsed="false">
      <c r="A96" s="81" t="n">
        <v>45169</v>
      </c>
      <c r="B96" s="82" t="n">
        <v>2023</v>
      </c>
      <c r="C96" s="82" t="n">
        <v>8</v>
      </c>
      <c r="D96" s="83" t="s">
        <v>129</v>
      </c>
      <c r="E96" s="83" t="s">
        <v>130</v>
      </c>
      <c r="F96" s="83" t="s">
        <v>131</v>
      </c>
      <c r="G96" s="76" t="n">
        <v>1090</v>
      </c>
      <c r="H96" s="83" t="s">
        <v>827</v>
      </c>
    </row>
    <row r="97" customFormat="false" ht="15" hidden="false" customHeight="false" outlineLevel="0" collapsed="false">
      <c r="A97" s="81" t="n">
        <v>45169</v>
      </c>
      <c r="B97" s="82" t="n">
        <v>2023</v>
      </c>
      <c r="C97" s="82" t="n">
        <v>8</v>
      </c>
      <c r="D97" s="83" t="s">
        <v>132</v>
      </c>
      <c r="E97" s="83" t="s">
        <v>130</v>
      </c>
      <c r="F97" s="83" t="s">
        <v>131</v>
      </c>
      <c r="G97" s="76" t="n">
        <v>630</v>
      </c>
      <c r="H97" s="83" t="s">
        <v>828</v>
      </c>
    </row>
    <row r="98" customFormat="false" ht="15" hidden="false" customHeight="false" outlineLevel="0" collapsed="false">
      <c r="A98" s="81" t="n">
        <v>45169</v>
      </c>
      <c r="B98" s="82" t="n">
        <v>2023</v>
      </c>
      <c r="C98" s="82" t="n">
        <v>8</v>
      </c>
      <c r="D98" s="83" t="s">
        <v>133</v>
      </c>
      <c r="E98" s="83" t="s">
        <v>130</v>
      </c>
      <c r="F98" s="83" t="s">
        <v>131</v>
      </c>
      <c r="G98" s="76" t="n">
        <v>1665</v>
      </c>
      <c r="H98" s="83" t="s">
        <v>829</v>
      </c>
    </row>
    <row r="99" customFormat="false" ht="15" hidden="false" customHeight="false" outlineLevel="0" collapsed="false">
      <c r="A99" s="81" t="n">
        <v>45169</v>
      </c>
      <c r="B99" s="82" t="n">
        <v>2023</v>
      </c>
      <c r="C99" s="82" t="n">
        <v>8</v>
      </c>
      <c r="D99" s="83" t="s">
        <v>134</v>
      </c>
      <c r="E99" s="83" t="s">
        <v>130</v>
      </c>
      <c r="F99" s="83" t="s">
        <v>135</v>
      </c>
      <c r="G99" s="76" t="n">
        <v>1924</v>
      </c>
      <c r="H99" s="83" t="s">
        <v>830</v>
      </c>
    </row>
    <row r="100" customFormat="false" ht="15" hidden="false" customHeight="false" outlineLevel="0" collapsed="false">
      <c r="A100" s="81" t="n">
        <v>45169</v>
      </c>
      <c r="B100" s="82" t="n">
        <v>2023</v>
      </c>
      <c r="C100" s="82" t="n">
        <v>8</v>
      </c>
      <c r="D100" s="83" t="s">
        <v>136</v>
      </c>
      <c r="E100" s="83" t="s">
        <v>130</v>
      </c>
      <c r="F100" s="83" t="s">
        <v>135</v>
      </c>
      <c r="G100" s="76" t="n">
        <v>2494</v>
      </c>
      <c r="H100" s="83" t="s">
        <v>831</v>
      </c>
    </row>
    <row r="101" customFormat="false" ht="15" hidden="false" customHeight="false" outlineLevel="0" collapsed="false">
      <c r="A101" s="81" t="n">
        <v>45169</v>
      </c>
      <c r="B101" s="82" t="n">
        <v>2023</v>
      </c>
      <c r="C101" s="82" t="n">
        <v>8</v>
      </c>
      <c r="D101" s="83" t="s">
        <v>137</v>
      </c>
      <c r="E101" s="83" t="s">
        <v>138</v>
      </c>
      <c r="F101" s="83" t="s">
        <v>135</v>
      </c>
      <c r="G101" s="76" t="n">
        <v>2271</v>
      </c>
      <c r="H101" s="83" t="s">
        <v>832</v>
      </c>
    </row>
    <row r="102" customFormat="false" ht="15" hidden="false" customHeight="false" outlineLevel="0" collapsed="false">
      <c r="A102" s="81" t="n">
        <v>45169</v>
      </c>
      <c r="B102" s="82" t="n">
        <v>2023</v>
      </c>
      <c r="C102" s="82" t="n">
        <v>8</v>
      </c>
      <c r="D102" s="83" t="s">
        <v>139</v>
      </c>
      <c r="E102" s="83" t="s">
        <v>138</v>
      </c>
      <c r="F102" s="83" t="s">
        <v>135</v>
      </c>
      <c r="G102" s="76" t="n">
        <v>608</v>
      </c>
      <c r="H102" s="83" t="s">
        <v>833</v>
      </c>
    </row>
    <row r="103" customFormat="false" ht="15" hidden="false" customHeight="false" outlineLevel="0" collapsed="false">
      <c r="A103" s="81" t="n">
        <v>45169</v>
      </c>
      <c r="B103" s="82" t="n">
        <v>2023</v>
      </c>
      <c r="C103" s="82" t="n">
        <v>8</v>
      </c>
      <c r="D103" s="83" t="s">
        <v>140</v>
      </c>
      <c r="E103" s="83" t="s">
        <v>138</v>
      </c>
      <c r="F103" s="83" t="s">
        <v>135</v>
      </c>
      <c r="G103" s="76" t="n">
        <v>295</v>
      </c>
      <c r="H103" s="83" t="s">
        <v>834</v>
      </c>
    </row>
    <row r="104" customFormat="false" ht="15" hidden="false" customHeight="false" outlineLevel="0" collapsed="false">
      <c r="A104" s="81" t="n">
        <v>45169</v>
      </c>
      <c r="B104" s="82" t="n">
        <v>2023</v>
      </c>
      <c r="C104" s="82" t="n">
        <v>8</v>
      </c>
      <c r="D104" s="83" t="s">
        <v>141</v>
      </c>
      <c r="E104" s="83" t="s">
        <v>138</v>
      </c>
      <c r="F104" s="83" t="s">
        <v>135</v>
      </c>
      <c r="G104" s="76" t="n">
        <v>512</v>
      </c>
      <c r="H104" s="83" t="s">
        <v>835</v>
      </c>
    </row>
    <row r="105" customFormat="false" ht="15" hidden="false" customHeight="false" outlineLevel="0" collapsed="false">
      <c r="A105" s="81" t="n">
        <v>45169</v>
      </c>
      <c r="B105" s="82" t="n">
        <v>2023</v>
      </c>
      <c r="C105" s="82" t="n">
        <v>8</v>
      </c>
      <c r="D105" s="83" t="s">
        <v>142</v>
      </c>
      <c r="E105" s="83" t="s">
        <v>138</v>
      </c>
      <c r="F105" s="83" t="s">
        <v>135</v>
      </c>
      <c r="G105" s="76" t="n">
        <v>189</v>
      </c>
      <c r="H105" s="83" t="s">
        <v>836</v>
      </c>
    </row>
    <row r="106" customFormat="false" ht="15" hidden="false" customHeight="false" outlineLevel="0" collapsed="false">
      <c r="A106" s="81" t="n">
        <v>45169</v>
      </c>
      <c r="B106" s="82" t="n">
        <v>2023</v>
      </c>
      <c r="C106" s="82" t="n">
        <v>8</v>
      </c>
      <c r="D106" s="83" t="s">
        <v>143</v>
      </c>
      <c r="E106" s="83" t="s">
        <v>138</v>
      </c>
      <c r="F106" s="83" t="s">
        <v>135</v>
      </c>
      <c r="G106" s="76" t="n">
        <v>422</v>
      </c>
      <c r="H106" s="83" t="s">
        <v>837</v>
      </c>
    </row>
    <row r="107" customFormat="false" ht="15" hidden="false" customHeight="false" outlineLevel="0" collapsed="false">
      <c r="A107" s="81" t="n">
        <v>45169</v>
      </c>
      <c r="B107" s="82" t="n">
        <v>2023</v>
      </c>
      <c r="C107" s="82" t="n">
        <v>8</v>
      </c>
      <c r="D107" s="83" t="s">
        <v>144</v>
      </c>
      <c r="E107" s="83" t="s">
        <v>138</v>
      </c>
      <c r="F107" s="83" t="s">
        <v>135</v>
      </c>
      <c r="G107" s="76" t="n">
        <v>342</v>
      </c>
      <c r="H107" s="83" t="s">
        <v>838</v>
      </c>
    </row>
    <row r="108" customFormat="false" ht="15" hidden="false" customHeight="false" outlineLevel="0" collapsed="false">
      <c r="A108" s="81" t="n">
        <v>45169</v>
      </c>
      <c r="B108" s="82" t="n">
        <v>2023</v>
      </c>
      <c r="C108" s="82" t="n">
        <v>8</v>
      </c>
      <c r="D108" s="83" t="s">
        <v>145</v>
      </c>
      <c r="E108" s="83" t="s">
        <v>138</v>
      </c>
      <c r="F108" s="83" t="s">
        <v>131</v>
      </c>
      <c r="G108" s="76" t="n">
        <v>107</v>
      </c>
      <c r="H108" s="83" t="s">
        <v>839</v>
      </c>
    </row>
    <row r="109" customFormat="false" ht="15" hidden="false" customHeight="false" outlineLevel="0" collapsed="false">
      <c r="A109" s="81" t="n">
        <v>45199</v>
      </c>
      <c r="B109" s="82" t="n">
        <v>2023</v>
      </c>
      <c r="C109" s="82" t="n">
        <v>9</v>
      </c>
      <c r="D109" s="83" t="s">
        <v>129</v>
      </c>
      <c r="E109" s="83" t="s">
        <v>130</v>
      </c>
      <c r="F109" s="83" t="s">
        <v>131</v>
      </c>
      <c r="G109" s="76" t="n">
        <v>1106</v>
      </c>
      <c r="H109" s="83" t="s">
        <v>840</v>
      </c>
    </row>
    <row r="110" customFormat="false" ht="15" hidden="false" customHeight="false" outlineLevel="0" collapsed="false">
      <c r="A110" s="81" t="n">
        <v>45199</v>
      </c>
      <c r="B110" s="82" t="n">
        <v>2023</v>
      </c>
      <c r="C110" s="82" t="n">
        <v>9</v>
      </c>
      <c r="D110" s="83" t="s">
        <v>132</v>
      </c>
      <c r="E110" s="83" t="s">
        <v>130</v>
      </c>
      <c r="F110" s="83" t="s">
        <v>131</v>
      </c>
      <c r="G110" s="76" t="n">
        <v>614</v>
      </c>
      <c r="H110" s="83" t="s">
        <v>841</v>
      </c>
    </row>
    <row r="111" customFormat="false" ht="15" hidden="false" customHeight="false" outlineLevel="0" collapsed="false">
      <c r="A111" s="81" t="n">
        <v>45199</v>
      </c>
      <c r="B111" s="82" t="n">
        <v>2023</v>
      </c>
      <c r="C111" s="82" t="n">
        <v>9</v>
      </c>
      <c r="D111" s="83" t="s">
        <v>133</v>
      </c>
      <c r="E111" s="83" t="s">
        <v>130</v>
      </c>
      <c r="F111" s="83" t="s">
        <v>131</v>
      </c>
      <c r="G111" s="76" t="n">
        <v>1628</v>
      </c>
      <c r="H111" s="83" t="s">
        <v>842</v>
      </c>
    </row>
    <row r="112" customFormat="false" ht="15" hidden="false" customHeight="false" outlineLevel="0" collapsed="false">
      <c r="A112" s="81" t="n">
        <v>45199</v>
      </c>
      <c r="B112" s="82" t="n">
        <v>2023</v>
      </c>
      <c r="C112" s="82" t="n">
        <v>9</v>
      </c>
      <c r="D112" s="83" t="s">
        <v>134</v>
      </c>
      <c r="E112" s="83" t="s">
        <v>130</v>
      </c>
      <c r="F112" s="83" t="s">
        <v>135</v>
      </c>
      <c r="G112" s="76" t="n">
        <v>1930</v>
      </c>
      <c r="H112" s="83" t="s">
        <v>843</v>
      </c>
    </row>
    <row r="113" customFormat="false" ht="15" hidden="false" customHeight="false" outlineLevel="0" collapsed="false">
      <c r="A113" s="81" t="n">
        <v>45199</v>
      </c>
      <c r="B113" s="82" t="n">
        <v>2023</v>
      </c>
      <c r="C113" s="82" t="n">
        <v>9</v>
      </c>
      <c r="D113" s="83" t="s">
        <v>136</v>
      </c>
      <c r="E113" s="83" t="s">
        <v>130</v>
      </c>
      <c r="F113" s="83" t="s">
        <v>135</v>
      </c>
      <c r="G113" s="76" t="n">
        <v>2460</v>
      </c>
      <c r="H113" s="83" t="s">
        <v>844</v>
      </c>
    </row>
    <row r="114" customFormat="false" ht="15" hidden="false" customHeight="false" outlineLevel="0" collapsed="false">
      <c r="A114" s="81" t="n">
        <v>45199</v>
      </c>
      <c r="B114" s="82" t="n">
        <v>2023</v>
      </c>
      <c r="C114" s="82" t="n">
        <v>9</v>
      </c>
      <c r="D114" s="83" t="s">
        <v>137</v>
      </c>
      <c r="E114" s="83" t="s">
        <v>138</v>
      </c>
      <c r="F114" s="83" t="s">
        <v>135</v>
      </c>
      <c r="G114" s="76" t="n">
        <v>2260</v>
      </c>
      <c r="H114" s="83" t="s">
        <v>845</v>
      </c>
    </row>
    <row r="115" customFormat="false" ht="15" hidden="false" customHeight="false" outlineLevel="0" collapsed="false">
      <c r="A115" s="81" t="n">
        <v>45199</v>
      </c>
      <c r="B115" s="82" t="n">
        <v>2023</v>
      </c>
      <c r="C115" s="82" t="n">
        <v>9</v>
      </c>
      <c r="D115" s="83" t="s">
        <v>139</v>
      </c>
      <c r="E115" s="83" t="s">
        <v>138</v>
      </c>
      <c r="F115" s="83" t="s">
        <v>135</v>
      </c>
      <c r="G115" s="76" t="n">
        <v>616</v>
      </c>
      <c r="H115" s="83" t="s">
        <v>846</v>
      </c>
    </row>
    <row r="116" customFormat="false" ht="15" hidden="false" customHeight="false" outlineLevel="0" collapsed="false">
      <c r="A116" s="81" t="n">
        <v>45199</v>
      </c>
      <c r="B116" s="82" t="n">
        <v>2023</v>
      </c>
      <c r="C116" s="82" t="n">
        <v>9</v>
      </c>
      <c r="D116" s="83" t="s">
        <v>140</v>
      </c>
      <c r="E116" s="83" t="s">
        <v>138</v>
      </c>
      <c r="F116" s="83" t="s">
        <v>135</v>
      </c>
      <c r="G116" s="76" t="n">
        <v>296</v>
      </c>
      <c r="H116" s="83" t="s">
        <v>847</v>
      </c>
    </row>
    <row r="117" customFormat="false" ht="15" hidden="false" customHeight="false" outlineLevel="0" collapsed="false">
      <c r="A117" s="81" t="n">
        <v>45199</v>
      </c>
      <c r="B117" s="82" t="n">
        <v>2023</v>
      </c>
      <c r="C117" s="82" t="n">
        <v>9</v>
      </c>
      <c r="D117" s="83" t="s">
        <v>141</v>
      </c>
      <c r="E117" s="83" t="s">
        <v>138</v>
      </c>
      <c r="F117" s="83" t="s">
        <v>135</v>
      </c>
      <c r="G117" s="76" t="n">
        <v>523</v>
      </c>
      <c r="H117" s="83" t="s">
        <v>848</v>
      </c>
    </row>
    <row r="118" customFormat="false" ht="15" hidden="false" customHeight="false" outlineLevel="0" collapsed="false">
      <c r="A118" s="81" t="n">
        <v>45199</v>
      </c>
      <c r="B118" s="82" t="n">
        <v>2023</v>
      </c>
      <c r="C118" s="82" t="n">
        <v>9</v>
      </c>
      <c r="D118" s="83" t="s">
        <v>142</v>
      </c>
      <c r="E118" s="83" t="s">
        <v>138</v>
      </c>
      <c r="F118" s="83" t="s">
        <v>135</v>
      </c>
      <c r="G118" s="76" t="n">
        <v>187</v>
      </c>
      <c r="H118" s="83" t="s">
        <v>849</v>
      </c>
    </row>
    <row r="119" customFormat="false" ht="15" hidden="false" customHeight="false" outlineLevel="0" collapsed="false">
      <c r="A119" s="81" t="n">
        <v>45199</v>
      </c>
      <c r="B119" s="82" t="n">
        <v>2023</v>
      </c>
      <c r="C119" s="82" t="n">
        <v>9</v>
      </c>
      <c r="D119" s="83" t="s">
        <v>143</v>
      </c>
      <c r="E119" s="83" t="s">
        <v>138</v>
      </c>
      <c r="F119" s="83" t="s">
        <v>135</v>
      </c>
      <c r="G119" s="76" t="n">
        <v>425</v>
      </c>
      <c r="H119" s="83" t="s">
        <v>850</v>
      </c>
    </row>
    <row r="120" customFormat="false" ht="15" hidden="false" customHeight="false" outlineLevel="0" collapsed="false">
      <c r="A120" s="81" t="n">
        <v>45199</v>
      </c>
      <c r="B120" s="82" t="n">
        <v>2023</v>
      </c>
      <c r="C120" s="82" t="n">
        <v>9</v>
      </c>
      <c r="D120" s="83" t="s">
        <v>144</v>
      </c>
      <c r="E120" s="83" t="s">
        <v>138</v>
      </c>
      <c r="F120" s="83" t="s">
        <v>135</v>
      </c>
      <c r="G120" s="76" t="n">
        <v>345</v>
      </c>
      <c r="H120" s="83" t="s">
        <v>851</v>
      </c>
    </row>
    <row r="121" customFormat="false" ht="15" hidden="false" customHeight="false" outlineLevel="0" collapsed="false">
      <c r="A121" s="81" t="n">
        <v>45199</v>
      </c>
      <c r="B121" s="82" t="n">
        <v>2023</v>
      </c>
      <c r="C121" s="82" t="n">
        <v>9</v>
      </c>
      <c r="D121" s="83" t="s">
        <v>145</v>
      </c>
      <c r="E121" s="83" t="s">
        <v>138</v>
      </c>
      <c r="F121" s="83" t="s">
        <v>131</v>
      </c>
      <c r="G121" s="76" t="n">
        <v>103</v>
      </c>
      <c r="H121" s="83" t="s">
        <v>852</v>
      </c>
    </row>
    <row r="122" customFormat="false" ht="15" hidden="false" customHeight="false" outlineLevel="0" collapsed="false">
      <c r="A122" s="81" t="n">
        <v>45230</v>
      </c>
      <c r="B122" s="82" t="n">
        <v>2023</v>
      </c>
      <c r="C122" s="82" t="n">
        <v>10</v>
      </c>
      <c r="D122" s="83" t="s">
        <v>129</v>
      </c>
      <c r="E122" s="83" t="s">
        <v>130</v>
      </c>
      <c r="F122" s="83" t="s">
        <v>131</v>
      </c>
      <c r="G122" s="76" t="n">
        <v>1125</v>
      </c>
      <c r="H122" s="83" t="s">
        <v>853</v>
      </c>
    </row>
    <row r="123" customFormat="false" ht="15" hidden="false" customHeight="false" outlineLevel="0" collapsed="false">
      <c r="A123" s="81" t="n">
        <v>45230</v>
      </c>
      <c r="B123" s="82" t="n">
        <v>2023</v>
      </c>
      <c r="C123" s="82" t="n">
        <v>10</v>
      </c>
      <c r="D123" s="83" t="s">
        <v>132</v>
      </c>
      <c r="E123" s="83" t="s">
        <v>130</v>
      </c>
      <c r="F123" s="83" t="s">
        <v>131</v>
      </c>
      <c r="G123" s="76" t="n">
        <v>796</v>
      </c>
      <c r="H123" s="83" t="s">
        <v>854</v>
      </c>
    </row>
    <row r="124" customFormat="false" ht="15" hidden="false" customHeight="false" outlineLevel="0" collapsed="false">
      <c r="A124" s="81" t="n">
        <v>45230</v>
      </c>
      <c r="B124" s="82" t="n">
        <v>2023</v>
      </c>
      <c r="C124" s="82" t="n">
        <v>10</v>
      </c>
      <c r="D124" s="83" t="s">
        <v>133</v>
      </c>
      <c r="E124" s="83" t="s">
        <v>130</v>
      </c>
      <c r="F124" s="83" t="s">
        <v>131</v>
      </c>
      <c r="G124" s="76" t="n">
        <v>1652</v>
      </c>
      <c r="H124" s="83" t="s">
        <v>855</v>
      </c>
    </row>
    <row r="125" customFormat="false" ht="15" hidden="false" customHeight="false" outlineLevel="0" collapsed="false">
      <c r="A125" s="81" t="n">
        <v>45230</v>
      </c>
      <c r="B125" s="82" t="n">
        <v>2023</v>
      </c>
      <c r="C125" s="82" t="n">
        <v>10</v>
      </c>
      <c r="D125" s="83" t="s">
        <v>134</v>
      </c>
      <c r="E125" s="83" t="s">
        <v>130</v>
      </c>
      <c r="F125" s="83" t="s">
        <v>135</v>
      </c>
      <c r="G125" s="76" t="n">
        <v>1888</v>
      </c>
      <c r="H125" s="83" t="s">
        <v>856</v>
      </c>
    </row>
    <row r="126" customFormat="false" ht="15" hidden="false" customHeight="false" outlineLevel="0" collapsed="false">
      <c r="A126" s="81" t="n">
        <v>45230</v>
      </c>
      <c r="B126" s="82" t="n">
        <v>2023</v>
      </c>
      <c r="C126" s="82" t="n">
        <v>10</v>
      </c>
      <c r="D126" s="83" t="s">
        <v>136</v>
      </c>
      <c r="E126" s="83" t="s">
        <v>130</v>
      </c>
      <c r="F126" s="83" t="s">
        <v>135</v>
      </c>
      <c r="G126" s="76" t="n">
        <v>2465</v>
      </c>
      <c r="H126" s="83" t="s">
        <v>857</v>
      </c>
    </row>
    <row r="127" customFormat="false" ht="15" hidden="false" customHeight="false" outlineLevel="0" collapsed="false">
      <c r="A127" s="81" t="n">
        <v>45230</v>
      </c>
      <c r="B127" s="82" t="n">
        <v>2023</v>
      </c>
      <c r="C127" s="82" t="n">
        <v>10</v>
      </c>
      <c r="D127" s="83" t="s">
        <v>137</v>
      </c>
      <c r="E127" s="83" t="s">
        <v>138</v>
      </c>
      <c r="F127" s="83" t="s">
        <v>135</v>
      </c>
      <c r="G127" s="76" t="n">
        <v>2297</v>
      </c>
      <c r="H127" s="83" t="s">
        <v>858</v>
      </c>
    </row>
    <row r="128" customFormat="false" ht="15" hidden="false" customHeight="false" outlineLevel="0" collapsed="false">
      <c r="A128" s="81" t="n">
        <v>45230</v>
      </c>
      <c r="B128" s="82" t="n">
        <v>2023</v>
      </c>
      <c r="C128" s="82" t="n">
        <v>10</v>
      </c>
      <c r="D128" s="83" t="s">
        <v>139</v>
      </c>
      <c r="E128" s="83" t="s">
        <v>138</v>
      </c>
      <c r="F128" s="83" t="s">
        <v>135</v>
      </c>
      <c r="G128" s="76" t="n">
        <v>629</v>
      </c>
      <c r="H128" s="83" t="s">
        <v>859</v>
      </c>
    </row>
    <row r="129" customFormat="false" ht="15" hidden="false" customHeight="false" outlineLevel="0" collapsed="false">
      <c r="A129" s="81" t="n">
        <v>45230</v>
      </c>
      <c r="B129" s="82" t="n">
        <v>2023</v>
      </c>
      <c r="C129" s="82" t="n">
        <v>10</v>
      </c>
      <c r="D129" s="83" t="s">
        <v>140</v>
      </c>
      <c r="E129" s="83" t="s">
        <v>138</v>
      </c>
      <c r="F129" s="83" t="s">
        <v>135</v>
      </c>
      <c r="G129" s="76" t="n">
        <v>295</v>
      </c>
      <c r="H129" s="83" t="s">
        <v>860</v>
      </c>
    </row>
    <row r="130" customFormat="false" ht="15" hidden="false" customHeight="false" outlineLevel="0" collapsed="false">
      <c r="A130" s="81" t="n">
        <v>45230</v>
      </c>
      <c r="B130" s="82" t="n">
        <v>2023</v>
      </c>
      <c r="C130" s="82" t="n">
        <v>10</v>
      </c>
      <c r="D130" s="83" t="s">
        <v>141</v>
      </c>
      <c r="E130" s="83" t="s">
        <v>138</v>
      </c>
      <c r="F130" s="83" t="s">
        <v>135</v>
      </c>
      <c r="G130" s="76" t="n">
        <v>530</v>
      </c>
      <c r="H130" s="83" t="s">
        <v>861</v>
      </c>
    </row>
    <row r="131" customFormat="false" ht="15" hidden="false" customHeight="false" outlineLevel="0" collapsed="false">
      <c r="A131" s="81" t="n">
        <v>45230</v>
      </c>
      <c r="B131" s="82" t="n">
        <v>2023</v>
      </c>
      <c r="C131" s="82" t="n">
        <v>10</v>
      </c>
      <c r="D131" s="83" t="s">
        <v>142</v>
      </c>
      <c r="E131" s="83" t="s">
        <v>138</v>
      </c>
      <c r="F131" s="83" t="s">
        <v>135</v>
      </c>
      <c r="G131" s="76" t="n">
        <v>209</v>
      </c>
      <c r="H131" s="83" t="s">
        <v>862</v>
      </c>
    </row>
    <row r="132" customFormat="false" ht="15" hidden="false" customHeight="false" outlineLevel="0" collapsed="false">
      <c r="A132" s="81" t="n">
        <v>45230</v>
      </c>
      <c r="B132" s="82" t="n">
        <v>2023</v>
      </c>
      <c r="C132" s="82" t="n">
        <v>10</v>
      </c>
      <c r="D132" s="83" t="s">
        <v>143</v>
      </c>
      <c r="E132" s="83" t="s">
        <v>138</v>
      </c>
      <c r="F132" s="83" t="s">
        <v>135</v>
      </c>
      <c r="G132" s="76" t="n">
        <v>428</v>
      </c>
      <c r="H132" s="83" t="s">
        <v>863</v>
      </c>
    </row>
    <row r="133" customFormat="false" ht="15" hidden="false" customHeight="false" outlineLevel="0" collapsed="false">
      <c r="A133" s="81" t="n">
        <v>45230</v>
      </c>
      <c r="B133" s="82" t="n">
        <v>2023</v>
      </c>
      <c r="C133" s="82" t="n">
        <v>10</v>
      </c>
      <c r="D133" s="83" t="s">
        <v>144</v>
      </c>
      <c r="E133" s="83" t="s">
        <v>138</v>
      </c>
      <c r="F133" s="83" t="s">
        <v>135</v>
      </c>
      <c r="G133" s="76" t="n">
        <v>334</v>
      </c>
      <c r="H133" s="83" t="s">
        <v>864</v>
      </c>
    </row>
    <row r="134" customFormat="false" ht="15" hidden="false" customHeight="false" outlineLevel="0" collapsed="false">
      <c r="A134" s="81" t="n">
        <v>45230</v>
      </c>
      <c r="B134" s="82" t="n">
        <v>2023</v>
      </c>
      <c r="C134" s="82" t="n">
        <v>10</v>
      </c>
      <c r="D134" s="83" t="s">
        <v>145</v>
      </c>
      <c r="E134" s="83" t="s">
        <v>138</v>
      </c>
      <c r="F134" s="83" t="s">
        <v>131</v>
      </c>
      <c r="G134" s="76" t="n">
        <v>107</v>
      </c>
      <c r="H134" s="83" t="s">
        <v>865</v>
      </c>
    </row>
    <row r="135" customFormat="false" ht="15" hidden="false" customHeight="false" outlineLevel="0" collapsed="false">
      <c r="A135" s="81" t="n">
        <v>45260</v>
      </c>
      <c r="B135" s="82" t="n">
        <v>2023</v>
      </c>
      <c r="C135" s="82" t="n">
        <v>11</v>
      </c>
      <c r="D135" s="83" t="s">
        <v>129</v>
      </c>
      <c r="E135" s="83" t="s">
        <v>130</v>
      </c>
      <c r="F135" s="83" t="s">
        <v>131</v>
      </c>
      <c r="G135" s="76" t="n">
        <v>1152</v>
      </c>
      <c r="H135" s="83" t="s">
        <v>866</v>
      </c>
    </row>
    <row r="136" customFormat="false" ht="15" hidden="false" customHeight="false" outlineLevel="0" collapsed="false">
      <c r="A136" s="81" t="n">
        <v>45260</v>
      </c>
      <c r="B136" s="82" t="n">
        <v>2023</v>
      </c>
      <c r="C136" s="82" t="n">
        <v>11</v>
      </c>
      <c r="D136" s="83" t="s">
        <v>132</v>
      </c>
      <c r="E136" s="83" t="s">
        <v>130</v>
      </c>
      <c r="F136" s="83" t="s">
        <v>131</v>
      </c>
      <c r="G136" s="76" t="n">
        <v>838</v>
      </c>
      <c r="H136" s="83" t="s">
        <v>867</v>
      </c>
    </row>
    <row r="137" customFormat="false" ht="15" hidden="false" customHeight="false" outlineLevel="0" collapsed="false">
      <c r="A137" s="81" t="n">
        <v>45260</v>
      </c>
      <c r="B137" s="82" t="n">
        <v>2023</v>
      </c>
      <c r="C137" s="82" t="n">
        <v>11</v>
      </c>
      <c r="D137" s="83" t="s">
        <v>133</v>
      </c>
      <c r="E137" s="83" t="s">
        <v>130</v>
      </c>
      <c r="F137" s="83" t="s">
        <v>131</v>
      </c>
      <c r="G137" s="76" t="n">
        <v>1730</v>
      </c>
      <c r="H137" s="83" t="s">
        <v>868</v>
      </c>
    </row>
    <row r="138" customFormat="false" ht="15" hidden="false" customHeight="false" outlineLevel="0" collapsed="false">
      <c r="A138" s="81" t="n">
        <v>45260</v>
      </c>
      <c r="B138" s="82" t="n">
        <v>2023</v>
      </c>
      <c r="C138" s="82" t="n">
        <v>11</v>
      </c>
      <c r="D138" s="83" t="s">
        <v>134</v>
      </c>
      <c r="E138" s="83" t="s">
        <v>130</v>
      </c>
      <c r="F138" s="83" t="s">
        <v>135</v>
      </c>
      <c r="G138" s="76" t="n">
        <v>1867</v>
      </c>
      <c r="H138" s="83" t="s">
        <v>869</v>
      </c>
    </row>
    <row r="139" customFormat="false" ht="15" hidden="false" customHeight="false" outlineLevel="0" collapsed="false">
      <c r="A139" s="81" t="n">
        <v>45260</v>
      </c>
      <c r="B139" s="82" t="n">
        <v>2023</v>
      </c>
      <c r="C139" s="82" t="n">
        <v>11</v>
      </c>
      <c r="D139" s="83" t="s">
        <v>136</v>
      </c>
      <c r="E139" s="83" t="s">
        <v>130</v>
      </c>
      <c r="F139" s="83" t="s">
        <v>135</v>
      </c>
      <c r="G139" s="76" t="n">
        <v>2498</v>
      </c>
      <c r="H139" s="83" t="s">
        <v>870</v>
      </c>
    </row>
    <row r="140" customFormat="false" ht="15" hidden="false" customHeight="false" outlineLevel="0" collapsed="false">
      <c r="A140" s="81" t="n">
        <v>45260</v>
      </c>
      <c r="B140" s="82" t="n">
        <v>2023</v>
      </c>
      <c r="C140" s="82" t="n">
        <v>11</v>
      </c>
      <c r="D140" s="83" t="s">
        <v>137</v>
      </c>
      <c r="E140" s="83" t="s">
        <v>138</v>
      </c>
      <c r="F140" s="83" t="s">
        <v>135</v>
      </c>
      <c r="G140" s="76" t="n">
        <v>2323</v>
      </c>
      <c r="H140" s="83" t="s">
        <v>871</v>
      </c>
    </row>
    <row r="141" customFormat="false" ht="15" hidden="false" customHeight="false" outlineLevel="0" collapsed="false">
      <c r="A141" s="81" t="n">
        <v>45260</v>
      </c>
      <c r="B141" s="82" t="n">
        <v>2023</v>
      </c>
      <c r="C141" s="82" t="n">
        <v>11</v>
      </c>
      <c r="D141" s="83" t="s">
        <v>139</v>
      </c>
      <c r="E141" s="83" t="s">
        <v>138</v>
      </c>
      <c r="F141" s="83" t="s">
        <v>135</v>
      </c>
      <c r="G141" s="76" t="n">
        <v>632</v>
      </c>
      <c r="H141" s="83" t="s">
        <v>872</v>
      </c>
    </row>
    <row r="142" customFormat="false" ht="15" hidden="false" customHeight="false" outlineLevel="0" collapsed="false">
      <c r="A142" s="81" t="n">
        <v>45260</v>
      </c>
      <c r="B142" s="82" t="n">
        <v>2023</v>
      </c>
      <c r="C142" s="82" t="n">
        <v>11</v>
      </c>
      <c r="D142" s="83" t="s">
        <v>140</v>
      </c>
      <c r="E142" s="83" t="s">
        <v>138</v>
      </c>
      <c r="F142" s="83" t="s">
        <v>135</v>
      </c>
      <c r="G142" s="76" t="n">
        <v>299</v>
      </c>
      <c r="H142" s="83" t="s">
        <v>873</v>
      </c>
    </row>
    <row r="143" customFormat="false" ht="15" hidden="false" customHeight="false" outlineLevel="0" collapsed="false">
      <c r="A143" s="81" t="n">
        <v>45260</v>
      </c>
      <c r="B143" s="82" t="n">
        <v>2023</v>
      </c>
      <c r="C143" s="82" t="n">
        <v>11</v>
      </c>
      <c r="D143" s="83" t="s">
        <v>141</v>
      </c>
      <c r="E143" s="83" t="s">
        <v>138</v>
      </c>
      <c r="F143" s="83" t="s">
        <v>135</v>
      </c>
      <c r="G143" s="76" t="n">
        <v>519</v>
      </c>
      <c r="H143" s="83" t="s">
        <v>874</v>
      </c>
    </row>
    <row r="144" customFormat="false" ht="15" hidden="false" customHeight="false" outlineLevel="0" collapsed="false">
      <c r="A144" s="81" t="n">
        <v>45260</v>
      </c>
      <c r="B144" s="82" t="n">
        <v>2023</v>
      </c>
      <c r="C144" s="82" t="n">
        <v>11</v>
      </c>
      <c r="D144" s="83" t="s">
        <v>142</v>
      </c>
      <c r="E144" s="83" t="s">
        <v>138</v>
      </c>
      <c r="F144" s="83" t="s">
        <v>135</v>
      </c>
      <c r="G144" s="76" t="n">
        <v>217</v>
      </c>
      <c r="H144" s="83" t="s">
        <v>875</v>
      </c>
    </row>
    <row r="145" customFormat="false" ht="15" hidden="false" customHeight="false" outlineLevel="0" collapsed="false">
      <c r="A145" s="81" t="n">
        <v>45260</v>
      </c>
      <c r="B145" s="82" t="n">
        <v>2023</v>
      </c>
      <c r="C145" s="82" t="n">
        <v>11</v>
      </c>
      <c r="D145" s="83" t="s">
        <v>143</v>
      </c>
      <c r="E145" s="83" t="s">
        <v>138</v>
      </c>
      <c r="F145" s="83" t="s">
        <v>135</v>
      </c>
      <c r="G145" s="76" t="n">
        <v>420</v>
      </c>
      <c r="H145" s="83" t="s">
        <v>876</v>
      </c>
    </row>
    <row r="146" customFormat="false" ht="15" hidden="false" customHeight="false" outlineLevel="0" collapsed="false">
      <c r="A146" s="81" t="n">
        <v>45260</v>
      </c>
      <c r="B146" s="82" t="n">
        <v>2023</v>
      </c>
      <c r="C146" s="82" t="n">
        <v>11</v>
      </c>
      <c r="D146" s="83" t="s">
        <v>144</v>
      </c>
      <c r="E146" s="83" t="s">
        <v>138</v>
      </c>
      <c r="F146" s="83" t="s">
        <v>135</v>
      </c>
      <c r="G146" s="76" t="n">
        <v>339</v>
      </c>
      <c r="H146" s="83" t="s">
        <v>877</v>
      </c>
    </row>
    <row r="147" customFormat="false" ht="15" hidden="false" customHeight="false" outlineLevel="0" collapsed="false">
      <c r="A147" s="81" t="n">
        <v>45260</v>
      </c>
      <c r="B147" s="82" t="n">
        <v>2023</v>
      </c>
      <c r="C147" s="82" t="n">
        <v>11</v>
      </c>
      <c r="D147" s="83" t="s">
        <v>145</v>
      </c>
      <c r="E147" s="83" t="s">
        <v>138</v>
      </c>
      <c r="F147" s="83" t="s">
        <v>131</v>
      </c>
      <c r="G147" s="76" t="n">
        <v>108</v>
      </c>
      <c r="H147" s="83" t="s">
        <v>878</v>
      </c>
    </row>
    <row r="148" customFormat="false" ht="15" hidden="false" customHeight="false" outlineLevel="0" collapsed="false">
      <c r="A148" s="81" t="n">
        <v>45291</v>
      </c>
      <c r="B148" s="82" t="n">
        <v>2023</v>
      </c>
      <c r="C148" s="82" t="n">
        <v>12</v>
      </c>
      <c r="D148" s="83" t="s">
        <v>129</v>
      </c>
      <c r="E148" s="83" t="s">
        <v>130</v>
      </c>
      <c r="F148" s="83" t="s">
        <v>131</v>
      </c>
      <c r="G148" s="76" t="n">
        <v>1258</v>
      </c>
      <c r="H148" s="83" t="s">
        <v>879</v>
      </c>
    </row>
    <row r="149" customFormat="false" ht="15" hidden="false" customHeight="false" outlineLevel="0" collapsed="false">
      <c r="A149" s="81" t="n">
        <v>45291</v>
      </c>
      <c r="B149" s="82" t="n">
        <v>2023</v>
      </c>
      <c r="C149" s="82" t="n">
        <v>12</v>
      </c>
      <c r="D149" s="83" t="s">
        <v>132</v>
      </c>
      <c r="E149" s="83" t="s">
        <v>130</v>
      </c>
      <c r="F149" s="83" t="s">
        <v>131</v>
      </c>
      <c r="G149" s="76" t="n">
        <v>922</v>
      </c>
      <c r="H149" s="83" t="s">
        <v>880</v>
      </c>
    </row>
    <row r="150" customFormat="false" ht="15" hidden="false" customHeight="false" outlineLevel="0" collapsed="false">
      <c r="A150" s="81" t="n">
        <v>45291</v>
      </c>
      <c r="B150" s="82" t="n">
        <v>2023</v>
      </c>
      <c r="C150" s="82" t="n">
        <v>12</v>
      </c>
      <c r="D150" s="83" t="s">
        <v>133</v>
      </c>
      <c r="E150" s="83" t="s">
        <v>130</v>
      </c>
      <c r="F150" s="83" t="s">
        <v>131</v>
      </c>
      <c r="G150" s="76" t="n">
        <v>1938</v>
      </c>
      <c r="H150" s="83" t="s">
        <v>881</v>
      </c>
    </row>
    <row r="151" customFormat="false" ht="15" hidden="false" customHeight="false" outlineLevel="0" collapsed="false">
      <c r="A151" s="81" t="n">
        <v>45291</v>
      </c>
      <c r="B151" s="82" t="n">
        <v>2023</v>
      </c>
      <c r="C151" s="82" t="n">
        <v>12</v>
      </c>
      <c r="D151" s="83" t="s">
        <v>134</v>
      </c>
      <c r="E151" s="83" t="s">
        <v>130</v>
      </c>
      <c r="F151" s="83" t="s">
        <v>135</v>
      </c>
      <c r="G151" s="76" t="n">
        <v>1922</v>
      </c>
      <c r="H151" s="83" t="s">
        <v>882</v>
      </c>
    </row>
    <row r="152" customFormat="false" ht="15" hidden="false" customHeight="false" outlineLevel="0" collapsed="false">
      <c r="A152" s="81" t="n">
        <v>45291</v>
      </c>
      <c r="B152" s="82" t="n">
        <v>2023</v>
      </c>
      <c r="C152" s="82" t="n">
        <v>12</v>
      </c>
      <c r="D152" s="83" t="s">
        <v>136</v>
      </c>
      <c r="E152" s="83" t="s">
        <v>130</v>
      </c>
      <c r="F152" s="83" t="s">
        <v>135</v>
      </c>
      <c r="G152" s="76" t="n">
        <v>2476</v>
      </c>
      <c r="H152" s="83" t="s">
        <v>883</v>
      </c>
    </row>
    <row r="153" customFormat="false" ht="15" hidden="false" customHeight="false" outlineLevel="0" collapsed="false">
      <c r="A153" s="81" t="n">
        <v>45291</v>
      </c>
      <c r="B153" s="82" t="n">
        <v>2023</v>
      </c>
      <c r="C153" s="82" t="n">
        <v>12</v>
      </c>
      <c r="D153" s="83" t="s">
        <v>137</v>
      </c>
      <c r="E153" s="83" t="s">
        <v>138</v>
      </c>
      <c r="F153" s="83" t="s">
        <v>135</v>
      </c>
      <c r="G153" s="76" t="n">
        <v>2328</v>
      </c>
      <c r="H153" s="83" t="s">
        <v>884</v>
      </c>
    </row>
    <row r="154" customFormat="false" ht="15" hidden="false" customHeight="false" outlineLevel="0" collapsed="false">
      <c r="A154" s="81" t="n">
        <v>45291</v>
      </c>
      <c r="B154" s="82" t="n">
        <v>2023</v>
      </c>
      <c r="C154" s="82" t="n">
        <v>12</v>
      </c>
      <c r="D154" s="83" t="s">
        <v>139</v>
      </c>
      <c r="E154" s="83" t="s">
        <v>138</v>
      </c>
      <c r="F154" s="83" t="s">
        <v>135</v>
      </c>
      <c r="G154" s="76" t="n">
        <v>627</v>
      </c>
      <c r="H154" s="83" t="s">
        <v>885</v>
      </c>
    </row>
    <row r="155" customFormat="false" ht="15" hidden="false" customHeight="false" outlineLevel="0" collapsed="false">
      <c r="A155" s="81" t="n">
        <v>45291</v>
      </c>
      <c r="B155" s="82" t="n">
        <v>2023</v>
      </c>
      <c r="C155" s="82" t="n">
        <v>12</v>
      </c>
      <c r="D155" s="83" t="s">
        <v>140</v>
      </c>
      <c r="E155" s="83" t="s">
        <v>138</v>
      </c>
      <c r="F155" s="83" t="s">
        <v>135</v>
      </c>
      <c r="G155" s="76" t="n">
        <v>302</v>
      </c>
      <c r="H155" s="83" t="s">
        <v>886</v>
      </c>
    </row>
    <row r="156" customFormat="false" ht="15" hidden="false" customHeight="false" outlineLevel="0" collapsed="false">
      <c r="A156" s="81" t="n">
        <v>45291</v>
      </c>
      <c r="B156" s="82" t="n">
        <v>2023</v>
      </c>
      <c r="C156" s="82" t="n">
        <v>12</v>
      </c>
      <c r="D156" s="83" t="s">
        <v>141</v>
      </c>
      <c r="E156" s="83" t="s">
        <v>138</v>
      </c>
      <c r="F156" s="83" t="s">
        <v>135</v>
      </c>
      <c r="G156" s="76" t="n">
        <v>517</v>
      </c>
      <c r="H156" s="83" t="s">
        <v>887</v>
      </c>
    </row>
    <row r="157" customFormat="false" ht="15" hidden="false" customHeight="false" outlineLevel="0" collapsed="false">
      <c r="A157" s="81" t="n">
        <v>45291</v>
      </c>
      <c r="B157" s="82" t="n">
        <v>2023</v>
      </c>
      <c r="C157" s="82" t="n">
        <v>12</v>
      </c>
      <c r="D157" s="83" t="s">
        <v>142</v>
      </c>
      <c r="E157" s="83" t="s">
        <v>138</v>
      </c>
      <c r="F157" s="83" t="s">
        <v>135</v>
      </c>
      <c r="G157" s="76" t="n">
        <v>208</v>
      </c>
      <c r="H157" s="83" t="s">
        <v>888</v>
      </c>
    </row>
    <row r="158" customFormat="false" ht="15" hidden="false" customHeight="false" outlineLevel="0" collapsed="false">
      <c r="A158" s="81" t="n">
        <v>45291</v>
      </c>
      <c r="B158" s="82" t="n">
        <v>2023</v>
      </c>
      <c r="C158" s="82" t="n">
        <v>12</v>
      </c>
      <c r="D158" s="83" t="s">
        <v>143</v>
      </c>
      <c r="E158" s="83" t="s">
        <v>138</v>
      </c>
      <c r="F158" s="83" t="s">
        <v>135</v>
      </c>
      <c r="G158" s="76" t="n">
        <v>422</v>
      </c>
      <c r="H158" s="83" t="s">
        <v>889</v>
      </c>
    </row>
    <row r="159" customFormat="false" ht="15" hidden="false" customHeight="false" outlineLevel="0" collapsed="false">
      <c r="A159" s="81" t="n">
        <v>45291</v>
      </c>
      <c r="B159" s="82" t="n">
        <v>2023</v>
      </c>
      <c r="C159" s="82" t="n">
        <v>12</v>
      </c>
      <c r="D159" s="83" t="s">
        <v>144</v>
      </c>
      <c r="E159" s="83" t="s">
        <v>138</v>
      </c>
      <c r="F159" s="83" t="s">
        <v>135</v>
      </c>
      <c r="G159" s="76" t="n">
        <v>341</v>
      </c>
      <c r="H159" s="83" t="s">
        <v>890</v>
      </c>
    </row>
    <row r="160" customFormat="false" ht="15" hidden="false" customHeight="false" outlineLevel="0" collapsed="false">
      <c r="A160" s="81" t="n">
        <v>45291</v>
      </c>
      <c r="B160" s="82" t="n">
        <v>2023</v>
      </c>
      <c r="C160" s="82" t="n">
        <v>12</v>
      </c>
      <c r="D160" s="83" t="s">
        <v>145</v>
      </c>
      <c r="E160" s="83" t="s">
        <v>138</v>
      </c>
      <c r="F160" s="83" t="s">
        <v>131</v>
      </c>
      <c r="G160" s="76" t="n">
        <v>121</v>
      </c>
      <c r="H160" s="83" t="s">
        <v>891</v>
      </c>
    </row>
    <row r="161" customFormat="false" ht="15" hidden="false" customHeight="false" outlineLevel="0" collapsed="false">
      <c r="A161" s="81" t="n">
        <v>45322</v>
      </c>
      <c r="B161" s="82" t="n">
        <v>2024</v>
      </c>
      <c r="C161" s="82" t="n">
        <v>1</v>
      </c>
      <c r="D161" s="83" t="s">
        <v>129</v>
      </c>
      <c r="E161" s="83" t="s">
        <v>130</v>
      </c>
      <c r="F161" s="83" t="s">
        <v>131</v>
      </c>
      <c r="G161" s="76" t="n">
        <v>1079</v>
      </c>
      <c r="H161" s="83" t="s">
        <v>892</v>
      </c>
    </row>
    <row r="162" customFormat="false" ht="15" hidden="false" customHeight="false" outlineLevel="0" collapsed="false">
      <c r="A162" s="81" t="n">
        <v>45322</v>
      </c>
      <c r="B162" s="82" t="n">
        <v>2024</v>
      </c>
      <c r="C162" s="82" t="n">
        <v>1</v>
      </c>
      <c r="D162" s="83" t="s">
        <v>132</v>
      </c>
      <c r="E162" s="83" t="s">
        <v>130</v>
      </c>
      <c r="F162" s="83" t="s">
        <v>131</v>
      </c>
      <c r="G162" s="76" t="n">
        <v>627</v>
      </c>
      <c r="H162" s="83" t="s">
        <v>893</v>
      </c>
    </row>
    <row r="163" customFormat="false" ht="15" hidden="false" customHeight="false" outlineLevel="0" collapsed="false">
      <c r="A163" s="81" t="n">
        <v>45322</v>
      </c>
      <c r="B163" s="82" t="n">
        <v>2024</v>
      </c>
      <c r="C163" s="82" t="n">
        <v>1</v>
      </c>
      <c r="D163" s="83" t="s">
        <v>133</v>
      </c>
      <c r="E163" s="83" t="s">
        <v>130</v>
      </c>
      <c r="F163" s="83" t="s">
        <v>131</v>
      </c>
      <c r="G163" s="76" t="n">
        <v>1672</v>
      </c>
      <c r="H163" s="83" t="s">
        <v>894</v>
      </c>
    </row>
    <row r="164" customFormat="false" ht="15" hidden="false" customHeight="false" outlineLevel="0" collapsed="false">
      <c r="A164" s="81" t="n">
        <v>45322</v>
      </c>
      <c r="B164" s="82" t="n">
        <v>2024</v>
      </c>
      <c r="C164" s="82" t="n">
        <v>1</v>
      </c>
      <c r="D164" s="83" t="s">
        <v>134</v>
      </c>
      <c r="E164" s="83" t="s">
        <v>130</v>
      </c>
      <c r="F164" s="83" t="s">
        <v>135</v>
      </c>
      <c r="G164" s="76" t="n">
        <v>1980</v>
      </c>
      <c r="H164" s="83" t="s">
        <v>895</v>
      </c>
    </row>
    <row r="165" customFormat="false" ht="15" hidden="false" customHeight="false" outlineLevel="0" collapsed="false">
      <c r="A165" s="81" t="n">
        <v>45322</v>
      </c>
      <c r="B165" s="82" t="n">
        <v>2024</v>
      </c>
      <c r="C165" s="82" t="n">
        <v>1</v>
      </c>
      <c r="D165" s="83" t="s">
        <v>136</v>
      </c>
      <c r="E165" s="83" t="s">
        <v>130</v>
      </c>
      <c r="F165" s="83" t="s">
        <v>135</v>
      </c>
      <c r="G165" s="76" t="n">
        <v>2650</v>
      </c>
      <c r="H165" s="83" t="s">
        <v>896</v>
      </c>
    </row>
    <row r="166" customFormat="false" ht="15" hidden="false" customHeight="false" outlineLevel="0" collapsed="false">
      <c r="A166" s="81" t="n">
        <v>45322</v>
      </c>
      <c r="B166" s="82" t="n">
        <v>2024</v>
      </c>
      <c r="C166" s="82" t="n">
        <v>1</v>
      </c>
      <c r="D166" s="83" t="s">
        <v>137</v>
      </c>
      <c r="E166" s="83" t="s">
        <v>138</v>
      </c>
      <c r="F166" s="83" t="s">
        <v>135</v>
      </c>
      <c r="G166" s="76" t="n">
        <v>2425</v>
      </c>
      <c r="H166" s="83" t="s">
        <v>897</v>
      </c>
    </row>
    <row r="167" customFormat="false" ht="15" hidden="false" customHeight="false" outlineLevel="0" collapsed="false">
      <c r="A167" s="81" t="n">
        <v>45322</v>
      </c>
      <c r="B167" s="82" t="n">
        <v>2024</v>
      </c>
      <c r="C167" s="82" t="n">
        <v>1</v>
      </c>
      <c r="D167" s="83" t="s">
        <v>139</v>
      </c>
      <c r="E167" s="83" t="s">
        <v>138</v>
      </c>
      <c r="F167" s="83" t="s">
        <v>135</v>
      </c>
      <c r="G167" s="76" t="n">
        <v>643</v>
      </c>
      <c r="H167" s="83" t="s">
        <v>898</v>
      </c>
    </row>
    <row r="168" customFormat="false" ht="15" hidden="false" customHeight="false" outlineLevel="0" collapsed="false">
      <c r="A168" s="81" t="n">
        <v>45322</v>
      </c>
      <c r="B168" s="82" t="n">
        <v>2024</v>
      </c>
      <c r="C168" s="82" t="n">
        <v>1</v>
      </c>
      <c r="D168" s="83" t="s">
        <v>140</v>
      </c>
      <c r="E168" s="83" t="s">
        <v>138</v>
      </c>
      <c r="F168" s="83" t="s">
        <v>135</v>
      </c>
      <c r="G168" s="76" t="n">
        <v>314</v>
      </c>
      <c r="H168" s="83" t="s">
        <v>899</v>
      </c>
    </row>
    <row r="169" customFormat="false" ht="15" hidden="false" customHeight="false" outlineLevel="0" collapsed="false">
      <c r="A169" s="81" t="n">
        <v>45322</v>
      </c>
      <c r="B169" s="82" t="n">
        <v>2024</v>
      </c>
      <c r="C169" s="82" t="n">
        <v>1</v>
      </c>
      <c r="D169" s="83" t="s">
        <v>141</v>
      </c>
      <c r="E169" s="83" t="s">
        <v>138</v>
      </c>
      <c r="F169" s="83" t="s">
        <v>135</v>
      </c>
      <c r="G169" s="76" t="n">
        <v>536</v>
      </c>
      <c r="H169" s="83" t="s">
        <v>900</v>
      </c>
    </row>
    <row r="170" customFormat="false" ht="15" hidden="false" customHeight="false" outlineLevel="0" collapsed="false">
      <c r="A170" s="81" t="n">
        <v>45322</v>
      </c>
      <c r="B170" s="82" t="n">
        <v>2024</v>
      </c>
      <c r="C170" s="82" t="n">
        <v>1</v>
      </c>
      <c r="D170" s="83" t="s">
        <v>142</v>
      </c>
      <c r="E170" s="83" t="s">
        <v>138</v>
      </c>
      <c r="F170" s="83" t="s">
        <v>135</v>
      </c>
      <c r="G170" s="76" t="n">
        <v>223</v>
      </c>
      <c r="H170" s="83" t="s">
        <v>901</v>
      </c>
    </row>
    <row r="171" customFormat="false" ht="15" hidden="false" customHeight="false" outlineLevel="0" collapsed="false">
      <c r="A171" s="81" t="n">
        <v>45322</v>
      </c>
      <c r="B171" s="82" t="n">
        <v>2024</v>
      </c>
      <c r="C171" s="82" t="n">
        <v>1</v>
      </c>
      <c r="D171" s="83" t="s">
        <v>143</v>
      </c>
      <c r="E171" s="83" t="s">
        <v>138</v>
      </c>
      <c r="F171" s="83" t="s">
        <v>135</v>
      </c>
      <c r="G171" s="76" t="n">
        <v>437</v>
      </c>
      <c r="H171" s="83" t="s">
        <v>902</v>
      </c>
    </row>
    <row r="172" customFormat="false" ht="15" hidden="false" customHeight="false" outlineLevel="0" collapsed="false">
      <c r="A172" s="81" t="n">
        <v>45322</v>
      </c>
      <c r="B172" s="82" t="n">
        <v>2024</v>
      </c>
      <c r="C172" s="82" t="n">
        <v>1</v>
      </c>
      <c r="D172" s="83" t="s">
        <v>144</v>
      </c>
      <c r="E172" s="83" t="s">
        <v>138</v>
      </c>
      <c r="F172" s="83" t="s">
        <v>135</v>
      </c>
      <c r="G172" s="76" t="n">
        <v>360</v>
      </c>
      <c r="H172" s="83" t="s">
        <v>903</v>
      </c>
    </row>
    <row r="173" customFormat="false" ht="15" hidden="false" customHeight="false" outlineLevel="0" collapsed="false">
      <c r="A173" s="81" t="n">
        <v>45322</v>
      </c>
      <c r="B173" s="82" t="n">
        <v>2024</v>
      </c>
      <c r="C173" s="82" t="n">
        <v>1</v>
      </c>
      <c r="D173" s="83" t="s">
        <v>145</v>
      </c>
      <c r="E173" s="83" t="s">
        <v>138</v>
      </c>
      <c r="F173" s="83" t="s">
        <v>131</v>
      </c>
      <c r="G173" s="76" t="n">
        <v>105</v>
      </c>
      <c r="H173" s="83" t="s">
        <v>904</v>
      </c>
    </row>
    <row r="174" customFormat="false" ht="15" hidden="false" customHeight="false" outlineLevel="0" collapsed="false">
      <c r="A174" s="81" t="n">
        <v>45351</v>
      </c>
      <c r="B174" s="82" t="n">
        <v>2024</v>
      </c>
      <c r="C174" s="82" t="n">
        <v>2</v>
      </c>
      <c r="D174" s="83" t="s">
        <v>129</v>
      </c>
      <c r="E174" s="83" t="s">
        <v>130</v>
      </c>
      <c r="F174" s="83" t="s">
        <v>131</v>
      </c>
      <c r="G174" s="76" t="n">
        <v>1043</v>
      </c>
      <c r="H174" s="83" t="s">
        <v>905</v>
      </c>
    </row>
    <row r="175" customFormat="false" ht="15" hidden="false" customHeight="false" outlineLevel="0" collapsed="false">
      <c r="A175" s="81" t="n">
        <v>45351</v>
      </c>
      <c r="B175" s="82" t="n">
        <v>2024</v>
      </c>
      <c r="C175" s="82" t="n">
        <v>2</v>
      </c>
      <c r="D175" s="83" t="s">
        <v>132</v>
      </c>
      <c r="E175" s="83" t="s">
        <v>130</v>
      </c>
      <c r="F175" s="83" t="s">
        <v>131</v>
      </c>
      <c r="G175" s="76" t="n">
        <v>613</v>
      </c>
      <c r="H175" s="83" t="s">
        <v>906</v>
      </c>
    </row>
    <row r="176" customFormat="false" ht="15" hidden="false" customHeight="false" outlineLevel="0" collapsed="false">
      <c r="A176" s="81" t="n">
        <v>45351</v>
      </c>
      <c r="B176" s="82" t="n">
        <v>2024</v>
      </c>
      <c r="C176" s="82" t="n">
        <v>2</v>
      </c>
      <c r="D176" s="83" t="s">
        <v>133</v>
      </c>
      <c r="E176" s="83" t="s">
        <v>130</v>
      </c>
      <c r="F176" s="83" t="s">
        <v>131</v>
      </c>
      <c r="G176" s="76" t="n">
        <v>1615</v>
      </c>
      <c r="H176" s="83" t="s">
        <v>907</v>
      </c>
    </row>
    <row r="177" customFormat="false" ht="15" hidden="false" customHeight="false" outlineLevel="0" collapsed="false">
      <c r="A177" s="81" t="n">
        <v>45351</v>
      </c>
      <c r="B177" s="82" t="n">
        <v>2024</v>
      </c>
      <c r="C177" s="82" t="n">
        <v>2</v>
      </c>
      <c r="D177" s="83" t="s">
        <v>134</v>
      </c>
      <c r="E177" s="83" t="s">
        <v>130</v>
      </c>
      <c r="F177" s="83" t="s">
        <v>135</v>
      </c>
      <c r="G177" s="76" t="n">
        <v>1990</v>
      </c>
      <c r="H177" s="83" t="s">
        <v>908</v>
      </c>
    </row>
    <row r="178" customFormat="false" ht="15" hidden="false" customHeight="false" outlineLevel="0" collapsed="false">
      <c r="A178" s="81" t="n">
        <v>45351</v>
      </c>
      <c r="B178" s="82" t="n">
        <v>2024</v>
      </c>
      <c r="C178" s="82" t="n">
        <v>2</v>
      </c>
      <c r="D178" s="83" t="s">
        <v>136</v>
      </c>
      <c r="E178" s="83" t="s">
        <v>130</v>
      </c>
      <c r="F178" s="83" t="s">
        <v>135</v>
      </c>
      <c r="G178" s="76" t="n">
        <v>2610</v>
      </c>
      <c r="H178" s="83" t="s">
        <v>909</v>
      </c>
    </row>
    <row r="179" customFormat="false" ht="15" hidden="false" customHeight="false" outlineLevel="0" collapsed="false">
      <c r="A179" s="81" t="n">
        <v>45351</v>
      </c>
      <c r="B179" s="82" t="n">
        <v>2024</v>
      </c>
      <c r="C179" s="82" t="n">
        <v>2</v>
      </c>
      <c r="D179" s="83" t="s">
        <v>137</v>
      </c>
      <c r="E179" s="83" t="s">
        <v>138</v>
      </c>
      <c r="F179" s="83" t="s">
        <v>135</v>
      </c>
      <c r="G179" s="76" t="n">
        <v>2417</v>
      </c>
      <c r="H179" s="83" t="s">
        <v>910</v>
      </c>
    </row>
    <row r="180" customFormat="false" ht="15" hidden="false" customHeight="false" outlineLevel="0" collapsed="false">
      <c r="A180" s="81" t="n">
        <v>45351</v>
      </c>
      <c r="B180" s="82" t="n">
        <v>2024</v>
      </c>
      <c r="C180" s="82" t="n">
        <v>2</v>
      </c>
      <c r="D180" s="83" t="s">
        <v>139</v>
      </c>
      <c r="E180" s="83" t="s">
        <v>138</v>
      </c>
      <c r="F180" s="83" t="s">
        <v>135</v>
      </c>
      <c r="G180" s="76" t="n">
        <v>663</v>
      </c>
      <c r="H180" s="83" t="s">
        <v>911</v>
      </c>
    </row>
    <row r="181" customFormat="false" ht="15" hidden="false" customHeight="false" outlineLevel="0" collapsed="false">
      <c r="A181" s="81" t="n">
        <v>45351</v>
      </c>
      <c r="B181" s="82" t="n">
        <v>2024</v>
      </c>
      <c r="C181" s="82" t="n">
        <v>2</v>
      </c>
      <c r="D181" s="83" t="s">
        <v>140</v>
      </c>
      <c r="E181" s="83" t="s">
        <v>138</v>
      </c>
      <c r="F181" s="83" t="s">
        <v>135</v>
      </c>
      <c r="G181" s="76" t="n">
        <v>313</v>
      </c>
      <c r="H181" s="83" t="s">
        <v>912</v>
      </c>
    </row>
    <row r="182" customFormat="false" ht="15" hidden="false" customHeight="false" outlineLevel="0" collapsed="false">
      <c r="A182" s="81" t="n">
        <v>45351</v>
      </c>
      <c r="B182" s="82" t="n">
        <v>2024</v>
      </c>
      <c r="C182" s="82" t="n">
        <v>2</v>
      </c>
      <c r="D182" s="83" t="s">
        <v>141</v>
      </c>
      <c r="E182" s="83" t="s">
        <v>138</v>
      </c>
      <c r="F182" s="83" t="s">
        <v>135</v>
      </c>
      <c r="G182" s="76" t="n">
        <v>554</v>
      </c>
      <c r="H182" s="83" t="s">
        <v>913</v>
      </c>
    </row>
    <row r="183" customFormat="false" ht="15" hidden="false" customHeight="false" outlineLevel="0" collapsed="false">
      <c r="A183" s="81" t="n">
        <v>45351</v>
      </c>
      <c r="B183" s="82" t="n">
        <v>2024</v>
      </c>
      <c r="C183" s="82" t="n">
        <v>2</v>
      </c>
      <c r="D183" s="83" t="s">
        <v>142</v>
      </c>
      <c r="E183" s="83" t="s">
        <v>138</v>
      </c>
      <c r="F183" s="83" t="s">
        <v>135</v>
      </c>
      <c r="G183" s="76" t="n">
        <v>240</v>
      </c>
      <c r="H183" s="83" t="s">
        <v>914</v>
      </c>
    </row>
    <row r="184" customFormat="false" ht="15" hidden="false" customHeight="false" outlineLevel="0" collapsed="false">
      <c r="A184" s="81" t="n">
        <v>45351</v>
      </c>
      <c r="B184" s="82" t="n">
        <v>2024</v>
      </c>
      <c r="C184" s="82" t="n">
        <v>2</v>
      </c>
      <c r="D184" s="83" t="s">
        <v>143</v>
      </c>
      <c r="E184" s="83" t="s">
        <v>138</v>
      </c>
      <c r="F184" s="83" t="s">
        <v>135</v>
      </c>
      <c r="G184" s="76" t="n">
        <v>443</v>
      </c>
      <c r="H184" s="83" t="s">
        <v>915</v>
      </c>
    </row>
    <row r="185" customFormat="false" ht="15" hidden="false" customHeight="false" outlineLevel="0" collapsed="false">
      <c r="A185" s="81" t="n">
        <v>45351</v>
      </c>
      <c r="B185" s="82" t="n">
        <v>2024</v>
      </c>
      <c r="C185" s="82" t="n">
        <v>2</v>
      </c>
      <c r="D185" s="83" t="s">
        <v>144</v>
      </c>
      <c r="E185" s="83" t="s">
        <v>138</v>
      </c>
      <c r="F185" s="83" t="s">
        <v>135</v>
      </c>
      <c r="G185" s="76" t="n">
        <v>355</v>
      </c>
      <c r="H185" s="83" t="s">
        <v>916</v>
      </c>
    </row>
    <row r="186" customFormat="false" ht="15" hidden="false" customHeight="false" outlineLevel="0" collapsed="false">
      <c r="A186" s="81" t="n">
        <v>45351</v>
      </c>
      <c r="B186" s="82" t="n">
        <v>2024</v>
      </c>
      <c r="C186" s="82" t="n">
        <v>2</v>
      </c>
      <c r="D186" s="83" t="s">
        <v>145</v>
      </c>
      <c r="E186" s="83" t="s">
        <v>138</v>
      </c>
      <c r="F186" s="83" t="s">
        <v>131</v>
      </c>
      <c r="G186" s="76" t="n">
        <v>98</v>
      </c>
      <c r="H186" s="83" t="s">
        <v>917</v>
      </c>
    </row>
    <row r="187" customFormat="false" ht="15" hidden="false" customHeight="false" outlineLevel="0" collapsed="false">
      <c r="A187" s="81" t="n">
        <v>45382</v>
      </c>
      <c r="B187" s="82" t="n">
        <v>2024</v>
      </c>
      <c r="C187" s="82" t="n">
        <v>3</v>
      </c>
      <c r="D187" s="83" t="s">
        <v>129</v>
      </c>
      <c r="E187" s="83" t="s">
        <v>130</v>
      </c>
      <c r="F187" s="83" t="s">
        <v>131</v>
      </c>
      <c r="G187" s="76" t="n">
        <v>1190</v>
      </c>
      <c r="H187" s="83" t="s">
        <v>918</v>
      </c>
    </row>
    <row r="188" customFormat="false" ht="15" hidden="false" customHeight="false" outlineLevel="0" collapsed="false">
      <c r="A188" s="81" t="n">
        <v>45382</v>
      </c>
      <c r="B188" s="82" t="n">
        <v>2024</v>
      </c>
      <c r="C188" s="82" t="n">
        <v>3</v>
      </c>
      <c r="D188" s="83" t="s">
        <v>132</v>
      </c>
      <c r="E188" s="83" t="s">
        <v>130</v>
      </c>
      <c r="F188" s="83" t="s">
        <v>131</v>
      </c>
      <c r="G188" s="76" t="n">
        <v>658</v>
      </c>
      <c r="H188" s="83" t="s">
        <v>919</v>
      </c>
    </row>
    <row r="189" customFormat="false" ht="15" hidden="false" customHeight="false" outlineLevel="0" collapsed="false">
      <c r="A189" s="81" t="n">
        <v>45382</v>
      </c>
      <c r="B189" s="82" t="n">
        <v>2024</v>
      </c>
      <c r="C189" s="82" t="n">
        <v>3</v>
      </c>
      <c r="D189" s="83" t="s">
        <v>133</v>
      </c>
      <c r="E189" s="83" t="s">
        <v>130</v>
      </c>
      <c r="F189" s="83" t="s">
        <v>131</v>
      </c>
      <c r="G189" s="76" t="n">
        <v>1757</v>
      </c>
      <c r="H189" s="83" t="s">
        <v>920</v>
      </c>
    </row>
    <row r="190" customFormat="false" ht="15" hidden="false" customHeight="false" outlineLevel="0" collapsed="false">
      <c r="A190" s="81" t="n">
        <v>45382</v>
      </c>
      <c r="B190" s="82" t="n">
        <v>2024</v>
      </c>
      <c r="C190" s="82" t="n">
        <v>3</v>
      </c>
      <c r="D190" s="83" t="s">
        <v>134</v>
      </c>
      <c r="E190" s="83" t="s">
        <v>130</v>
      </c>
      <c r="F190" s="83" t="s">
        <v>135</v>
      </c>
      <c r="G190" s="76" t="n">
        <v>1987</v>
      </c>
      <c r="H190" s="83" t="s">
        <v>921</v>
      </c>
    </row>
    <row r="191" customFormat="false" ht="15" hidden="false" customHeight="false" outlineLevel="0" collapsed="false">
      <c r="A191" s="81" t="n">
        <v>45382</v>
      </c>
      <c r="B191" s="82" t="n">
        <v>2024</v>
      </c>
      <c r="C191" s="82" t="n">
        <v>3</v>
      </c>
      <c r="D191" s="83" t="s">
        <v>136</v>
      </c>
      <c r="E191" s="83" t="s">
        <v>130</v>
      </c>
      <c r="F191" s="83" t="s">
        <v>135</v>
      </c>
      <c r="G191" s="76" t="n">
        <v>2617</v>
      </c>
      <c r="H191" s="83" t="s">
        <v>922</v>
      </c>
    </row>
    <row r="192" customFormat="false" ht="15" hidden="false" customHeight="false" outlineLevel="0" collapsed="false">
      <c r="A192" s="81" t="n">
        <v>45382</v>
      </c>
      <c r="B192" s="82" t="n">
        <v>2024</v>
      </c>
      <c r="C192" s="82" t="n">
        <v>3</v>
      </c>
      <c r="D192" s="83" t="s">
        <v>137</v>
      </c>
      <c r="E192" s="83" t="s">
        <v>138</v>
      </c>
      <c r="F192" s="83" t="s">
        <v>135</v>
      </c>
      <c r="G192" s="76" t="n">
        <v>2411</v>
      </c>
      <c r="H192" s="83" t="s">
        <v>923</v>
      </c>
    </row>
    <row r="193" customFormat="false" ht="15" hidden="false" customHeight="false" outlineLevel="0" collapsed="false">
      <c r="A193" s="81" t="n">
        <v>45382</v>
      </c>
      <c r="B193" s="82" t="n">
        <v>2024</v>
      </c>
      <c r="C193" s="82" t="n">
        <v>3</v>
      </c>
      <c r="D193" s="83" t="s">
        <v>139</v>
      </c>
      <c r="E193" s="83" t="s">
        <v>138</v>
      </c>
      <c r="F193" s="83" t="s">
        <v>135</v>
      </c>
      <c r="G193" s="76" t="n">
        <v>648</v>
      </c>
      <c r="H193" s="83" t="s">
        <v>924</v>
      </c>
    </row>
    <row r="194" customFormat="false" ht="15" hidden="false" customHeight="false" outlineLevel="0" collapsed="false">
      <c r="A194" s="81" t="n">
        <v>45382</v>
      </c>
      <c r="B194" s="82" t="n">
        <v>2024</v>
      </c>
      <c r="C194" s="82" t="n">
        <v>3</v>
      </c>
      <c r="D194" s="83" t="s">
        <v>140</v>
      </c>
      <c r="E194" s="83" t="s">
        <v>138</v>
      </c>
      <c r="F194" s="83" t="s">
        <v>135</v>
      </c>
      <c r="G194" s="76" t="n">
        <v>806</v>
      </c>
      <c r="H194" s="83" t="s">
        <v>925</v>
      </c>
    </row>
    <row r="195" customFormat="false" ht="15" hidden="false" customHeight="false" outlineLevel="0" collapsed="false">
      <c r="A195" s="81" t="n">
        <v>45382</v>
      </c>
      <c r="B195" s="82" t="n">
        <v>2024</v>
      </c>
      <c r="C195" s="82" t="n">
        <v>3</v>
      </c>
      <c r="D195" s="83" t="s">
        <v>141</v>
      </c>
      <c r="E195" s="83" t="s">
        <v>138</v>
      </c>
      <c r="F195" s="83" t="s">
        <v>135</v>
      </c>
      <c r="G195" s="76" t="n">
        <v>543</v>
      </c>
      <c r="H195" s="83" t="s">
        <v>926</v>
      </c>
    </row>
    <row r="196" customFormat="false" ht="15" hidden="false" customHeight="false" outlineLevel="0" collapsed="false">
      <c r="A196" s="81" t="n">
        <v>45382</v>
      </c>
      <c r="B196" s="82" t="n">
        <v>2024</v>
      </c>
      <c r="C196" s="82" t="n">
        <v>3</v>
      </c>
      <c r="D196" s="83" t="s">
        <v>142</v>
      </c>
      <c r="E196" s="83" t="s">
        <v>138</v>
      </c>
      <c r="F196" s="83" t="s">
        <v>135</v>
      </c>
      <c r="G196" s="76" t="n">
        <v>220</v>
      </c>
      <c r="H196" s="83" t="s">
        <v>927</v>
      </c>
    </row>
    <row r="197" customFormat="false" ht="15" hidden="false" customHeight="false" outlineLevel="0" collapsed="false">
      <c r="A197" s="81" t="n">
        <v>45382</v>
      </c>
      <c r="B197" s="82" t="n">
        <v>2024</v>
      </c>
      <c r="C197" s="82" t="n">
        <v>3</v>
      </c>
      <c r="D197" s="83" t="s">
        <v>143</v>
      </c>
      <c r="E197" s="83" t="s">
        <v>138</v>
      </c>
      <c r="F197" s="83" t="s">
        <v>135</v>
      </c>
      <c r="G197" s="76" t="n">
        <v>444</v>
      </c>
      <c r="H197" s="83" t="s">
        <v>928</v>
      </c>
    </row>
    <row r="198" customFormat="false" ht="15" hidden="false" customHeight="false" outlineLevel="0" collapsed="false">
      <c r="A198" s="81" t="n">
        <v>45382</v>
      </c>
      <c r="B198" s="82" t="n">
        <v>2024</v>
      </c>
      <c r="C198" s="82" t="n">
        <v>3</v>
      </c>
      <c r="D198" s="83" t="s">
        <v>144</v>
      </c>
      <c r="E198" s="83" t="s">
        <v>138</v>
      </c>
      <c r="F198" s="83" t="s">
        <v>135</v>
      </c>
      <c r="G198" s="76" t="n">
        <v>358</v>
      </c>
      <c r="H198" s="83" t="s">
        <v>929</v>
      </c>
    </row>
    <row r="199" customFormat="false" ht="15" hidden="false" customHeight="false" outlineLevel="0" collapsed="false">
      <c r="A199" s="81" t="n">
        <v>45382</v>
      </c>
      <c r="B199" s="82" t="n">
        <v>2024</v>
      </c>
      <c r="C199" s="82" t="n">
        <v>3</v>
      </c>
      <c r="D199" s="83" t="s">
        <v>145</v>
      </c>
      <c r="E199" s="83" t="s">
        <v>138</v>
      </c>
      <c r="F199" s="83" t="s">
        <v>131</v>
      </c>
      <c r="G199" s="76" t="n">
        <v>109</v>
      </c>
      <c r="H199" s="83" t="s">
        <v>930</v>
      </c>
    </row>
    <row r="200" customFormat="false" ht="15" hidden="false" customHeight="false" outlineLevel="0" collapsed="false">
      <c r="A200" s="81" t="n">
        <v>45412</v>
      </c>
      <c r="B200" s="82" t="n">
        <v>2024</v>
      </c>
      <c r="C200" s="82" t="n">
        <v>4</v>
      </c>
      <c r="D200" s="83" t="s">
        <v>129</v>
      </c>
      <c r="E200" s="83" t="s">
        <v>130</v>
      </c>
      <c r="F200" s="83" t="s">
        <v>131</v>
      </c>
      <c r="G200" s="76" t="n">
        <v>1158</v>
      </c>
      <c r="H200" s="83" t="s">
        <v>931</v>
      </c>
    </row>
    <row r="201" customFormat="false" ht="15" hidden="false" customHeight="false" outlineLevel="0" collapsed="false">
      <c r="A201" s="81" t="n">
        <v>45412</v>
      </c>
      <c r="B201" s="82" t="n">
        <v>2024</v>
      </c>
      <c r="C201" s="82" t="n">
        <v>4</v>
      </c>
      <c r="D201" s="83" t="s">
        <v>132</v>
      </c>
      <c r="E201" s="83" t="s">
        <v>130</v>
      </c>
      <c r="F201" s="83" t="s">
        <v>131</v>
      </c>
      <c r="G201" s="76" t="n">
        <v>667</v>
      </c>
      <c r="H201" s="83" t="s">
        <v>932</v>
      </c>
    </row>
    <row r="202" customFormat="false" ht="15" hidden="false" customHeight="false" outlineLevel="0" collapsed="false">
      <c r="A202" s="81" t="n">
        <v>45412</v>
      </c>
      <c r="B202" s="82" t="n">
        <v>2024</v>
      </c>
      <c r="C202" s="82" t="n">
        <v>4</v>
      </c>
      <c r="D202" s="83" t="s">
        <v>133</v>
      </c>
      <c r="E202" s="83" t="s">
        <v>130</v>
      </c>
      <c r="F202" s="83" t="s">
        <v>131</v>
      </c>
      <c r="G202" s="76" t="n">
        <v>1740</v>
      </c>
      <c r="H202" s="83" t="s">
        <v>933</v>
      </c>
    </row>
    <row r="203" customFormat="false" ht="15" hidden="false" customHeight="false" outlineLevel="0" collapsed="false">
      <c r="A203" s="81" t="n">
        <v>45412</v>
      </c>
      <c r="B203" s="82" t="n">
        <v>2024</v>
      </c>
      <c r="C203" s="82" t="n">
        <v>4</v>
      </c>
      <c r="D203" s="83" t="s">
        <v>134</v>
      </c>
      <c r="E203" s="83" t="s">
        <v>130</v>
      </c>
      <c r="F203" s="83" t="s">
        <v>135</v>
      </c>
      <c r="G203" s="76" t="n">
        <v>1983</v>
      </c>
      <c r="H203" s="83" t="s">
        <v>934</v>
      </c>
    </row>
    <row r="204" customFormat="false" ht="15" hidden="false" customHeight="false" outlineLevel="0" collapsed="false">
      <c r="A204" s="81" t="n">
        <v>45412</v>
      </c>
      <c r="B204" s="82" t="n">
        <v>2024</v>
      </c>
      <c r="C204" s="82" t="n">
        <v>4</v>
      </c>
      <c r="D204" s="83" t="s">
        <v>136</v>
      </c>
      <c r="E204" s="83" t="s">
        <v>130</v>
      </c>
      <c r="F204" s="83" t="s">
        <v>135</v>
      </c>
      <c r="G204" s="76" t="n">
        <v>2599</v>
      </c>
      <c r="H204" s="83" t="s">
        <v>935</v>
      </c>
    </row>
    <row r="205" customFormat="false" ht="15" hidden="false" customHeight="false" outlineLevel="0" collapsed="false">
      <c r="A205" s="81" t="n">
        <v>45412</v>
      </c>
      <c r="B205" s="82" t="n">
        <v>2024</v>
      </c>
      <c r="C205" s="82" t="n">
        <v>4</v>
      </c>
      <c r="D205" s="83" t="s">
        <v>137</v>
      </c>
      <c r="E205" s="83" t="s">
        <v>138</v>
      </c>
      <c r="F205" s="83" t="s">
        <v>135</v>
      </c>
      <c r="G205" s="76" t="n">
        <v>2413</v>
      </c>
      <c r="H205" s="83" t="s">
        <v>936</v>
      </c>
    </row>
    <row r="206" customFormat="false" ht="15" hidden="false" customHeight="false" outlineLevel="0" collapsed="false">
      <c r="A206" s="81" t="n">
        <v>45412</v>
      </c>
      <c r="B206" s="82" t="n">
        <v>2024</v>
      </c>
      <c r="C206" s="82" t="n">
        <v>4</v>
      </c>
      <c r="D206" s="83" t="s">
        <v>139</v>
      </c>
      <c r="E206" s="83" t="s">
        <v>138</v>
      </c>
      <c r="F206" s="83" t="s">
        <v>135</v>
      </c>
      <c r="G206" s="76" t="n">
        <v>647</v>
      </c>
      <c r="H206" s="83" t="s">
        <v>937</v>
      </c>
    </row>
    <row r="207" customFormat="false" ht="15" hidden="false" customHeight="false" outlineLevel="0" collapsed="false">
      <c r="A207" s="81" t="n">
        <v>45412</v>
      </c>
      <c r="B207" s="82" t="n">
        <v>2024</v>
      </c>
      <c r="C207" s="82" t="n">
        <v>4</v>
      </c>
      <c r="D207" s="83" t="s">
        <v>140</v>
      </c>
      <c r="E207" s="83" t="s">
        <v>138</v>
      </c>
      <c r="F207" s="83" t="s">
        <v>135</v>
      </c>
      <c r="G207" s="76" t="n">
        <v>315</v>
      </c>
      <c r="H207" s="83" t="s">
        <v>938</v>
      </c>
    </row>
    <row r="208" customFormat="false" ht="15" hidden="false" customHeight="false" outlineLevel="0" collapsed="false">
      <c r="A208" s="81" t="n">
        <v>45412</v>
      </c>
      <c r="B208" s="82" t="n">
        <v>2024</v>
      </c>
      <c r="C208" s="82" t="n">
        <v>4</v>
      </c>
      <c r="D208" s="83" t="s">
        <v>141</v>
      </c>
      <c r="E208" s="83" t="s">
        <v>138</v>
      </c>
      <c r="F208" s="83" t="s">
        <v>135</v>
      </c>
      <c r="G208" s="76" t="n">
        <v>548</v>
      </c>
      <c r="H208" s="83" t="s">
        <v>939</v>
      </c>
    </row>
    <row r="209" customFormat="false" ht="15" hidden="false" customHeight="false" outlineLevel="0" collapsed="false">
      <c r="A209" s="81" t="n">
        <v>45412</v>
      </c>
      <c r="B209" s="82" t="n">
        <v>2024</v>
      </c>
      <c r="C209" s="82" t="n">
        <v>4</v>
      </c>
      <c r="D209" s="83" t="s">
        <v>142</v>
      </c>
      <c r="E209" s="83" t="s">
        <v>138</v>
      </c>
      <c r="F209" s="83" t="s">
        <v>135</v>
      </c>
      <c r="G209" s="76" t="n">
        <v>213</v>
      </c>
      <c r="H209" s="83" t="s">
        <v>940</v>
      </c>
    </row>
    <row r="210" customFormat="false" ht="15" hidden="false" customHeight="false" outlineLevel="0" collapsed="false">
      <c r="A210" s="81" t="n">
        <v>45412</v>
      </c>
      <c r="B210" s="82" t="n">
        <v>2024</v>
      </c>
      <c r="C210" s="82" t="n">
        <v>4</v>
      </c>
      <c r="D210" s="83" t="s">
        <v>143</v>
      </c>
      <c r="E210" s="83" t="s">
        <v>138</v>
      </c>
      <c r="F210" s="83" t="s">
        <v>135</v>
      </c>
      <c r="G210" s="76" t="n">
        <v>449</v>
      </c>
      <c r="H210" s="83" t="s">
        <v>941</v>
      </c>
    </row>
    <row r="211" customFormat="false" ht="15" hidden="false" customHeight="false" outlineLevel="0" collapsed="false">
      <c r="A211" s="81" t="n">
        <v>45412</v>
      </c>
      <c r="B211" s="82" t="n">
        <v>2024</v>
      </c>
      <c r="C211" s="82" t="n">
        <v>4</v>
      </c>
      <c r="D211" s="83" t="s">
        <v>144</v>
      </c>
      <c r="E211" s="83" t="s">
        <v>138</v>
      </c>
      <c r="F211" s="83" t="s">
        <v>135</v>
      </c>
      <c r="G211" s="76" t="n">
        <v>361</v>
      </c>
      <c r="H211" s="83" t="s">
        <v>942</v>
      </c>
    </row>
    <row r="212" customFormat="false" ht="15" hidden="false" customHeight="false" outlineLevel="0" collapsed="false">
      <c r="A212" s="81" t="n">
        <v>45412</v>
      </c>
      <c r="B212" s="82" t="n">
        <v>2024</v>
      </c>
      <c r="C212" s="82" t="n">
        <v>4</v>
      </c>
      <c r="D212" s="83" t="s">
        <v>145</v>
      </c>
      <c r="E212" s="83" t="s">
        <v>138</v>
      </c>
      <c r="F212" s="83" t="s">
        <v>131</v>
      </c>
      <c r="G212" s="76" t="n">
        <v>107</v>
      </c>
      <c r="H212" s="83" t="s">
        <v>943</v>
      </c>
    </row>
    <row r="213" customFormat="false" ht="15" hidden="false" customHeight="false" outlineLevel="0" collapsed="false">
      <c r="A213" s="81" t="n">
        <v>45443</v>
      </c>
      <c r="B213" s="82" t="n">
        <v>2024</v>
      </c>
      <c r="C213" s="82" t="n">
        <v>5</v>
      </c>
      <c r="D213" s="83" t="s">
        <v>129</v>
      </c>
      <c r="E213" s="83" t="s">
        <v>130</v>
      </c>
      <c r="F213" s="83" t="s">
        <v>131</v>
      </c>
      <c r="G213" s="76" t="n">
        <v>1173</v>
      </c>
      <c r="H213" s="83" t="s">
        <v>944</v>
      </c>
    </row>
    <row r="214" customFormat="false" ht="15" hidden="false" customHeight="false" outlineLevel="0" collapsed="false">
      <c r="A214" s="81" t="n">
        <v>45443</v>
      </c>
      <c r="B214" s="82" t="n">
        <v>2024</v>
      </c>
      <c r="C214" s="82" t="n">
        <v>5</v>
      </c>
      <c r="D214" s="83" t="s">
        <v>132</v>
      </c>
      <c r="E214" s="83" t="s">
        <v>130</v>
      </c>
      <c r="F214" s="83" t="s">
        <v>131</v>
      </c>
      <c r="G214" s="76" t="n">
        <v>657</v>
      </c>
      <c r="H214" s="83" t="s">
        <v>945</v>
      </c>
    </row>
    <row r="215" customFormat="false" ht="15" hidden="false" customHeight="false" outlineLevel="0" collapsed="false">
      <c r="A215" s="81" t="n">
        <v>45443</v>
      </c>
      <c r="B215" s="82" t="n">
        <v>2024</v>
      </c>
      <c r="C215" s="82" t="n">
        <v>5</v>
      </c>
      <c r="D215" s="83" t="s">
        <v>133</v>
      </c>
      <c r="E215" s="83" t="s">
        <v>130</v>
      </c>
      <c r="F215" s="83" t="s">
        <v>131</v>
      </c>
      <c r="G215" s="76" t="n">
        <v>1756</v>
      </c>
      <c r="H215" s="83" t="s">
        <v>946</v>
      </c>
    </row>
    <row r="216" customFormat="false" ht="15" hidden="false" customHeight="false" outlineLevel="0" collapsed="false">
      <c r="A216" s="81" t="n">
        <v>45443</v>
      </c>
      <c r="B216" s="82" t="n">
        <v>2024</v>
      </c>
      <c r="C216" s="82" t="n">
        <v>5</v>
      </c>
      <c r="D216" s="83" t="s">
        <v>134</v>
      </c>
      <c r="E216" s="83" t="s">
        <v>130</v>
      </c>
      <c r="F216" s="83" t="s">
        <v>135</v>
      </c>
      <c r="G216" s="76" t="n">
        <v>2024</v>
      </c>
      <c r="H216" s="83" t="s">
        <v>947</v>
      </c>
    </row>
    <row r="217" customFormat="false" ht="15" hidden="false" customHeight="false" outlineLevel="0" collapsed="false">
      <c r="A217" s="81" t="n">
        <v>45443</v>
      </c>
      <c r="B217" s="82" t="n">
        <v>2024</v>
      </c>
      <c r="C217" s="82" t="n">
        <v>5</v>
      </c>
      <c r="D217" s="83" t="s">
        <v>136</v>
      </c>
      <c r="E217" s="83" t="s">
        <v>130</v>
      </c>
      <c r="F217" s="83" t="s">
        <v>135</v>
      </c>
      <c r="G217" s="76" t="n">
        <v>2647</v>
      </c>
      <c r="H217" s="83" t="s">
        <v>948</v>
      </c>
    </row>
    <row r="218" customFormat="false" ht="15" hidden="false" customHeight="false" outlineLevel="0" collapsed="false">
      <c r="A218" s="81" t="n">
        <v>45443</v>
      </c>
      <c r="B218" s="82" t="n">
        <v>2024</v>
      </c>
      <c r="C218" s="82" t="n">
        <v>5</v>
      </c>
      <c r="D218" s="83" t="s">
        <v>137</v>
      </c>
      <c r="E218" s="83" t="s">
        <v>138</v>
      </c>
      <c r="F218" s="83" t="s">
        <v>135</v>
      </c>
      <c r="G218" s="76" t="n">
        <v>2367</v>
      </c>
      <c r="H218" s="83" t="s">
        <v>949</v>
      </c>
    </row>
    <row r="219" customFormat="false" ht="15" hidden="false" customHeight="false" outlineLevel="0" collapsed="false">
      <c r="A219" s="81" t="n">
        <v>45443</v>
      </c>
      <c r="B219" s="82" t="n">
        <v>2024</v>
      </c>
      <c r="C219" s="82" t="n">
        <v>5</v>
      </c>
      <c r="D219" s="83" t="s">
        <v>139</v>
      </c>
      <c r="E219" s="83" t="s">
        <v>138</v>
      </c>
      <c r="F219" s="83" t="s">
        <v>135</v>
      </c>
      <c r="G219" s="76" t="n">
        <v>644</v>
      </c>
      <c r="H219" s="83" t="s">
        <v>950</v>
      </c>
    </row>
    <row r="220" customFormat="false" ht="15" hidden="false" customHeight="false" outlineLevel="0" collapsed="false">
      <c r="A220" s="81" t="n">
        <v>45443</v>
      </c>
      <c r="B220" s="82" t="n">
        <v>2024</v>
      </c>
      <c r="C220" s="82" t="n">
        <v>5</v>
      </c>
      <c r="D220" s="83" t="s">
        <v>140</v>
      </c>
      <c r="E220" s="83" t="s">
        <v>138</v>
      </c>
      <c r="F220" s="83" t="s">
        <v>135</v>
      </c>
      <c r="G220" s="76" t="n">
        <v>310</v>
      </c>
      <c r="H220" s="83" t="s">
        <v>951</v>
      </c>
    </row>
    <row r="221" customFormat="false" ht="15" hidden="false" customHeight="false" outlineLevel="0" collapsed="false">
      <c r="A221" s="81" t="n">
        <v>45443</v>
      </c>
      <c r="B221" s="82" t="n">
        <v>2024</v>
      </c>
      <c r="C221" s="82" t="n">
        <v>5</v>
      </c>
      <c r="D221" s="83" t="s">
        <v>141</v>
      </c>
      <c r="E221" s="83" t="s">
        <v>138</v>
      </c>
      <c r="F221" s="83" t="s">
        <v>135</v>
      </c>
      <c r="G221" s="76" t="n">
        <v>539</v>
      </c>
      <c r="H221" s="83" t="s">
        <v>952</v>
      </c>
    </row>
    <row r="222" customFormat="false" ht="15" hidden="false" customHeight="false" outlineLevel="0" collapsed="false">
      <c r="A222" s="81" t="n">
        <v>45443</v>
      </c>
      <c r="B222" s="82" t="n">
        <v>2024</v>
      </c>
      <c r="C222" s="82" t="n">
        <v>5</v>
      </c>
      <c r="D222" s="83" t="s">
        <v>142</v>
      </c>
      <c r="E222" s="83" t="s">
        <v>138</v>
      </c>
      <c r="F222" s="83" t="s">
        <v>135</v>
      </c>
      <c r="G222" s="76" t="n">
        <v>246</v>
      </c>
      <c r="H222" s="83" t="s">
        <v>953</v>
      </c>
    </row>
    <row r="223" customFormat="false" ht="15" hidden="false" customHeight="false" outlineLevel="0" collapsed="false">
      <c r="A223" s="81" t="n">
        <v>45443</v>
      </c>
      <c r="B223" s="82" t="n">
        <v>2024</v>
      </c>
      <c r="C223" s="82" t="n">
        <v>5</v>
      </c>
      <c r="D223" s="83" t="s">
        <v>143</v>
      </c>
      <c r="E223" s="83" t="s">
        <v>138</v>
      </c>
      <c r="F223" s="83" t="s">
        <v>135</v>
      </c>
      <c r="G223" s="76" t="n">
        <v>449</v>
      </c>
      <c r="H223" s="83" t="s">
        <v>954</v>
      </c>
    </row>
    <row r="224" customFormat="false" ht="15" hidden="false" customHeight="false" outlineLevel="0" collapsed="false">
      <c r="A224" s="81" t="n">
        <v>45443</v>
      </c>
      <c r="B224" s="82" t="n">
        <v>2024</v>
      </c>
      <c r="C224" s="82" t="n">
        <v>5</v>
      </c>
      <c r="D224" s="83" t="s">
        <v>144</v>
      </c>
      <c r="E224" s="83" t="s">
        <v>138</v>
      </c>
      <c r="F224" s="83" t="s">
        <v>135</v>
      </c>
      <c r="G224" s="76" t="n">
        <v>358</v>
      </c>
      <c r="H224" s="83" t="s">
        <v>955</v>
      </c>
    </row>
    <row r="225" customFormat="false" ht="15" hidden="false" customHeight="false" outlineLevel="0" collapsed="false">
      <c r="A225" s="81" t="n">
        <v>45443</v>
      </c>
      <c r="B225" s="82" t="n">
        <v>2024</v>
      </c>
      <c r="C225" s="82" t="n">
        <v>5</v>
      </c>
      <c r="D225" s="83" t="s">
        <v>145</v>
      </c>
      <c r="E225" s="83" t="s">
        <v>138</v>
      </c>
      <c r="F225" s="83" t="s">
        <v>131</v>
      </c>
      <c r="G225" s="76" t="n">
        <v>108</v>
      </c>
      <c r="H225" s="83" t="s">
        <v>956</v>
      </c>
    </row>
    <row r="226" customFormat="false" ht="15" hidden="false" customHeight="false" outlineLevel="0" collapsed="false">
      <c r="A226" s="81" t="n">
        <v>45473</v>
      </c>
      <c r="B226" s="82" t="n">
        <v>2024</v>
      </c>
      <c r="C226" s="82" t="n">
        <v>6</v>
      </c>
      <c r="D226" s="83" t="s">
        <v>129</v>
      </c>
      <c r="E226" s="83" t="s">
        <v>130</v>
      </c>
      <c r="F226" s="83" t="s">
        <v>131</v>
      </c>
      <c r="G226" s="76" t="n">
        <v>1200</v>
      </c>
      <c r="H226" s="83" t="s">
        <v>957</v>
      </c>
    </row>
    <row r="227" customFormat="false" ht="15" hidden="false" customHeight="false" outlineLevel="0" collapsed="false">
      <c r="A227" s="81" t="n">
        <v>45473</v>
      </c>
      <c r="B227" s="82" t="n">
        <v>2024</v>
      </c>
      <c r="C227" s="82" t="n">
        <v>6</v>
      </c>
      <c r="D227" s="83" t="s">
        <v>132</v>
      </c>
      <c r="E227" s="83" t="s">
        <v>130</v>
      </c>
      <c r="F227" s="83" t="s">
        <v>131</v>
      </c>
      <c r="G227" s="76" t="n">
        <v>671</v>
      </c>
      <c r="H227" s="83" t="s">
        <v>958</v>
      </c>
    </row>
    <row r="228" customFormat="false" ht="15" hidden="false" customHeight="false" outlineLevel="0" collapsed="false">
      <c r="A228" s="81" t="n">
        <v>45473</v>
      </c>
      <c r="B228" s="82" t="n">
        <v>2024</v>
      </c>
      <c r="C228" s="82" t="n">
        <v>6</v>
      </c>
      <c r="D228" s="83" t="s">
        <v>133</v>
      </c>
      <c r="E228" s="83" t="s">
        <v>130</v>
      </c>
      <c r="F228" s="83" t="s">
        <v>131</v>
      </c>
      <c r="G228" s="76" t="n">
        <v>1800</v>
      </c>
      <c r="H228" s="83" t="s">
        <v>959</v>
      </c>
    </row>
    <row r="229" customFormat="false" ht="15" hidden="false" customHeight="false" outlineLevel="0" collapsed="false">
      <c r="A229" s="81" t="n">
        <v>45473</v>
      </c>
      <c r="B229" s="82" t="n">
        <v>2024</v>
      </c>
      <c r="C229" s="82" t="n">
        <v>6</v>
      </c>
      <c r="D229" s="83" t="s">
        <v>134</v>
      </c>
      <c r="E229" s="83" t="s">
        <v>130</v>
      </c>
      <c r="F229" s="83" t="s">
        <v>135</v>
      </c>
      <c r="G229" s="76" t="n">
        <v>1978</v>
      </c>
      <c r="H229" s="83" t="s">
        <v>960</v>
      </c>
    </row>
    <row r="230" customFormat="false" ht="15" hidden="false" customHeight="false" outlineLevel="0" collapsed="false">
      <c r="A230" s="81" t="n">
        <v>45473</v>
      </c>
      <c r="B230" s="82" t="n">
        <v>2024</v>
      </c>
      <c r="C230" s="82" t="n">
        <v>6</v>
      </c>
      <c r="D230" s="83" t="s">
        <v>136</v>
      </c>
      <c r="E230" s="83" t="s">
        <v>130</v>
      </c>
      <c r="F230" s="83" t="s">
        <v>135</v>
      </c>
      <c r="G230" s="76" t="n">
        <v>2584</v>
      </c>
      <c r="H230" s="83" t="s">
        <v>961</v>
      </c>
    </row>
    <row r="231" customFormat="false" ht="15" hidden="false" customHeight="false" outlineLevel="0" collapsed="false">
      <c r="A231" s="81" t="n">
        <v>45473</v>
      </c>
      <c r="B231" s="82" t="n">
        <v>2024</v>
      </c>
      <c r="C231" s="82" t="n">
        <v>6</v>
      </c>
      <c r="D231" s="83" t="s">
        <v>137</v>
      </c>
      <c r="E231" s="83" t="s">
        <v>138</v>
      </c>
      <c r="F231" s="83" t="s">
        <v>135</v>
      </c>
      <c r="G231" s="76" t="n">
        <v>2407</v>
      </c>
      <c r="H231" s="83" t="s">
        <v>962</v>
      </c>
    </row>
    <row r="232" customFormat="false" ht="15" hidden="false" customHeight="false" outlineLevel="0" collapsed="false">
      <c r="A232" s="81" t="n">
        <v>45473</v>
      </c>
      <c r="B232" s="82" t="n">
        <v>2024</v>
      </c>
      <c r="C232" s="82" t="n">
        <v>6</v>
      </c>
      <c r="D232" s="83" t="s">
        <v>139</v>
      </c>
      <c r="E232" s="83" t="s">
        <v>138</v>
      </c>
      <c r="F232" s="83" t="s">
        <v>135</v>
      </c>
      <c r="G232" s="76" t="n">
        <v>641</v>
      </c>
      <c r="H232" s="83" t="s">
        <v>963</v>
      </c>
    </row>
    <row r="233" customFormat="false" ht="15" hidden="false" customHeight="false" outlineLevel="0" collapsed="false">
      <c r="A233" s="81" t="n">
        <v>45473</v>
      </c>
      <c r="B233" s="82" t="n">
        <v>2024</v>
      </c>
      <c r="C233" s="82" t="n">
        <v>6</v>
      </c>
      <c r="D233" s="83" t="s">
        <v>140</v>
      </c>
      <c r="E233" s="83" t="s">
        <v>138</v>
      </c>
      <c r="F233" s="83" t="s">
        <v>135</v>
      </c>
      <c r="G233" s="76" t="n">
        <v>321</v>
      </c>
      <c r="H233" s="83" t="s">
        <v>964</v>
      </c>
    </row>
    <row r="234" customFormat="false" ht="15" hidden="false" customHeight="false" outlineLevel="0" collapsed="false">
      <c r="A234" s="81" t="n">
        <v>45473</v>
      </c>
      <c r="B234" s="82" t="n">
        <v>2024</v>
      </c>
      <c r="C234" s="82" t="n">
        <v>6</v>
      </c>
      <c r="D234" s="83" t="s">
        <v>141</v>
      </c>
      <c r="E234" s="83" t="s">
        <v>138</v>
      </c>
      <c r="F234" s="83" t="s">
        <v>135</v>
      </c>
      <c r="G234" s="76" t="n">
        <v>555</v>
      </c>
      <c r="H234" s="83" t="s">
        <v>965</v>
      </c>
    </row>
    <row r="235" customFormat="false" ht="15" hidden="false" customHeight="false" outlineLevel="0" collapsed="false">
      <c r="A235" s="81" t="n">
        <v>45473</v>
      </c>
      <c r="B235" s="82" t="n">
        <v>2024</v>
      </c>
      <c r="C235" s="82" t="n">
        <v>6</v>
      </c>
      <c r="D235" s="83" t="s">
        <v>142</v>
      </c>
      <c r="E235" s="83" t="s">
        <v>138</v>
      </c>
      <c r="F235" s="83" t="s">
        <v>135</v>
      </c>
      <c r="G235" s="76" t="n">
        <v>200</v>
      </c>
      <c r="H235" s="83" t="s">
        <v>966</v>
      </c>
    </row>
    <row r="236" customFormat="false" ht="15" hidden="false" customHeight="false" outlineLevel="0" collapsed="false">
      <c r="A236" s="81" t="n">
        <v>45473</v>
      </c>
      <c r="B236" s="82" t="n">
        <v>2024</v>
      </c>
      <c r="C236" s="82" t="n">
        <v>6</v>
      </c>
      <c r="D236" s="83" t="s">
        <v>143</v>
      </c>
      <c r="E236" s="83" t="s">
        <v>138</v>
      </c>
      <c r="F236" s="83" t="s">
        <v>135</v>
      </c>
      <c r="G236" s="76" t="n">
        <v>443</v>
      </c>
      <c r="H236" s="83" t="s">
        <v>967</v>
      </c>
    </row>
    <row r="237" customFormat="false" ht="15" hidden="false" customHeight="false" outlineLevel="0" collapsed="false">
      <c r="A237" s="81" t="n">
        <v>45473</v>
      </c>
      <c r="B237" s="82" t="n">
        <v>2024</v>
      </c>
      <c r="C237" s="82" t="n">
        <v>6</v>
      </c>
      <c r="D237" s="83" t="s">
        <v>144</v>
      </c>
      <c r="E237" s="83" t="s">
        <v>138</v>
      </c>
      <c r="F237" s="83" t="s">
        <v>135</v>
      </c>
      <c r="G237" s="76" t="n">
        <v>360</v>
      </c>
      <c r="H237" s="83" t="s">
        <v>968</v>
      </c>
    </row>
    <row r="238" customFormat="false" ht="15" hidden="false" customHeight="false" outlineLevel="0" collapsed="false">
      <c r="A238" s="81" t="n">
        <v>45473</v>
      </c>
      <c r="B238" s="82" t="n">
        <v>2024</v>
      </c>
      <c r="C238" s="82" t="n">
        <v>6</v>
      </c>
      <c r="D238" s="83" t="s">
        <v>145</v>
      </c>
      <c r="E238" s="83" t="s">
        <v>138</v>
      </c>
      <c r="F238" s="83" t="s">
        <v>131</v>
      </c>
      <c r="G238" s="76" t="n">
        <v>111</v>
      </c>
      <c r="H238" s="83" t="s">
        <v>969</v>
      </c>
    </row>
    <row r="239" customFormat="false" ht="15" hidden="false" customHeight="false" outlineLevel="0" collapsed="false">
      <c r="A239" s="81" t="n">
        <v>45504</v>
      </c>
      <c r="B239" s="82" t="n">
        <v>2024</v>
      </c>
      <c r="C239" s="82" t="n">
        <v>7</v>
      </c>
      <c r="D239" s="83" t="s">
        <v>129</v>
      </c>
      <c r="E239" s="83" t="s">
        <v>130</v>
      </c>
      <c r="F239" s="83" t="s">
        <v>131</v>
      </c>
      <c r="G239" s="76" t="n">
        <v>1179</v>
      </c>
      <c r="H239" s="83" t="s">
        <v>970</v>
      </c>
    </row>
    <row r="240" customFormat="false" ht="15" hidden="false" customHeight="false" outlineLevel="0" collapsed="false">
      <c r="A240" s="81" t="n">
        <v>45504</v>
      </c>
      <c r="B240" s="82" t="n">
        <v>2024</v>
      </c>
      <c r="C240" s="82" t="n">
        <v>7</v>
      </c>
      <c r="D240" s="83" t="s">
        <v>132</v>
      </c>
      <c r="E240" s="83" t="s">
        <v>130</v>
      </c>
      <c r="F240" s="83" t="s">
        <v>131</v>
      </c>
      <c r="G240" s="76" t="n">
        <v>697</v>
      </c>
      <c r="H240" s="83" t="s">
        <v>971</v>
      </c>
    </row>
    <row r="241" customFormat="false" ht="15" hidden="false" customHeight="false" outlineLevel="0" collapsed="false">
      <c r="A241" s="81" t="n">
        <v>45504</v>
      </c>
      <c r="B241" s="82" t="n">
        <v>2024</v>
      </c>
      <c r="C241" s="82" t="n">
        <v>7</v>
      </c>
      <c r="D241" s="83" t="s">
        <v>133</v>
      </c>
      <c r="E241" s="83" t="s">
        <v>130</v>
      </c>
      <c r="F241" s="83" t="s">
        <v>131</v>
      </c>
      <c r="G241" s="76" t="n">
        <v>1814</v>
      </c>
      <c r="H241" s="83" t="s">
        <v>972</v>
      </c>
    </row>
    <row r="242" customFormat="false" ht="15" hidden="false" customHeight="false" outlineLevel="0" collapsed="false">
      <c r="A242" s="81" t="n">
        <v>45504</v>
      </c>
      <c r="B242" s="82" t="n">
        <v>2024</v>
      </c>
      <c r="C242" s="82" t="n">
        <v>7</v>
      </c>
      <c r="D242" s="83" t="s">
        <v>134</v>
      </c>
      <c r="E242" s="83" t="s">
        <v>130</v>
      </c>
      <c r="F242" s="83" t="s">
        <v>135</v>
      </c>
      <c r="G242" s="76" t="n">
        <v>1957</v>
      </c>
      <c r="H242" s="83" t="s">
        <v>973</v>
      </c>
    </row>
    <row r="243" customFormat="false" ht="15" hidden="false" customHeight="false" outlineLevel="0" collapsed="false">
      <c r="A243" s="81" t="n">
        <v>45504</v>
      </c>
      <c r="B243" s="82" t="n">
        <v>2024</v>
      </c>
      <c r="C243" s="82" t="n">
        <v>7</v>
      </c>
      <c r="D243" s="83" t="s">
        <v>136</v>
      </c>
      <c r="E243" s="83" t="s">
        <v>130</v>
      </c>
      <c r="F243" s="83" t="s">
        <v>135</v>
      </c>
      <c r="G243" s="76" t="n">
        <v>2653</v>
      </c>
      <c r="H243" s="83" t="s">
        <v>974</v>
      </c>
    </row>
    <row r="244" customFormat="false" ht="15" hidden="false" customHeight="false" outlineLevel="0" collapsed="false">
      <c r="A244" s="81" t="n">
        <v>45504</v>
      </c>
      <c r="B244" s="82" t="n">
        <v>2024</v>
      </c>
      <c r="C244" s="82" t="n">
        <v>7</v>
      </c>
      <c r="D244" s="83" t="s">
        <v>137</v>
      </c>
      <c r="E244" s="83" t="s">
        <v>138</v>
      </c>
      <c r="F244" s="83" t="s">
        <v>135</v>
      </c>
      <c r="G244" s="76" t="n">
        <v>2394</v>
      </c>
      <c r="H244" s="83" t="s">
        <v>975</v>
      </c>
    </row>
    <row r="245" customFormat="false" ht="15" hidden="false" customHeight="false" outlineLevel="0" collapsed="false">
      <c r="A245" s="81" t="n">
        <v>45504</v>
      </c>
      <c r="B245" s="82" t="n">
        <v>2024</v>
      </c>
      <c r="C245" s="82" t="n">
        <v>7</v>
      </c>
      <c r="D245" s="83" t="s">
        <v>139</v>
      </c>
      <c r="E245" s="83" t="s">
        <v>138</v>
      </c>
      <c r="F245" s="83" t="s">
        <v>135</v>
      </c>
      <c r="G245" s="76" t="n">
        <v>662</v>
      </c>
      <c r="H245" s="83" t="s">
        <v>976</v>
      </c>
    </row>
    <row r="246" customFormat="false" ht="15" hidden="false" customHeight="false" outlineLevel="0" collapsed="false">
      <c r="A246" s="81" t="n">
        <v>45504</v>
      </c>
      <c r="B246" s="82" t="n">
        <v>2024</v>
      </c>
      <c r="C246" s="82" t="n">
        <v>7</v>
      </c>
      <c r="D246" s="83" t="s">
        <v>140</v>
      </c>
      <c r="E246" s="83" t="s">
        <v>138</v>
      </c>
      <c r="F246" s="83" t="s">
        <v>135</v>
      </c>
      <c r="G246" s="76" t="n">
        <v>316</v>
      </c>
      <c r="H246" s="83" t="s">
        <v>977</v>
      </c>
    </row>
    <row r="247" customFormat="false" ht="15" hidden="false" customHeight="false" outlineLevel="0" collapsed="false">
      <c r="A247" s="81" t="n">
        <v>45504</v>
      </c>
      <c r="B247" s="82" t="n">
        <v>2024</v>
      </c>
      <c r="C247" s="82" t="n">
        <v>7</v>
      </c>
      <c r="D247" s="83" t="s">
        <v>141</v>
      </c>
      <c r="E247" s="83" t="s">
        <v>138</v>
      </c>
      <c r="F247" s="83" t="s">
        <v>135</v>
      </c>
      <c r="G247" s="76" t="n">
        <v>553</v>
      </c>
      <c r="H247" s="83" t="s">
        <v>978</v>
      </c>
    </row>
    <row r="248" customFormat="false" ht="15" hidden="false" customHeight="false" outlineLevel="0" collapsed="false">
      <c r="A248" s="81" t="n">
        <v>45504</v>
      </c>
      <c r="B248" s="82" t="n">
        <v>2024</v>
      </c>
      <c r="C248" s="82" t="n">
        <v>7</v>
      </c>
      <c r="D248" s="83" t="s">
        <v>142</v>
      </c>
      <c r="E248" s="83" t="s">
        <v>138</v>
      </c>
      <c r="F248" s="83" t="s">
        <v>135</v>
      </c>
      <c r="G248" s="76" t="n">
        <v>243</v>
      </c>
      <c r="H248" s="83" t="s">
        <v>979</v>
      </c>
    </row>
    <row r="249" customFormat="false" ht="15" hidden="false" customHeight="false" outlineLevel="0" collapsed="false">
      <c r="A249" s="81" t="n">
        <v>45504</v>
      </c>
      <c r="B249" s="82" t="n">
        <v>2024</v>
      </c>
      <c r="C249" s="82" t="n">
        <v>7</v>
      </c>
      <c r="D249" s="83" t="s">
        <v>143</v>
      </c>
      <c r="E249" s="83" t="s">
        <v>138</v>
      </c>
      <c r="F249" s="83" t="s">
        <v>135</v>
      </c>
      <c r="G249" s="76" t="n">
        <v>439</v>
      </c>
      <c r="H249" s="83" t="s">
        <v>980</v>
      </c>
    </row>
    <row r="250" customFormat="false" ht="15" hidden="false" customHeight="false" outlineLevel="0" collapsed="false">
      <c r="A250" s="81" t="n">
        <v>45504</v>
      </c>
      <c r="B250" s="82" t="n">
        <v>2024</v>
      </c>
      <c r="C250" s="82" t="n">
        <v>7</v>
      </c>
      <c r="D250" s="83" t="s">
        <v>144</v>
      </c>
      <c r="E250" s="83" t="s">
        <v>138</v>
      </c>
      <c r="F250" s="83" t="s">
        <v>135</v>
      </c>
      <c r="G250" s="76" t="n">
        <v>352</v>
      </c>
      <c r="H250" s="83" t="s">
        <v>981</v>
      </c>
    </row>
    <row r="251" customFormat="false" ht="15" hidden="false" customHeight="false" outlineLevel="0" collapsed="false">
      <c r="A251" s="81" t="n">
        <v>45504</v>
      </c>
      <c r="B251" s="82" t="n">
        <v>2024</v>
      </c>
      <c r="C251" s="82" t="n">
        <v>7</v>
      </c>
      <c r="D251" s="83" t="s">
        <v>145</v>
      </c>
      <c r="E251" s="83" t="s">
        <v>138</v>
      </c>
      <c r="F251" s="83" t="s">
        <v>131</v>
      </c>
      <c r="G251" s="76" t="n">
        <v>114</v>
      </c>
      <c r="H251" s="83" t="s">
        <v>982</v>
      </c>
    </row>
    <row r="252" customFormat="false" ht="15" hidden="false" customHeight="false" outlineLevel="0" collapsed="false">
      <c r="A252" s="81" t="n">
        <v>45535</v>
      </c>
      <c r="B252" s="82" t="n">
        <v>2024</v>
      </c>
      <c r="C252" s="82" t="n">
        <v>8</v>
      </c>
      <c r="D252" s="83" t="s">
        <v>129</v>
      </c>
      <c r="E252" s="83" t="s">
        <v>130</v>
      </c>
      <c r="F252" s="83" t="s">
        <v>131</v>
      </c>
      <c r="G252" s="76" t="n">
        <v>1246</v>
      </c>
      <c r="H252" s="83" t="s">
        <v>983</v>
      </c>
    </row>
    <row r="253" customFormat="false" ht="15" hidden="false" customHeight="false" outlineLevel="0" collapsed="false">
      <c r="A253" s="81" t="n">
        <v>45535</v>
      </c>
      <c r="B253" s="82" t="n">
        <v>2024</v>
      </c>
      <c r="C253" s="82" t="n">
        <v>8</v>
      </c>
      <c r="D253" s="83" t="s">
        <v>132</v>
      </c>
      <c r="E253" s="83" t="s">
        <v>130</v>
      </c>
      <c r="F253" s="83" t="s">
        <v>131</v>
      </c>
      <c r="G253" s="76" t="n">
        <v>667</v>
      </c>
      <c r="H253" s="83" t="s">
        <v>984</v>
      </c>
    </row>
    <row r="254" customFormat="false" ht="15" hidden="false" customHeight="false" outlineLevel="0" collapsed="false">
      <c r="A254" s="81" t="n">
        <v>45535</v>
      </c>
      <c r="B254" s="82" t="n">
        <v>2024</v>
      </c>
      <c r="C254" s="82" t="n">
        <v>8</v>
      </c>
      <c r="D254" s="83" t="s">
        <v>133</v>
      </c>
      <c r="E254" s="83" t="s">
        <v>130</v>
      </c>
      <c r="F254" s="83" t="s">
        <v>131</v>
      </c>
      <c r="G254" s="76" t="n">
        <v>1805</v>
      </c>
      <c r="H254" s="83" t="s">
        <v>985</v>
      </c>
    </row>
    <row r="255" customFormat="false" ht="15" hidden="false" customHeight="false" outlineLevel="0" collapsed="false">
      <c r="A255" s="81" t="n">
        <v>45535</v>
      </c>
      <c r="B255" s="82" t="n">
        <v>2024</v>
      </c>
      <c r="C255" s="82" t="n">
        <v>8</v>
      </c>
      <c r="D255" s="83" t="s">
        <v>134</v>
      </c>
      <c r="E255" s="83" t="s">
        <v>130</v>
      </c>
      <c r="F255" s="83" t="s">
        <v>135</v>
      </c>
      <c r="G255" s="76" t="n">
        <v>1959</v>
      </c>
      <c r="H255" s="83" t="s">
        <v>986</v>
      </c>
    </row>
    <row r="256" customFormat="false" ht="15" hidden="false" customHeight="false" outlineLevel="0" collapsed="false">
      <c r="A256" s="81" t="n">
        <v>45535</v>
      </c>
      <c r="B256" s="82" t="n">
        <v>2024</v>
      </c>
      <c r="C256" s="82" t="n">
        <v>8</v>
      </c>
      <c r="D256" s="83" t="s">
        <v>136</v>
      </c>
      <c r="E256" s="83" t="s">
        <v>130</v>
      </c>
      <c r="F256" s="83" t="s">
        <v>135</v>
      </c>
      <c r="G256" s="76" t="n">
        <v>2620</v>
      </c>
      <c r="H256" s="83" t="s">
        <v>987</v>
      </c>
    </row>
    <row r="257" customFormat="false" ht="15" hidden="false" customHeight="false" outlineLevel="0" collapsed="false">
      <c r="A257" s="81" t="n">
        <v>45535</v>
      </c>
      <c r="B257" s="82" t="n">
        <v>2024</v>
      </c>
      <c r="C257" s="82" t="n">
        <v>8</v>
      </c>
      <c r="D257" s="83" t="s">
        <v>137</v>
      </c>
      <c r="E257" s="83" t="s">
        <v>138</v>
      </c>
      <c r="F257" s="83" t="s">
        <v>135</v>
      </c>
      <c r="G257" s="76" t="n">
        <v>2422</v>
      </c>
      <c r="H257" s="83" t="s">
        <v>988</v>
      </c>
    </row>
    <row r="258" customFormat="false" ht="15" hidden="false" customHeight="false" outlineLevel="0" collapsed="false">
      <c r="A258" s="81" t="n">
        <v>45535</v>
      </c>
      <c r="B258" s="82" t="n">
        <v>2024</v>
      </c>
      <c r="C258" s="82" t="n">
        <v>8</v>
      </c>
      <c r="D258" s="83" t="s">
        <v>139</v>
      </c>
      <c r="E258" s="83" t="s">
        <v>138</v>
      </c>
      <c r="F258" s="83" t="s">
        <v>135</v>
      </c>
      <c r="G258" s="76" t="n">
        <v>659</v>
      </c>
      <c r="H258" s="83" t="s">
        <v>989</v>
      </c>
    </row>
    <row r="259" customFormat="false" ht="15" hidden="false" customHeight="false" outlineLevel="0" collapsed="false">
      <c r="A259" s="81" t="n">
        <v>45535</v>
      </c>
      <c r="B259" s="82" t="n">
        <v>2024</v>
      </c>
      <c r="C259" s="82" t="n">
        <v>8</v>
      </c>
      <c r="D259" s="83" t="s">
        <v>140</v>
      </c>
      <c r="E259" s="83" t="s">
        <v>138</v>
      </c>
      <c r="F259" s="83" t="s">
        <v>135</v>
      </c>
      <c r="G259" s="76" t="n">
        <v>314</v>
      </c>
      <c r="H259" s="83" t="s">
        <v>990</v>
      </c>
    </row>
    <row r="260" customFormat="false" ht="15" hidden="false" customHeight="false" outlineLevel="0" collapsed="false">
      <c r="A260" s="81" t="n">
        <v>45535</v>
      </c>
      <c r="B260" s="82" t="n">
        <v>2024</v>
      </c>
      <c r="C260" s="82" t="n">
        <v>8</v>
      </c>
      <c r="D260" s="83" t="s">
        <v>141</v>
      </c>
      <c r="E260" s="83" t="s">
        <v>138</v>
      </c>
      <c r="F260" s="83" t="s">
        <v>135</v>
      </c>
      <c r="G260" s="76" t="n">
        <v>549</v>
      </c>
      <c r="H260" s="83" t="s">
        <v>991</v>
      </c>
    </row>
    <row r="261" customFormat="false" ht="15" hidden="false" customHeight="false" outlineLevel="0" collapsed="false">
      <c r="A261" s="81" t="n">
        <v>45535</v>
      </c>
      <c r="B261" s="82" t="n">
        <v>2024</v>
      </c>
      <c r="C261" s="82" t="n">
        <v>8</v>
      </c>
      <c r="D261" s="83" t="s">
        <v>142</v>
      </c>
      <c r="E261" s="83" t="s">
        <v>138</v>
      </c>
      <c r="F261" s="83" t="s">
        <v>135</v>
      </c>
      <c r="G261" s="76" t="n">
        <v>212</v>
      </c>
      <c r="H261" s="83" t="s">
        <v>992</v>
      </c>
    </row>
    <row r="262" customFormat="false" ht="15" hidden="false" customHeight="false" outlineLevel="0" collapsed="false">
      <c r="A262" s="81" t="n">
        <v>45535</v>
      </c>
      <c r="B262" s="82" t="n">
        <v>2024</v>
      </c>
      <c r="C262" s="82" t="n">
        <v>8</v>
      </c>
      <c r="D262" s="83" t="s">
        <v>143</v>
      </c>
      <c r="E262" s="83" t="s">
        <v>138</v>
      </c>
      <c r="F262" s="83" t="s">
        <v>135</v>
      </c>
      <c r="G262" s="76" t="n">
        <v>446</v>
      </c>
      <c r="H262" s="83" t="s">
        <v>993</v>
      </c>
    </row>
    <row r="263" customFormat="false" ht="15" hidden="false" customHeight="false" outlineLevel="0" collapsed="false">
      <c r="A263" s="81" t="n">
        <v>45535</v>
      </c>
      <c r="B263" s="82" t="n">
        <v>2024</v>
      </c>
      <c r="C263" s="82" t="n">
        <v>8</v>
      </c>
      <c r="D263" s="83" t="s">
        <v>144</v>
      </c>
      <c r="E263" s="83" t="s">
        <v>138</v>
      </c>
      <c r="F263" s="83" t="s">
        <v>135</v>
      </c>
      <c r="G263" s="76" t="n">
        <v>361</v>
      </c>
      <c r="H263" s="83" t="s">
        <v>994</v>
      </c>
    </row>
    <row r="264" customFormat="false" ht="15" hidden="false" customHeight="false" outlineLevel="0" collapsed="false">
      <c r="A264" s="81" t="n">
        <v>45535</v>
      </c>
      <c r="B264" s="82" t="n">
        <v>2024</v>
      </c>
      <c r="C264" s="82" t="n">
        <v>8</v>
      </c>
      <c r="D264" s="83" t="s">
        <v>145</v>
      </c>
      <c r="E264" s="83" t="s">
        <v>138</v>
      </c>
      <c r="F264" s="83" t="s">
        <v>131</v>
      </c>
      <c r="G264" s="76" t="n">
        <v>113</v>
      </c>
      <c r="H264" s="83" t="s">
        <v>995</v>
      </c>
    </row>
    <row r="265" customFormat="false" ht="15" hidden="false" customHeight="false" outlineLevel="0" collapsed="false">
      <c r="A265" s="81" t="n">
        <v>45565</v>
      </c>
      <c r="B265" s="82" t="n">
        <v>2024</v>
      </c>
      <c r="C265" s="82" t="n">
        <v>9</v>
      </c>
      <c r="D265" s="83" t="s">
        <v>129</v>
      </c>
      <c r="E265" s="83" t="s">
        <v>130</v>
      </c>
      <c r="F265" s="83" t="s">
        <v>131</v>
      </c>
      <c r="G265" s="76" t="n">
        <v>1198</v>
      </c>
      <c r="H265" s="83" t="s">
        <v>996</v>
      </c>
    </row>
    <row r="266" customFormat="false" ht="15" hidden="false" customHeight="false" outlineLevel="0" collapsed="false">
      <c r="A266" s="81" t="n">
        <v>45565</v>
      </c>
      <c r="B266" s="82" t="n">
        <v>2024</v>
      </c>
      <c r="C266" s="82" t="n">
        <v>9</v>
      </c>
      <c r="D266" s="83" t="s">
        <v>132</v>
      </c>
      <c r="E266" s="83" t="s">
        <v>130</v>
      </c>
      <c r="F266" s="83" t="s">
        <v>131</v>
      </c>
      <c r="G266" s="76" t="n">
        <v>693</v>
      </c>
      <c r="H266" s="83" t="s">
        <v>997</v>
      </c>
    </row>
    <row r="267" customFormat="false" ht="15" hidden="false" customHeight="false" outlineLevel="0" collapsed="false">
      <c r="A267" s="81" t="n">
        <v>45565</v>
      </c>
      <c r="B267" s="82" t="n">
        <v>2024</v>
      </c>
      <c r="C267" s="82" t="n">
        <v>9</v>
      </c>
      <c r="D267" s="83" t="s">
        <v>133</v>
      </c>
      <c r="E267" s="83" t="s">
        <v>130</v>
      </c>
      <c r="F267" s="83" t="s">
        <v>131</v>
      </c>
      <c r="G267" s="76" t="n">
        <v>1825</v>
      </c>
      <c r="H267" s="83" t="s">
        <v>998</v>
      </c>
    </row>
    <row r="268" customFormat="false" ht="15" hidden="false" customHeight="false" outlineLevel="0" collapsed="false">
      <c r="A268" s="81" t="n">
        <v>45565</v>
      </c>
      <c r="B268" s="82" t="n">
        <v>2024</v>
      </c>
      <c r="C268" s="82" t="n">
        <v>9</v>
      </c>
      <c r="D268" s="83" t="s">
        <v>134</v>
      </c>
      <c r="E268" s="83" t="s">
        <v>130</v>
      </c>
      <c r="F268" s="83" t="s">
        <v>135</v>
      </c>
      <c r="G268" s="76" t="n">
        <v>1967</v>
      </c>
      <c r="H268" s="83" t="s">
        <v>999</v>
      </c>
    </row>
    <row r="269" customFormat="false" ht="15" hidden="false" customHeight="false" outlineLevel="0" collapsed="false">
      <c r="A269" s="81" t="n">
        <v>45565</v>
      </c>
      <c r="B269" s="82" t="n">
        <v>2024</v>
      </c>
      <c r="C269" s="82" t="n">
        <v>9</v>
      </c>
      <c r="D269" s="83" t="s">
        <v>136</v>
      </c>
      <c r="E269" s="83" t="s">
        <v>130</v>
      </c>
      <c r="F269" s="83" t="s">
        <v>135</v>
      </c>
      <c r="G269" s="76" t="n">
        <v>2606</v>
      </c>
      <c r="H269" s="83" t="s">
        <v>1000</v>
      </c>
    </row>
    <row r="270" customFormat="false" ht="15" hidden="false" customHeight="false" outlineLevel="0" collapsed="false">
      <c r="A270" s="81" t="n">
        <v>45565</v>
      </c>
      <c r="B270" s="82" t="n">
        <v>2024</v>
      </c>
      <c r="C270" s="82" t="n">
        <v>9</v>
      </c>
      <c r="D270" s="83" t="s">
        <v>137</v>
      </c>
      <c r="E270" s="83" t="s">
        <v>138</v>
      </c>
      <c r="F270" s="83" t="s">
        <v>135</v>
      </c>
      <c r="G270" s="76" t="n">
        <v>2440</v>
      </c>
      <c r="H270" s="83" t="s">
        <v>1001</v>
      </c>
    </row>
    <row r="271" customFormat="false" ht="15" hidden="false" customHeight="false" outlineLevel="0" collapsed="false">
      <c r="A271" s="81" t="n">
        <v>45565</v>
      </c>
      <c r="B271" s="82" t="n">
        <v>2024</v>
      </c>
      <c r="C271" s="82" t="n">
        <v>9</v>
      </c>
      <c r="D271" s="83" t="s">
        <v>139</v>
      </c>
      <c r="E271" s="83" t="s">
        <v>138</v>
      </c>
      <c r="F271" s="83" t="s">
        <v>135</v>
      </c>
      <c r="G271" s="76" t="n">
        <v>656</v>
      </c>
      <c r="H271" s="83" t="s">
        <v>1002</v>
      </c>
    </row>
    <row r="272" customFormat="false" ht="15" hidden="false" customHeight="false" outlineLevel="0" collapsed="false">
      <c r="A272" s="81" t="n">
        <v>45565</v>
      </c>
      <c r="B272" s="82" t="n">
        <v>2024</v>
      </c>
      <c r="C272" s="82" t="n">
        <v>9</v>
      </c>
      <c r="D272" s="83" t="s">
        <v>140</v>
      </c>
      <c r="E272" s="83" t="s">
        <v>138</v>
      </c>
      <c r="F272" s="83" t="s">
        <v>135</v>
      </c>
      <c r="G272" s="76" t="n">
        <v>309</v>
      </c>
      <c r="H272" s="83" t="s">
        <v>1003</v>
      </c>
    </row>
    <row r="273" customFormat="false" ht="15" hidden="false" customHeight="false" outlineLevel="0" collapsed="false">
      <c r="A273" s="81" t="n">
        <v>45565</v>
      </c>
      <c r="B273" s="82" t="n">
        <v>2024</v>
      </c>
      <c r="C273" s="82" t="n">
        <v>9</v>
      </c>
      <c r="D273" s="83" t="s">
        <v>141</v>
      </c>
      <c r="E273" s="83" t="s">
        <v>138</v>
      </c>
      <c r="F273" s="83" t="s">
        <v>135</v>
      </c>
      <c r="G273" s="76" t="n">
        <v>537</v>
      </c>
      <c r="H273" s="83" t="s">
        <v>1004</v>
      </c>
    </row>
    <row r="274" customFormat="false" ht="15" hidden="false" customHeight="false" outlineLevel="0" collapsed="false">
      <c r="A274" s="81" t="n">
        <v>45565</v>
      </c>
      <c r="B274" s="82" t="n">
        <v>2024</v>
      </c>
      <c r="C274" s="82" t="n">
        <v>9</v>
      </c>
      <c r="D274" s="83" t="s">
        <v>142</v>
      </c>
      <c r="E274" s="83" t="s">
        <v>138</v>
      </c>
      <c r="F274" s="83" t="s">
        <v>135</v>
      </c>
      <c r="G274" s="76" t="n">
        <v>198</v>
      </c>
      <c r="H274" s="83" t="s">
        <v>1005</v>
      </c>
    </row>
    <row r="275" customFormat="false" ht="15" hidden="false" customHeight="false" outlineLevel="0" collapsed="false">
      <c r="A275" s="81" t="n">
        <v>45565</v>
      </c>
      <c r="B275" s="82" t="n">
        <v>2024</v>
      </c>
      <c r="C275" s="82" t="n">
        <v>9</v>
      </c>
      <c r="D275" s="83" t="s">
        <v>143</v>
      </c>
      <c r="E275" s="83" t="s">
        <v>138</v>
      </c>
      <c r="F275" s="83" t="s">
        <v>135</v>
      </c>
      <c r="G275" s="76" t="n">
        <v>439</v>
      </c>
      <c r="H275" s="83" t="s">
        <v>1006</v>
      </c>
    </row>
    <row r="276" customFormat="false" ht="15" hidden="false" customHeight="false" outlineLevel="0" collapsed="false">
      <c r="A276" s="81" t="n">
        <v>45565</v>
      </c>
      <c r="B276" s="82" t="n">
        <v>2024</v>
      </c>
      <c r="C276" s="82" t="n">
        <v>9</v>
      </c>
      <c r="D276" s="83" t="s">
        <v>144</v>
      </c>
      <c r="E276" s="83" t="s">
        <v>138</v>
      </c>
      <c r="F276" s="83" t="s">
        <v>135</v>
      </c>
      <c r="G276" s="76" t="n">
        <v>351</v>
      </c>
      <c r="H276" s="83" t="s">
        <v>1007</v>
      </c>
    </row>
    <row r="277" customFormat="false" ht="15" hidden="false" customHeight="false" outlineLevel="0" collapsed="false">
      <c r="A277" s="81" t="n">
        <v>45565</v>
      </c>
      <c r="B277" s="82" t="n">
        <v>2024</v>
      </c>
      <c r="C277" s="82" t="n">
        <v>9</v>
      </c>
      <c r="D277" s="83" t="s">
        <v>145</v>
      </c>
      <c r="E277" s="83" t="s">
        <v>138</v>
      </c>
      <c r="F277" s="83" t="s">
        <v>131</v>
      </c>
      <c r="G277" s="76" t="n">
        <v>117</v>
      </c>
      <c r="H277" s="83" t="s">
        <v>1008</v>
      </c>
    </row>
    <row r="278" customFormat="false" ht="15" hidden="false" customHeight="false" outlineLevel="0" collapsed="false">
      <c r="A278" s="81" t="n">
        <v>45596</v>
      </c>
      <c r="B278" s="82" t="n">
        <v>2024</v>
      </c>
      <c r="C278" s="82" t="n">
        <v>10</v>
      </c>
      <c r="D278" s="83" t="s">
        <v>129</v>
      </c>
      <c r="E278" s="83" t="s">
        <v>130</v>
      </c>
      <c r="F278" s="83" t="s">
        <v>131</v>
      </c>
      <c r="G278" s="76" t="n">
        <v>1204</v>
      </c>
      <c r="H278" s="83" t="s">
        <v>1009</v>
      </c>
    </row>
    <row r="279" customFormat="false" ht="15" hidden="false" customHeight="false" outlineLevel="0" collapsed="false">
      <c r="A279" s="81" t="n">
        <v>45596</v>
      </c>
      <c r="B279" s="82" t="n">
        <v>2024</v>
      </c>
      <c r="C279" s="82" t="n">
        <v>10</v>
      </c>
      <c r="D279" s="83" t="s">
        <v>132</v>
      </c>
      <c r="E279" s="83" t="s">
        <v>130</v>
      </c>
      <c r="F279" s="83" t="s">
        <v>131</v>
      </c>
      <c r="G279" s="76" t="n">
        <v>862</v>
      </c>
      <c r="H279" s="83" t="s">
        <v>1010</v>
      </c>
    </row>
    <row r="280" customFormat="false" ht="15" hidden="false" customHeight="false" outlineLevel="0" collapsed="false">
      <c r="A280" s="81" t="n">
        <v>45596</v>
      </c>
      <c r="B280" s="82" t="n">
        <v>2024</v>
      </c>
      <c r="C280" s="82" t="n">
        <v>10</v>
      </c>
      <c r="D280" s="83" t="s">
        <v>133</v>
      </c>
      <c r="E280" s="83" t="s">
        <v>130</v>
      </c>
      <c r="F280" s="83" t="s">
        <v>131</v>
      </c>
      <c r="G280" s="76" t="n">
        <v>1796</v>
      </c>
      <c r="H280" s="83" t="s">
        <v>1011</v>
      </c>
    </row>
    <row r="281" customFormat="false" ht="15" hidden="false" customHeight="false" outlineLevel="0" collapsed="false">
      <c r="A281" s="81" t="n">
        <v>45596</v>
      </c>
      <c r="B281" s="82" t="n">
        <v>2024</v>
      </c>
      <c r="C281" s="82" t="n">
        <v>10</v>
      </c>
      <c r="D281" s="83" t="s">
        <v>134</v>
      </c>
      <c r="E281" s="83" t="s">
        <v>130</v>
      </c>
      <c r="F281" s="83" t="s">
        <v>135</v>
      </c>
      <c r="G281" s="76" t="n">
        <v>1973</v>
      </c>
      <c r="H281" s="83" t="s">
        <v>1012</v>
      </c>
    </row>
    <row r="282" customFormat="false" ht="15" hidden="false" customHeight="false" outlineLevel="0" collapsed="false">
      <c r="A282" s="81" t="n">
        <v>45596</v>
      </c>
      <c r="B282" s="82" t="n">
        <v>2024</v>
      </c>
      <c r="C282" s="82" t="n">
        <v>10</v>
      </c>
      <c r="D282" s="83" t="s">
        <v>136</v>
      </c>
      <c r="E282" s="83" t="s">
        <v>130</v>
      </c>
      <c r="F282" s="83" t="s">
        <v>135</v>
      </c>
      <c r="G282" s="76" t="n">
        <v>2608</v>
      </c>
      <c r="H282" s="83" t="s">
        <v>1013</v>
      </c>
    </row>
    <row r="283" customFormat="false" ht="15" hidden="false" customHeight="false" outlineLevel="0" collapsed="false">
      <c r="A283" s="81" t="n">
        <v>45596</v>
      </c>
      <c r="B283" s="82" t="n">
        <v>2024</v>
      </c>
      <c r="C283" s="82" t="n">
        <v>10</v>
      </c>
      <c r="D283" s="83" t="s">
        <v>137</v>
      </c>
      <c r="E283" s="83" t="s">
        <v>138</v>
      </c>
      <c r="F283" s="83" t="s">
        <v>135</v>
      </c>
      <c r="G283" s="76" t="n">
        <v>2376</v>
      </c>
      <c r="H283" s="83" t="s">
        <v>1014</v>
      </c>
    </row>
    <row r="284" customFormat="false" ht="15" hidden="false" customHeight="false" outlineLevel="0" collapsed="false">
      <c r="A284" s="81" t="n">
        <v>45596</v>
      </c>
      <c r="B284" s="82" t="n">
        <v>2024</v>
      </c>
      <c r="C284" s="82" t="n">
        <v>10</v>
      </c>
      <c r="D284" s="83" t="s">
        <v>139</v>
      </c>
      <c r="E284" s="83" t="s">
        <v>138</v>
      </c>
      <c r="F284" s="83" t="s">
        <v>135</v>
      </c>
      <c r="G284" s="76" t="n">
        <v>652</v>
      </c>
      <c r="H284" s="83" t="s">
        <v>1015</v>
      </c>
    </row>
    <row r="285" customFormat="false" ht="15" hidden="false" customHeight="false" outlineLevel="0" collapsed="false">
      <c r="A285" s="81" t="n">
        <v>45596</v>
      </c>
      <c r="B285" s="82" t="n">
        <v>2024</v>
      </c>
      <c r="C285" s="82" t="n">
        <v>10</v>
      </c>
      <c r="D285" s="83" t="s">
        <v>140</v>
      </c>
      <c r="E285" s="83" t="s">
        <v>138</v>
      </c>
      <c r="F285" s="83" t="s">
        <v>135</v>
      </c>
      <c r="G285" s="76" t="n">
        <v>310</v>
      </c>
      <c r="H285" s="83" t="s">
        <v>1016</v>
      </c>
    </row>
    <row r="286" customFormat="false" ht="15" hidden="false" customHeight="false" outlineLevel="0" collapsed="false">
      <c r="A286" s="81" t="n">
        <v>45596</v>
      </c>
      <c r="B286" s="82" t="n">
        <v>2024</v>
      </c>
      <c r="C286" s="82" t="n">
        <v>10</v>
      </c>
      <c r="D286" s="83" t="s">
        <v>141</v>
      </c>
      <c r="E286" s="83" t="s">
        <v>138</v>
      </c>
      <c r="F286" s="83" t="s">
        <v>135</v>
      </c>
      <c r="G286" s="76" t="n">
        <v>547</v>
      </c>
      <c r="H286" s="83" t="s">
        <v>1017</v>
      </c>
    </row>
    <row r="287" customFormat="false" ht="15" hidden="false" customHeight="false" outlineLevel="0" collapsed="false">
      <c r="A287" s="81" t="n">
        <v>45596</v>
      </c>
      <c r="B287" s="82" t="n">
        <v>2024</v>
      </c>
      <c r="C287" s="82" t="n">
        <v>10</v>
      </c>
      <c r="D287" s="83" t="s">
        <v>142</v>
      </c>
      <c r="E287" s="83" t="s">
        <v>138</v>
      </c>
      <c r="F287" s="83" t="s">
        <v>135</v>
      </c>
      <c r="G287" s="76" t="n">
        <v>220</v>
      </c>
      <c r="H287" s="83" t="s">
        <v>1018</v>
      </c>
    </row>
    <row r="288" customFormat="false" ht="15" hidden="false" customHeight="false" outlineLevel="0" collapsed="false">
      <c r="A288" s="81" t="n">
        <v>45596</v>
      </c>
      <c r="B288" s="82" t="n">
        <v>2024</v>
      </c>
      <c r="C288" s="82" t="n">
        <v>10</v>
      </c>
      <c r="D288" s="83" t="s">
        <v>143</v>
      </c>
      <c r="E288" s="83" t="s">
        <v>138</v>
      </c>
      <c r="F288" s="83" t="s">
        <v>135</v>
      </c>
      <c r="G288" s="76" t="n">
        <v>438</v>
      </c>
      <c r="H288" s="83" t="s">
        <v>1019</v>
      </c>
    </row>
    <row r="289" customFormat="false" ht="15" hidden="false" customHeight="false" outlineLevel="0" collapsed="false">
      <c r="A289" s="81" t="n">
        <v>45596</v>
      </c>
      <c r="B289" s="82" t="n">
        <v>2024</v>
      </c>
      <c r="C289" s="82" t="n">
        <v>10</v>
      </c>
      <c r="D289" s="83" t="s">
        <v>144</v>
      </c>
      <c r="E289" s="83" t="s">
        <v>138</v>
      </c>
      <c r="F289" s="83" t="s">
        <v>135</v>
      </c>
      <c r="G289" s="76" t="n">
        <v>361</v>
      </c>
      <c r="H289" s="83" t="s">
        <v>1020</v>
      </c>
    </row>
    <row r="290" customFormat="false" ht="15" hidden="false" customHeight="false" outlineLevel="0" collapsed="false">
      <c r="A290" s="81" t="n">
        <v>45596</v>
      </c>
      <c r="B290" s="82" t="n">
        <v>2024</v>
      </c>
      <c r="C290" s="82" t="n">
        <v>10</v>
      </c>
      <c r="D290" s="83" t="s">
        <v>145</v>
      </c>
      <c r="E290" s="83" t="s">
        <v>138</v>
      </c>
      <c r="F290" s="83" t="s">
        <v>131</v>
      </c>
      <c r="G290" s="76" t="n">
        <v>111</v>
      </c>
      <c r="H290" s="83" t="s">
        <v>1021</v>
      </c>
    </row>
    <row r="291" customFormat="false" ht="15" hidden="false" customHeight="false" outlineLevel="0" collapsed="false">
      <c r="A291" s="81" t="n">
        <v>45626</v>
      </c>
      <c r="B291" s="82" t="n">
        <v>2024</v>
      </c>
      <c r="C291" s="82" t="n">
        <v>11</v>
      </c>
      <c r="D291" s="83" t="s">
        <v>129</v>
      </c>
      <c r="E291" s="83" t="s">
        <v>130</v>
      </c>
      <c r="F291" s="83" t="s">
        <v>131</v>
      </c>
      <c r="G291" s="76" t="n">
        <v>1240</v>
      </c>
      <c r="H291" s="83" t="s">
        <v>1022</v>
      </c>
    </row>
    <row r="292" customFormat="false" ht="15" hidden="false" customHeight="false" outlineLevel="0" collapsed="false">
      <c r="A292" s="81" t="n">
        <v>45626</v>
      </c>
      <c r="B292" s="82" t="n">
        <v>2024</v>
      </c>
      <c r="C292" s="82" t="n">
        <v>11</v>
      </c>
      <c r="D292" s="83" t="s">
        <v>132</v>
      </c>
      <c r="E292" s="83" t="s">
        <v>130</v>
      </c>
      <c r="F292" s="83" t="s">
        <v>131</v>
      </c>
      <c r="G292" s="76" t="n">
        <v>893</v>
      </c>
      <c r="H292" s="83" t="s">
        <v>1023</v>
      </c>
    </row>
    <row r="293" customFormat="false" ht="15" hidden="false" customHeight="false" outlineLevel="0" collapsed="false">
      <c r="A293" s="81" t="n">
        <v>45626</v>
      </c>
      <c r="B293" s="82" t="n">
        <v>2024</v>
      </c>
      <c r="C293" s="82" t="n">
        <v>11</v>
      </c>
      <c r="D293" s="83" t="s">
        <v>133</v>
      </c>
      <c r="E293" s="83" t="s">
        <v>130</v>
      </c>
      <c r="F293" s="83" t="s">
        <v>131</v>
      </c>
      <c r="G293" s="76" t="n">
        <v>1920</v>
      </c>
      <c r="H293" s="83" t="s">
        <v>1024</v>
      </c>
    </row>
    <row r="294" customFormat="false" ht="15" hidden="false" customHeight="false" outlineLevel="0" collapsed="false">
      <c r="A294" s="81" t="n">
        <v>45626</v>
      </c>
      <c r="B294" s="82" t="n">
        <v>2024</v>
      </c>
      <c r="C294" s="82" t="n">
        <v>11</v>
      </c>
      <c r="D294" s="83" t="s">
        <v>134</v>
      </c>
      <c r="E294" s="83" t="s">
        <v>130</v>
      </c>
      <c r="F294" s="83" t="s">
        <v>135</v>
      </c>
      <c r="G294" s="76" t="n">
        <v>1986</v>
      </c>
      <c r="H294" s="83" t="s">
        <v>1025</v>
      </c>
    </row>
    <row r="295" customFormat="false" ht="15" hidden="false" customHeight="false" outlineLevel="0" collapsed="false">
      <c r="A295" s="81" t="n">
        <v>45626</v>
      </c>
      <c r="B295" s="82" t="n">
        <v>2024</v>
      </c>
      <c r="C295" s="82" t="n">
        <v>11</v>
      </c>
      <c r="D295" s="83" t="s">
        <v>136</v>
      </c>
      <c r="E295" s="83" t="s">
        <v>130</v>
      </c>
      <c r="F295" s="83" t="s">
        <v>135</v>
      </c>
      <c r="G295" s="76" t="n">
        <v>2634</v>
      </c>
      <c r="H295" s="83" t="s">
        <v>1026</v>
      </c>
    </row>
    <row r="296" customFormat="false" ht="15" hidden="false" customHeight="false" outlineLevel="0" collapsed="false">
      <c r="A296" s="81" t="n">
        <v>45626</v>
      </c>
      <c r="B296" s="82" t="n">
        <v>2024</v>
      </c>
      <c r="C296" s="82" t="n">
        <v>11</v>
      </c>
      <c r="D296" s="83" t="s">
        <v>137</v>
      </c>
      <c r="E296" s="83" t="s">
        <v>138</v>
      </c>
      <c r="F296" s="83" t="s">
        <v>135</v>
      </c>
      <c r="G296" s="76" t="n">
        <v>2412</v>
      </c>
      <c r="H296" s="83" t="s">
        <v>1027</v>
      </c>
    </row>
    <row r="297" customFormat="false" ht="15" hidden="false" customHeight="false" outlineLevel="0" collapsed="false">
      <c r="A297" s="81" t="n">
        <v>45626</v>
      </c>
      <c r="B297" s="82" t="n">
        <v>2024</v>
      </c>
      <c r="C297" s="82" t="n">
        <v>11</v>
      </c>
      <c r="D297" s="83" t="s">
        <v>139</v>
      </c>
      <c r="E297" s="83" t="s">
        <v>138</v>
      </c>
      <c r="F297" s="83" t="s">
        <v>135</v>
      </c>
      <c r="G297" s="76" t="n">
        <v>643</v>
      </c>
      <c r="H297" s="83" t="s">
        <v>1028</v>
      </c>
    </row>
    <row r="298" customFormat="false" ht="15" hidden="false" customHeight="false" outlineLevel="0" collapsed="false">
      <c r="A298" s="81" t="n">
        <v>45626</v>
      </c>
      <c r="B298" s="82" t="n">
        <v>2024</v>
      </c>
      <c r="C298" s="82" t="n">
        <v>11</v>
      </c>
      <c r="D298" s="83" t="s">
        <v>140</v>
      </c>
      <c r="E298" s="83" t="s">
        <v>138</v>
      </c>
      <c r="F298" s="83" t="s">
        <v>135</v>
      </c>
      <c r="G298" s="76" t="n">
        <v>318</v>
      </c>
      <c r="H298" s="83" t="s">
        <v>1029</v>
      </c>
    </row>
    <row r="299" customFormat="false" ht="15" hidden="false" customHeight="false" outlineLevel="0" collapsed="false">
      <c r="A299" s="81" t="n">
        <v>45626</v>
      </c>
      <c r="B299" s="82" t="n">
        <v>2024</v>
      </c>
      <c r="C299" s="82" t="n">
        <v>11</v>
      </c>
      <c r="D299" s="83" t="s">
        <v>141</v>
      </c>
      <c r="E299" s="83" t="s">
        <v>138</v>
      </c>
      <c r="F299" s="83" t="s">
        <v>135</v>
      </c>
      <c r="G299" s="76" t="n">
        <v>556</v>
      </c>
      <c r="H299" s="83" t="s">
        <v>1030</v>
      </c>
    </row>
    <row r="300" customFormat="false" ht="15" hidden="false" customHeight="false" outlineLevel="0" collapsed="false">
      <c r="A300" s="81" t="n">
        <v>45626</v>
      </c>
      <c r="B300" s="82" t="n">
        <v>2024</v>
      </c>
      <c r="C300" s="82" t="n">
        <v>11</v>
      </c>
      <c r="D300" s="83" t="s">
        <v>142</v>
      </c>
      <c r="E300" s="83" t="s">
        <v>138</v>
      </c>
      <c r="F300" s="83" t="s">
        <v>135</v>
      </c>
      <c r="G300" s="76" t="n">
        <v>242</v>
      </c>
      <c r="H300" s="83" t="s">
        <v>1031</v>
      </c>
    </row>
    <row r="301" customFormat="false" ht="15" hidden="false" customHeight="false" outlineLevel="0" collapsed="false">
      <c r="A301" s="81" t="n">
        <v>45626</v>
      </c>
      <c r="B301" s="82" t="n">
        <v>2024</v>
      </c>
      <c r="C301" s="82" t="n">
        <v>11</v>
      </c>
      <c r="D301" s="83" t="s">
        <v>143</v>
      </c>
      <c r="E301" s="83" t="s">
        <v>138</v>
      </c>
      <c r="F301" s="83" t="s">
        <v>135</v>
      </c>
      <c r="G301" s="76" t="n">
        <v>443</v>
      </c>
      <c r="H301" s="83" t="s">
        <v>1032</v>
      </c>
    </row>
    <row r="302" customFormat="false" ht="15" hidden="false" customHeight="false" outlineLevel="0" collapsed="false">
      <c r="A302" s="81" t="n">
        <v>45626</v>
      </c>
      <c r="B302" s="82" t="n">
        <v>2024</v>
      </c>
      <c r="C302" s="82" t="n">
        <v>11</v>
      </c>
      <c r="D302" s="83" t="s">
        <v>144</v>
      </c>
      <c r="E302" s="83" t="s">
        <v>138</v>
      </c>
      <c r="F302" s="83" t="s">
        <v>135</v>
      </c>
      <c r="G302" s="76" t="n">
        <v>359</v>
      </c>
      <c r="H302" s="83" t="s">
        <v>1033</v>
      </c>
    </row>
    <row r="303" customFormat="false" ht="15" hidden="false" customHeight="false" outlineLevel="0" collapsed="false">
      <c r="A303" s="81" t="n">
        <v>45626</v>
      </c>
      <c r="B303" s="82" t="n">
        <v>2024</v>
      </c>
      <c r="C303" s="82" t="n">
        <v>11</v>
      </c>
      <c r="D303" s="83" t="s">
        <v>145</v>
      </c>
      <c r="E303" s="83" t="s">
        <v>138</v>
      </c>
      <c r="F303" s="83" t="s">
        <v>131</v>
      </c>
      <c r="G303" s="76" t="n">
        <v>117</v>
      </c>
      <c r="H303" s="83" t="s">
        <v>1034</v>
      </c>
    </row>
    <row r="304" customFormat="false" ht="15" hidden="false" customHeight="false" outlineLevel="0" collapsed="false">
      <c r="A304" s="81" t="n">
        <v>45657</v>
      </c>
      <c r="B304" s="82" t="n">
        <v>2024</v>
      </c>
      <c r="C304" s="82" t="n">
        <v>12</v>
      </c>
      <c r="D304" s="83" t="s">
        <v>129</v>
      </c>
      <c r="E304" s="83" t="s">
        <v>130</v>
      </c>
      <c r="F304" s="83" t="s">
        <v>131</v>
      </c>
      <c r="G304" s="76" t="n">
        <v>1428</v>
      </c>
      <c r="H304" s="83" t="s">
        <v>1035</v>
      </c>
    </row>
    <row r="305" customFormat="false" ht="15" hidden="false" customHeight="false" outlineLevel="0" collapsed="false">
      <c r="A305" s="81" t="n">
        <v>45657</v>
      </c>
      <c r="B305" s="82" t="n">
        <v>2024</v>
      </c>
      <c r="C305" s="82" t="n">
        <v>12</v>
      </c>
      <c r="D305" s="83" t="s">
        <v>132</v>
      </c>
      <c r="E305" s="83" t="s">
        <v>130</v>
      </c>
      <c r="F305" s="83" t="s">
        <v>131</v>
      </c>
      <c r="G305" s="76" t="n">
        <v>978</v>
      </c>
      <c r="H305" s="83" t="s">
        <v>1036</v>
      </c>
    </row>
    <row r="306" customFormat="false" ht="15" hidden="false" customHeight="false" outlineLevel="0" collapsed="false">
      <c r="A306" s="81" t="n">
        <v>45657</v>
      </c>
      <c r="B306" s="82" t="n">
        <v>2024</v>
      </c>
      <c r="C306" s="82" t="n">
        <v>12</v>
      </c>
      <c r="D306" s="83" t="s">
        <v>133</v>
      </c>
      <c r="E306" s="83" t="s">
        <v>130</v>
      </c>
      <c r="F306" s="83" t="s">
        <v>131</v>
      </c>
      <c r="G306" s="76" t="n">
        <v>2143</v>
      </c>
      <c r="H306" s="83" t="s">
        <v>1037</v>
      </c>
    </row>
    <row r="307" customFormat="false" ht="15" hidden="false" customHeight="false" outlineLevel="0" collapsed="false">
      <c r="A307" s="81" t="n">
        <v>45657</v>
      </c>
      <c r="B307" s="82" t="n">
        <v>2024</v>
      </c>
      <c r="C307" s="82" t="n">
        <v>12</v>
      </c>
      <c r="D307" s="83" t="s">
        <v>134</v>
      </c>
      <c r="E307" s="83" t="s">
        <v>130</v>
      </c>
      <c r="F307" s="83" t="s">
        <v>135</v>
      </c>
      <c r="G307" s="76" t="n">
        <v>1983</v>
      </c>
      <c r="H307" s="83" t="s">
        <v>1038</v>
      </c>
    </row>
    <row r="308" customFormat="false" ht="15" hidden="false" customHeight="false" outlineLevel="0" collapsed="false">
      <c r="A308" s="81" t="n">
        <v>45657</v>
      </c>
      <c r="B308" s="82" t="n">
        <v>2024</v>
      </c>
      <c r="C308" s="82" t="n">
        <v>12</v>
      </c>
      <c r="D308" s="83" t="s">
        <v>136</v>
      </c>
      <c r="E308" s="83" t="s">
        <v>130</v>
      </c>
      <c r="F308" s="83" t="s">
        <v>135</v>
      </c>
      <c r="G308" s="76" t="n">
        <v>2671</v>
      </c>
      <c r="H308" s="83" t="s">
        <v>1039</v>
      </c>
    </row>
    <row r="309" customFormat="false" ht="15" hidden="false" customHeight="false" outlineLevel="0" collapsed="false">
      <c r="A309" s="81" t="n">
        <v>45657</v>
      </c>
      <c r="B309" s="82" t="n">
        <v>2024</v>
      </c>
      <c r="C309" s="82" t="n">
        <v>12</v>
      </c>
      <c r="D309" s="83" t="s">
        <v>137</v>
      </c>
      <c r="E309" s="83" t="s">
        <v>138</v>
      </c>
      <c r="F309" s="83" t="s">
        <v>135</v>
      </c>
      <c r="G309" s="76" t="n">
        <v>2436</v>
      </c>
      <c r="H309" s="83" t="s">
        <v>1040</v>
      </c>
    </row>
    <row r="310" customFormat="false" ht="15" hidden="false" customHeight="false" outlineLevel="0" collapsed="false">
      <c r="A310" s="81" t="n">
        <v>45657</v>
      </c>
      <c r="B310" s="82" t="n">
        <v>2024</v>
      </c>
      <c r="C310" s="82" t="n">
        <v>12</v>
      </c>
      <c r="D310" s="83" t="s">
        <v>139</v>
      </c>
      <c r="E310" s="83" t="s">
        <v>138</v>
      </c>
      <c r="F310" s="83" t="s">
        <v>135</v>
      </c>
      <c r="G310" s="76" t="n">
        <v>650</v>
      </c>
      <c r="H310" s="83" t="s">
        <v>1041</v>
      </c>
    </row>
    <row r="311" customFormat="false" ht="15" hidden="false" customHeight="false" outlineLevel="0" collapsed="false">
      <c r="A311" s="81" t="n">
        <v>45657</v>
      </c>
      <c r="B311" s="82" t="n">
        <v>2024</v>
      </c>
      <c r="C311" s="82" t="n">
        <v>12</v>
      </c>
      <c r="D311" s="83" t="s">
        <v>140</v>
      </c>
      <c r="E311" s="83" t="s">
        <v>138</v>
      </c>
      <c r="F311" s="83" t="s">
        <v>135</v>
      </c>
      <c r="G311" s="76" t="n">
        <v>320</v>
      </c>
      <c r="H311" s="83" t="s">
        <v>1042</v>
      </c>
    </row>
    <row r="312" customFormat="false" ht="15" hidden="false" customHeight="false" outlineLevel="0" collapsed="false">
      <c r="A312" s="81" t="n">
        <v>45657</v>
      </c>
      <c r="B312" s="82" t="n">
        <v>2024</v>
      </c>
      <c r="C312" s="82" t="n">
        <v>12</v>
      </c>
      <c r="D312" s="83" t="s">
        <v>141</v>
      </c>
      <c r="E312" s="83" t="s">
        <v>138</v>
      </c>
      <c r="F312" s="83" t="s">
        <v>135</v>
      </c>
      <c r="G312" s="76" t="n">
        <v>555</v>
      </c>
      <c r="H312" s="83" t="s">
        <v>1043</v>
      </c>
    </row>
    <row r="313" customFormat="false" ht="15" hidden="false" customHeight="false" outlineLevel="0" collapsed="false">
      <c r="A313" s="81" t="n">
        <v>45657</v>
      </c>
      <c r="B313" s="82" t="n">
        <v>2024</v>
      </c>
      <c r="C313" s="82" t="n">
        <v>12</v>
      </c>
      <c r="D313" s="83" t="s">
        <v>142</v>
      </c>
      <c r="E313" s="83" t="s">
        <v>138</v>
      </c>
      <c r="F313" s="83" t="s">
        <v>135</v>
      </c>
      <c r="G313" s="76" t="n">
        <v>215</v>
      </c>
      <c r="H313" s="83" t="s">
        <v>1044</v>
      </c>
    </row>
    <row r="314" customFormat="false" ht="15" hidden="false" customHeight="false" outlineLevel="0" collapsed="false">
      <c r="A314" s="81" t="n">
        <v>45657</v>
      </c>
      <c r="B314" s="82" t="n">
        <v>2024</v>
      </c>
      <c r="C314" s="82" t="n">
        <v>12</v>
      </c>
      <c r="D314" s="83" t="s">
        <v>143</v>
      </c>
      <c r="E314" s="83" t="s">
        <v>138</v>
      </c>
      <c r="F314" s="83" t="s">
        <v>135</v>
      </c>
      <c r="G314" s="76" t="n">
        <v>448</v>
      </c>
      <c r="H314" s="83" t="s">
        <v>1045</v>
      </c>
    </row>
    <row r="315" customFormat="false" ht="15" hidden="false" customHeight="false" outlineLevel="0" collapsed="false">
      <c r="A315" s="81" t="n">
        <v>45657</v>
      </c>
      <c r="B315" s="82" t="n">
        <v>2024</v>
      </c>
      <c r="C315" s="82" t="n">
        <v>12</v>
      </c>
      <c r="D315" s="83" t="s">
        <v>144</v>
      </c>
      <c r="E315" s="83" t="s">
        <v>138</v>
      </c>
      <c r="F315" s="83" t="s">
        <v>135</v>
      </c>
      <c r="G315" s="76" t="n">
        <v>363</v>
      </c>
      <c r="H315" s="83" t="s">
        <v>1046</v>
      </c>
    </row>
    <row r="316" customFormat="false" ht="15" hidden="false" customHeight="false" outlineLevel="0" collapsed="false">
      <c r="A316" s="81" t="n">
        <v>45657</v>
      </c>
      <c r="B316" s="82" t="n">
        <v>2024</v>
      </c>
      <c r="C316" s="82" t="n">
        <v>12</v>
      </c>
      <c r="D316" s="83" t="s">
        <v>145</v>
      </c>
      <c r="E316" s="83" t="s">
        <v>138</v>
      </c>
      <c r="F316" s="83" t="s">
        <v>131</v>
      </c>
      <c r="G316" s="76" t="n">
        <v>132</v>
      </c>
      <c r="H316" s="83" t="s">
        <v>1047</v>
      </c>
    </row>
    <row r="317" customFormat="false" ht="15" hidden="false" customHeight="false" outlineLevel="0" collapsed="false">
      <c r="A317" s="81" t="n">
        <v>45688</v>
      </c>
      <c r="B317" s="82" t="n">
        <v>2025</v>
      </c>
      <c r="C317" s="82" t="n">
        <v>1</v>
      </c>
      <c r="D317" s="83" t="s">
        <v>129</v>
      </c>
      <c r="E317" s="83" t="s">
        <v>130</v>
      </c>
      <c r="F317" s="83" t="s">
        <v>131</v>
      </c>
      <c r="G317" s="76" t="n">
        <v>1171</v>
      </c>
      <c r="H317" s="83" t="s">
        <v>1048</v>
      </c>
    </row>
    <row r="318" customFormat="false" ht="15" hidden="false" customHeight="false" outlineLevel="0" collapsed="false">
      <c r="A318" s="81" t="n">
        <v>45688</v>
      </c>
      <c r="B318" s="82" t="n">
        <v>2025</v>
      </c>
      <c r="C318" s="82" t="n">
        <v>1</v>
      </c>
      <c r="D318" s="83" t="s">
        <v>132</v>
      </c>
      <c r="E318" s="83" t="s">
        <v>130</v>
      </c>
      <c r="F318" s="83" t="s">
        <v>131</v>
      </c>
      <c r="G318" s="76" t="n">
        <v>655</v>
      </c>
      <c r="H318" s="83" t="s">
        <v>1049</v>
      </c>
    </row>
    <row r="319" customFormat="false" ht="15" hidden="false" customHeight="false" outlineLevel="0" collapsed="false">
      <c r="A319" s="81" t="n">
        <v>45688</v>
      </c>
      <c r="B319" s="82" t="n">
        <v>2025</v>
      </c>
      <c r="C319" s="82" t="n">
        <v>1</v>
      </c>
      <c r="D319" s="83" t="s">
        <v>133</v>
      </c>
      <c r="E319" s="83" t="s">
        <v>130</v>
      </c>
      <c r="F319" s="83" t="s">
        <v>131</v>
      </c>
      <c r="G319" s="76" t="n">
        <v>1837</v>
      </c>
      <c r="H319" s="83" t="s">
        <v>1050</v>
      </c>
    </row>
    <row r="320" customFormat="false" ht="15" hidden="false" customHeight="false" outlineLevel="0" collapsed="false">
      <c r="A320" s="81" t="n">
        <v>45688</v>
      </c>
      <c r="B320" s="82" t="n">
        <v>2025</v>
      </c>
      <c r="C320" s="82" t="n">
        <v>1</v>
      </c>
      <c r="D320" s="83" t="s">
        <v>134</v>
      </c>
      <c r="E320" s="83" t="s">
        <v>130</v>
      </c>
      <c r="F320" s="83" t="s">
        <v>135</v>
      </c>
      <c r="G320" s="76" t="n">
        <v>2107</v>
      </c>
      <c r="H320" s="83" t="s">
        <v>1051</v>
      </c>
    </row>
    <row r="321" customFormat="false" ht="15" hidden="false" customHeight="false" outlineLevel="0" collapsed="false">
      <c r="A321" s="81" t="n">
        <v>45688</v>
      </c>
      <c r="B321" s="82" t="n">
        <v>2025</v>
      </c>
      <c r="C321" s="82" t="n">
        <v>1</v>
      </c>
      <c r="D321" s="83" t="s">
        <v>136</v>
      </c>
      <c r="E321" s="83" t="s">
        <v>130</v>
      </c>
      <c r="F321" s="83" t="s">
        <v>135</v>
      </c>
      <c r="G321" s="76" t="n">
        <v>2691</v>
      </c>
      <c r="H321" s="83" t="s">
        <v>1052</v>
      </c>
    </row>
    <row r="322" customFormat="false" ht="15" hidden="false" customHeight="false" outlineLevel="0" collapsed="false">
      <c r="A322" s="81" t="n">
        <v>45688</v>
      </c>
      <c r="B322" s="82" t="n">
        <v>2025</v>
      </c>
      <c r="C322" s="82" t="n">
        <v>1</v>
      </c>
      <c r="D322" s="83" t="s">
        <v>137</v>
      </c>
      <c r="E322" s="83" t="s">
        <v>138</v>
      </c>
      <c r="F322" s="83" t="s">
        <v>135</v>
      </c>
      <c r="G322" s="76" t="n">
        <v>2500</v>
      </c>
      <c r="H322" s="83" t="s">
        <v>1053</v>
      </c>
    </row>
    <row r="323" customFormat="false" ht="15" hidden="false" customHeight="false" outlineLevel="0" collapsed="false">
      <c r="A323" s="81" t="n">
        <v>45688</v>
      </c>
      <c r="B323" s="82" t="n">
        <v>2025</v>
      </c>
      <c r="C323" s="82" t="n">
        <v>1</v>
      </c>
      <c r="D323" s="83" t="s">
        <v>139</v>
      </c>
      <c r="E323" s="83" t="s">
        <v>138</v>
      </c>
      <c r="F323" s="83" t="s">
        <v>135</v>
      </c>
      <c r="G323" s="76" t="n">
        <v>673</v>
      </c>
      <c r="H323" s="83" t="s">
        <v>1054</v>
      </c>
    </row>
    <row r="324" customFormat="false" ht="15" hidden="false" customHeight="false" outlineLevel="0" collapsed="false">
      <c r="A324" s="81" t="n">
        <v>45688</v>
      </c>
      <c r="B324" s="82" t="n">
        <v>2025</v>
      </c>
      <c r="C324" s="82" t="n">
        <v>1</v>
      </c>
      <c r="D324" s="83" t="s">
        <v>140</v>
      </c>
      <c r="E324" s="83" t="s">
        <v>138</v>
      </c>
      <c r="F324" s="83" t="s">
        <v>135</v>
      </c>
      <c r="G324" s="76" t="n">
        <v>335</v>
      </c>
      <c r="H324" s="83" t="s">
        <v>1055</v>
      </c>
    </row>
    <row r="325" customFormat="false" ht="15" hidden="false" customHeight="false" outlineLevel="0" collapsed="false">
      <c r="A325" s="81" t="n">
        <v>45688</v>
      </c>
      <c r="B325" s="82" t="n">
        <v>2025</v>
      </c>
      <c r="C325" s="82" t="n">
        <v>1</v>
      </c>
      <c r="D325" s="83" t="s">
        <v>141</v>
      </c>
      <c r="E325" s="83" t="s">
        <v>138</v>
      </c>
      <c r="F325" s="83" t="s">
        <v>135</v>
      </c>
      <c r="G325" s="76" t="n">
        <v>574</v>
      </c>
      <c r="H325" s="83" t="s">
        <v>1056</v>
      </c>
    </row>
    <row r="326" customFormat="false" ht="15" hidden="false" customHeight="false" outlineLevel="0" collapsed="false">
      <c r="A326" s="81" t="n">
        <v>45688</v>
      </c>
      <c r="B326" s="82" t="n">
        <v>2025</v>
      </c>
      <c r="C326" s="82" t="n">
        <v>1</v>
      </c>
      <c r="D326" s="83" t="s">
        <v>142</v>
      </c>
      <c r="E326" s="83" t="s">
        <v>138</v>
      </c>
      <c r="F326" s="83" t="s">
        <v>135</v>
      </c>
      <c r="G326" s="76" t="n">
        <v>257</v>
      </c>
      <c r="H326" s="83" t="s">
        <v>1057</v>
      </c>
    </row>
    <row r="327" customFormat="false" ht="15" hidden="false" customHeight="false" outlineLevel="0" collapsed="false">
      <c r="A327" s="81" t="n">
        <v>45688</v>
      </c>
      <c r="B327" s="82" t="n">
        <v>2025</v>
      </c>
      <c r="C327" s="82" t="n">
        <v>1</v>
      </c>
      <c r="D327" s="83" t="s">
        <v>143</v>
      </c>
      <c r="E327" s="83" t="s">
        <v>138</v>
      </c>
      <c r="F327" s="83" t="s">
        <v>135</v>
      </c>
      <c r="G327" s="76" t="n">
        <v>456</v>
      </c>
      <c r="H327" s="83" t="s">
        <v>1058</v>
      </c>
    </row>
    <row r="328" customFormat="false" ht="15" hidden="false" customHeight="false" outlineLevel="0" collapsed="false">
      <c r="A328" s="81" t="n">
        <v>45688</v>
      </c>
      <c r="B328" s="82" t="n">
        <v>2025</v>
      </c>
      <c r="C328" s="82" t="n">
        <v>1</v>
      </c>
      <c r="D328" s="83" t="s">
        <v>144</v>
      </c>
      <c r="E328" s="83" t="s">
        <v>138</v>
      </c>
      <c r="F328" s="83" t="s">
        <v>135</v>
      </c>
      <c r="G328" s="76" t="n">
        <v>371</v>
      </c>
      <c r="H328" s="83" t="s">
        <v>1059</v>
      </c>
    </row>
    <row r="329" customFormat="false" ht="15" hidden="false" customHeight="false" outlineLevel="0" collapsed="false">
      <c r="A329" s="81" t="n">
        <v>45688</v>
      </c>
      <c r="B329" s="82" t="n">
        <v>2025</v>
      </c>
      <c r="C329" s="82" t="n">
        <v>1</v>
      </c>
      <c r="D329" s="83" t="s">
        <v>145</v>
      </c>
      <c r="E329" s="83" t="s">
        <v>138</v>
      </c>
      <c r="F329" s="83" t="s">
        <v>131</v>
      </c>
      <c r="G329" s="76" t="n">
        <v>114</v>
      </c>
      <c r="H329" s="83" t="s">
        <v>1060</v>
      </c>
    </row>
    <row r="330" customFormat="false" ht="15" hidden="false" customHeight="false" outlineLevel="0" collapsed="false">
      <c r="A330" s="81" t="n">
        <v>45716</v>
      </c>
      <c r="B330" s="82" t="n">
        <v>2025</v>
      </c>
      <c r="C330" s="82" t="n">
        <v>2</v>
      </c>
      <c r="D330" s="83" t="s">
        <v>129</v>
      </c>
      <c r="E330" s="83" t="s">
        <v>130</v>
      </c>
      <c r="F330" s="83" t="s">
        <v>131</v>
      </c>
      <c r="G330" s="76" t="n">
        <v>1158</v>
      </c>
      <c r="H330" s="83" t="s">
        <v>1061</v>
      </c>
    </row>
    <row r="331" customFormat="false" ht="15" hidden="false" customHeight="false" outlineLevel="0" collapsed="false">
      <c r="A331" s="81" t="n">
        <v>45716</v>
      </c>
      <c r="B331" s="82" t="n">
        <v>2025</v>
      </c>
      <c r="C331" s="82" t="n">
        <v>2</v>
      </c>
      <c r="D331" s="83" t="s">
        <v>132</v>
      </c>
      <c r="E331" s="83" t="s">
        <v>130</v>
      </c>
      <c r="F331" s="83" t="s">
        <v>131</v>
      </c>
      <c r="G331" s="76" t="n">
        <v>662</v>
      </c>
      <c r="H331" s="83" t="s">
        <v>1062</v>
      </c>
    </row>
    <row r="332" customFormat="false" ht="15" hidden="false" customHeight="false" outlineLevel="0" collapsed="false">
      <c r="A332" s="81" t="n">
        <v>45716</v>
      </c>
      <c r="B332" s="82" t="n">
        <v>2025</v>
      </c>
      <c r="C332" s="82" t="n">
        <v>2</v>
      </c>
      <c r="D332" s="83" t="s">
        <v>133</v>
      </c>
      <c r="E332" s="83" t="s">
        <v>130</v>
      </c>
      <c r="F332" s="83" t="s">
        <v>131</v>
      </c>
      <c r="G332" s="76" t="n">
        <v>1670</v>
      </c>
      <c r="H332" s="83" t="s">
        <v>1063</v>
      </c>
    </row>
    <row r="333" customFormat="false" ht="15" hidden="false" customHeight="false" outlineLevel="0" collapsed="false">
      <c r="A333" s="81" t="n">
        <v>45716</v>
      </c>
      <c r="B333" s="82" t="n">
        <v>2025</v>
      </c>
      <c r="C333" s="82" t="n">
        <v>2</v>
      </c>
      <c r="D333" s="83" t="s">
        <v>134</v>
      </c>
      <c r="E333" s="83" t="s">
        <v>130</v>
      </c>
      <c r="F333" s="83" t="s">
        <v>135</v>
      </c>
      <c r="G333" s="76" t="n">
        <v>2121</v>
      </c>
      <c r="H333" s="83" t="s">
        <v>1064</v>
      </c>
    </row>
    <row r="334" customFormat="false" ht="15" hidden="false" customHeight="false" outlineLevel="0" collapsed="false">
      <c r="A334" s="81" t="n">
        <v>45716</v>
      </c>
      <c r="B334" s="82" t="n">
        <v>2025</v>
      </c>
      <c r="C334" s="82" t="n">
        <v>2</v>
      </c>
      <c r="D334" s="83" t="s">
        <v>136</v>
      </c>
      <c r="E334" s="83" t="s">
        <v>130</v>
      </c>
      <c r="F334" s="83" t="s">
        <v>135</v>
      </c>
      <c r="G334" s="76" t="n">
        <v>2705</v>
      </c>
      <c r="H334" s="83" t="s">
        <v>1065</v>
      </c>
    </row>
    <row r="335" customFormat="false" ht="15" hidden="false" customHeight="false" outlineLevel="0" collapsed="false">
      <c r="A335" s="81" t="n">
        <v>45716</v>
      </c>
      <c r="B335" s="82" t="n">
        <v>2025</v>
      </c>
      <c r="C335" s="82" t="n">
        <v>2</v>
      </c>
      <c r="D335" s="83" t="s">
        <v>137</v>
      </c>
      <c r="E335" s="83" t="s">
        <v>138</v>
      </c>
      <c r="F335" s="83" t="s">
        <v>135</v>
      </c>
      <c r="G335" s="76" t="n">
        <v>2531</v>
      </c>
      <c r="H335" s="83" t="s">
        <v>1066</v>
      </c>
    </row>
    <row r="336" customFormat="false" ht="15" hidden="false" customHeight="false" outlineLevel="0" collapsed="false">
      <c r="A336" s="81" t="n">
        <v>45716</v>
      </c>
      <c r="B336" s="82" t="n">
        <v>2025</v>
      </c>
      <c r="C336" s="82" t="n">
        <v>2</v>
      </c>
      <c r="D336" s="83" t="s">
        <v>139</v>
      </c>
      <c r="E336" s="83" t="s">
        <v>138</v>
      </c>
      <c r="F336" s="83" t="s">
        <v>135</v>
      </c>
      <c r="G336" s="76" t="n">
        <v>674</v>
      </c>
      <c r="H336" s="83" t="s">
        <v>1067</v>
      </c>
    </row>
    <row r="337" customFormat="false" ht="15" hidden="false" customHeight="false" outlineLevel="0" collapsed="false">
      <c r="A337" s="81" t="n">
        <v>45716</v>
      </c>
      <c r="B337" s="82" t="n">
        <v>2025</v>
      </c>
      <c r="C337" s="82" t="n">
        <v>2</v>
      </c>
      <c r="D337" s="83" t="s">
        <v>140</v>
      </c>
      <c r="E337" s="83" t="s">
        <v>138</v>
      </c>
      <c r="F337" s="83" t="s">
        <v>135</v>
      </c>
      <c r="G337" s="76" t="n">
        <v>325</v>
      </c>
      <c r="H337" s="83" t="s">
        <v>1068</v>
      </c>
    </row>
    <row r="338" customFormat="false" ht="15" hidden="false" customHeight="false" outlineLevel="0" collapsed="false">
      <c r="A338" s="81" t="n">
        <v>45716</v>
      </c>
      <c r="B338" s="82" t="n">
        <v>2025</v>
      </c>
      <c r="C338" s="82" t="n">
        <v>2</v>
      </c>
      <c r="D338" s="83" t="s">
        <v>141</v>
      </c>
      <c r="E338" s="83" t="s">
        <v>138</v>
      </c>
      <c r="F338" s="83" t="s">
        <v>135</v>
      </c>
      <c r="G338" s="76" t="n">
        <v>580</v>
      </c>
      <c r="H338" s="83" t="s">
        <v>1069</v>
      </c>
    </row>
    <row r="339" customFormat="false" ht="15" hidden="false" customHeight="false" outlineLevel="0" collapsed="false">
      <c r="A339" s="81" t="n">
        <v>45716</v>
      </c>
      <c r="B339" s="82" t="n">
        <v>2025</v>
      </c>
      <c r="C339" s="82" t="n">
        <v>2</v>
      </c>
      <c r="D339" s="83" t="s">
        <v>142</v>
      </c>
      <c r="E339" s="83" t="s">
        <v>138</v>
      </c>
      <c r="F339" s="83" t="s">
        <v>135</v>
      </c>
      <c r="G339" s="76" t="n">
        <v>243</v>
      </c>
      <c r="H339" s="83" t="s">
        <v>1070</v>
      </c>
    </row>
    <row r="340" customFormat="false" ht="15" hidden="false" customHeight="false" outlineLevel="0" collapsed="false">
      <c r="A340" s="81" t="n">
        <v>45716</v>
      </c>
      <c r="B340" s="82" t="n">
        <v>2025</v>
      </c>
      <c r="C340" s="82" t="n">
        <v>2</v>
      </c>
      <c r="D340" s="83" t="s">
        <v>143</v>
      </c>
      <c r="E340" s="83" t="s">
        <v>138</v>
      </c>
      <c r="F340" s="83" t="s">
        <v>135</v>
      </c>
      <c r="G340" s="76" t="n">
        <v>461</v>
      </c>
      <c r="H340" s="83" t="s">
        <v>1071</v>
      </c>
    </row>
    <row r="341" customFormat="false" ht="15" hidden="false" customHeight="false" outlineLevel="0" collapsed="false">
      <c r="A341" s="81" t="n">
        <v>45716</v>
      </c>
      <c r="B341" s="82" t="n">
        <v>2025</v>
      </c>
      <c r="C341" s="82" t="n">
        <v>2</v>
      </c>
      <c r="D341" s="83" t="s">
        <v>144</v>
      </c>
      <c r="E341" s="83" t="s">
        <v>138</v>
      </c>
      <c r="F341" s="83" t="s">
        <v>135</v>
      </c>
      <c r="G341" s="76" t="n">
        <v>374</v>
      </c>
      <c r="H341" s="83" t="s">
        <v>1072</v>
      </c>
    </row>
    <row r="342" customFormat="false" ht="15" hidden="false" customHeight="false" outlineLevel="0" collapsed="false">
      <c r="A342" s="81" t="n">
        <v>45716</v>
      </c>
      <c r="B342" s="82" t="n">
        <v>2025</v>
      </c>
      <c r="C342" s="82" t="n">
        <v>2</v>
      </c>
      <c r="D342" s="83" t="s">
        <v>145</v>
      </c>
      <c r="E342" s="83" t="s">
        <v>138</v>
      </c>
      <c r="F342" s="83" t="s">
        <v>131</v>
      </c>
      <c r="G342" s="76" t="n">
        <v>105</v>
      </c>
      <c r="H342" s="83" t="s">
        <v>1073</v>
      </c>
    </row>
    <row r="343" customFormat="false" ht="15" hidden="false" customHeight="false" outlineLevel="0" collapsed="false">
      <c r="A343" s="81" t="n">
        <v>45747</v>
      </c>
      <c r="B343" s="82" t="n">
        <v>2025</v>
      </c>
      <c r="C343" s="82" t="n">
        <v>3</v>
      </c>
      <c r="D343" s="83" t="s">
        <v>129</v>
      </c>
      <c r="E343" s="83" t="s">
        <v>130</v>
      </c>
      <c r="F343" s="83" t="s">
        <v>131</v>
      </c>
      <c r="G343" s="76" t="n">
        <v>1270</v>
      </c>
      <c r="H343" s="83" t="s">
        <v>1074</v>
      </c>
    </row>
    <row r="344" customFormat="false" ht="15" hidden="false" customHeight="false" outlineLevel="0" collapsed="false">
      <c r="A344" s="81" t="n">
        <v>45747</v>
      </c>
      <c r="B344" s="82" t="n">
        <v>2025</v>
      </c>
      <c r="C344" s="82" t="n">
        <v>3</v>
      </c>
      <c r="D344" s="83" t="s">
        <v>132</v>
      </c>
      <c r="E344" s="83" t="s">
        <v>130</v>
      </c>
      <c r="F344" s="83" t="s">
        <v>131</v>
      </c>
      <c r="G344" s="76" t="n">
        <v>703</v>
      </c>
      <c r="H344" s="83" t="s">
        <v>1075</v>
      </c>
    </row>
    <row r="345" customFormat="false" ht="15" hidden="false" customHeight="false" outlineLevel="0" collapsed="false">
      <c r="A345" s="81" t="n">
        <v>45747</v>
      </c>
      <c r="B345" s="82" t="n">
        <v>2025</v>
      </c>
      <c r="C345" s="82" t="n">
        <v>3</v>
      </c>
      <c r="D345" s="83" t="s">
        <v>133</v>
      </c>
      <c r="E345" s="83" t="s">
        <v>130</v>
      </c>
      <c r="F345" s="83" t="s">
        <v>131</v>
      </c>
      <c r="G345" s="76" t="n">
        <v>1865</v>
      </c>
      <c r="H345" s="83" t="s">
        <v>1076</v>
      </c>
    </row>
    <row r="346" customFormat="false" ht="15" hidden="false" customHeight="false" outlineLevel="0" collapsed="false">
      <c r="A346" s="81" t="n">
        <v>45747</v>
      </c>
      <c r="B346" s="82" t="n">
        <v>2025</v>
      </c>
      <c r="C346" s="82" t="n">
        <v>3</v>
      </c>
      <c r="D346" s="83" t="s">
        <v>134</v>
      </c>
      <c r="E346" s="83" t="s">
        <v>130</v>
      </c>
      <c r="F346" s="83" t="s">
        <v>135</v>
      </c>
      <c r="G346" s="76" t="n">
        <v>2096</v>
      </c>
      <c r="H346" s="83" t="s">
        <v>1077</v>
      </c>
    </row>
    <row r="347" customFormat="false" ht="15" hidden="false" customHeight="false" outlineLevel="0" collapsed="false">
      <c r="A347" s="81" t="n">
        <v>45747</v>
      </c>
      <c r="B347" s="82" t="n">
        <v>2025</v>
      </c>
      <c r="C347" s="82" t="n">
        <v>3</v>
      </c>
      <c r="D347" s="83" t="s">
        <v>136</v>
      </c>
      <c r="E347" s="83" t="s">
        <v>130</v>
      </c>
      <c r="F347" s="83" t="s">
        <v>135</v>
      </c>
      <c r="G347" s="76" t="n">
        <v>2758</v>
      </c>
      <c r="H347" s="83" t="s">
        <v>1078</v>
      </c>
    </row>
    <row r="348" customFormat="false" ht="15" hidden="false" customHeight="false" outlineLevel="0" collapsed="false">
      <c r="A348" s="81" t="n">
        <v>45747</v>
      </c>
      <c r="B348" s="82" t="n">
        <v>2025</v>
      </c>
      <c r="C348" s="82" t="n">
        <v>3</v>
      </c>
      <c r="D348" s="83" t="s">
        <v>137</v>
      </c>
      <c r="E348" s="83" t="s">
        <v>138</v>
      </c>
      <c r="F348" s="83" t="s">
        <v>135</v>
      </c>
      <c r="G348" s="76" t="n">
        <v>2474</v>
      </c>
      <c r="H348" s="83" t="s">
        <v>1079</v>
      </c>
    </row>
    <row r="349" customFormat="false" ht="15" hidden="false" customHeight="false" outlineLevel="0" collapsed="false">
      <c r="A349" s="81" t="n">
        <v>45747</v>
      </c>
      <c r="B349" s="82" t="n">
        <v>2025</v>
      </c>
      <c r="C349" s="82" t="n">
        <v>3</v>
      </c>
      <c r="D349" s="83" t="s">
        <v>139</v>
      </c>
      <c r="E349" s="83" t="s">
        <v>138</v>
      </c>
      <c r="F349" s="83" t="s">
        <v>135</v>
      </c>
      <c r="G349" s="76" t="n">
        <v>683</v>
      </c>
      <c r="H349" s="83" t="s">
        <v>1080</v>
      </c>
    </row>
    <row r="350" customFormat="false" ht="15" hidden="false" customHeight="false" outlineLevel="0" collapsed="false">
      <c r="A350" s="81" t="n">
        <v>45747</v>
      </c>
      <c r="B350" s="82" t="n">
        <v>2025</v>
      </c>
      <c r="C350" s="82" t="n">
        <v>3</v>
      </c>
      <c r="D350" s="83" t="s">
        <v>140</v>
      </c>
      <c r="E350" s="83" t="s">
        <v>138</v>
      </c>
      <c r="F350" s="83" t="s">
        <v>135</v>
      </c>
      <c r="G350" s="76" t="n">
        <v>867</v>
      </c>
      <c r="H350" s="83" t="s">
        <v>1081</v>
      </c>
    </row>
    <row r="351" customFormat="false" ht="15" hidden="false" customHeight="false" outlineLevel="0" collapsed="false">
      <c r="A351" s="81" t="n">
        <v>45747</v>
      </c>
      <c r="B351" s="82" t="n">
        <v>2025</v>
      </c>
      <c r="C351" s="82" t="n">
        <v>3</v>
      </c>
      <c r="D351" s="83" t="s">
        <v>141</v>
      </c>
      <c r="E351" s="83" t="s">
        <v>138</v>
      </c>
      <c r="F351" s="83" t="s">
        <v>135</v>
      </c>
      <c r="G351" s="76" t="n">
        <v>563</v>
      </c>
      <c r="H351" s="83" t="s">
        <v>1082</v>
      </c>
    </row>
    <row r="352" customFormat="false" ht="15" hidden="false" customHeight="false" outlineLevel="0" collapsed="false">
      <c r="A352" s="81" t="n">
        <v>45747</v>
      </c>
      <c r="B352" s="82" t="n">
        <v>2025</v>
      </c>
      <c r="C352" s="82" t="n">
        <v>3</v>
      </c>
      <c r="D352" s="83" t="s">
        <v>142</v>
      </c>
      <c r="E352" s="83" t="s">
        <v>138</v>
      </c>
      <c r="F352" s="83" t="s">
        <v>135</v>
      </c>
      <c r="G352" s="76" t="n">
        <v>237</v>
      </c>
      <c r="H352" s="83" t="s">
        <v>1083</v>
      </c>
    </row>
    <row r="353" customFormat="false" ht="15" hidden="false" customHeight="false" outlineLevel="0" collapsed="false">
      <c r="A353" s="81" t="n">
        <v>45747</v>
      </c>
      <c r="B353" s="82" t="n">
        <v>2025</v>
      </c>
      <c r="C353" s="82" t="n">
        <v>3</v>
      </c>
      <c r="D353" s="83" t="s">
        <v>143</v>
      </c>
      <c r="E353" s="83" t="s">
        <v>138</v>
      </c>
      <c r="F353" s="83" t="s">
        <v>135</v>
      </c>
      <c r="G353" s="76" t="n">
        <v>460</v>
      </c>
      <c r="H353" s="83" t="s">
        <v>1084</v>
      </c>
    </row>
    <row r="354" customFormat="false" ht="15" hidden="false" customHeight="false" outlineLevel="0" collapsed="false">
      <c r="A354" s="81" t="n">
        <v>45747</v>
      </c>
      <c r="B354" s="82" t="n">
        <v>2025</v>
      </c>
      <c r="C354" s="82" t="n">
        <v>3</v>
      </c>
      <c r="D354" s="83" t="s">
        <v>144</v>
      </c>
      <c r="E354" s="83" t="s">
        <v>138</v>
      </c>
      <c r="F354" s="83" t="s">
        <v>135</v>
      </c>
      <c r="G354" s="76" t="n">
        <v>377</v>
      </c>
      <c r="H354" s="83" t="s">
        <v>1085</v>
      </c>
    </row>
    <row r="355" customFormat="false" ht="15" hidden="false" customHeight="false" outlineLevel="0" collapsed="false">
      <c r="A355" s="81" t="n">
        <v>45747</v>
      </c>
      <c r="B355" s="82" t="n">
        <v>2025</v>
      </c>
      <c r="C355" s="82" t="n">
        <v>3</v>
      </c>
      <c r="D355" s="83" t="s">
        <v>145</v>
      </c>
      <c r="E355" s="83" t="s">
        <v>138</v>
      </c>
      <c r="F355" s="83" t="s">
        <v>131</v>
      </c>
      <c r="G355" s="76" t="n">
        <v>117</v>
      </c>
      <c r="H355" s="83" t="s">
        <v>1086</v>
      </c>
    </row>
    <row r="356" customFormat="false" ht="15" hidden="false" customHeight="false" outlineLevel="0" collapsed="false">
      <c r="A356" s="81" t="n">
        <v>45777</v>
      </c>
      <c r="B356" s="82" t="n">
        <v>2025</v>
      </c>
      <c r="C356" s="82" t="n">
        <v>4</v>
      </c>
      <c r="D356" s="83" t="s">
        <v>129</v>
      </c>
      <c r="E356" s="83" t="s">
        <v>130</v>
      </c>
      <c r="F356" s="83" t="s">
        <v>131</v>
      </c>
      <c r="G356" s="76" t="n">
        <v>1284</v>
      </c>
      <c r="H356" s="83" t="s">
        <v>1087</v>
      </c>
    </row>
    <row r="357" customFormat="false" ht="15" hidden="false" customHeight="false" outlineLevel="0" collapsed="false">
      <c r="A357" s="81" t="n">
        <v>45777</v>
      </c>
      <c r="B357" s="82" t="n">
        <v>2025</v>
      </c>
      <c r="C357" s="82" t="n">
        <v>4</v>
      </c>
      <c r="D357" s="83" t="s">
        <v>132</v>
      </c>
      <c r="E357" s="83" t="s">
        <v>130</v>
      </c>
      <c r="F357" s="83" t="s">
        <v>131</v>
      </c>
      <c r="G357" s="76" t="n">
        <v>717</v>
      </c>
      <c r="H357" s="83" t="s">
        <v>1088</v>
      </c>
    </row>
    <row r="358" customFormat="false" ht="15" hidden="false" customHeight="false" outlineLevel="0" collapsed="false">
      <c r="A358" s="81" t="n">
        <v>45777</v>
      </c>
      <c r="B358" s="82" t="n">
        <v>2025</v>
      </c>
      <c r="C358" s="82" t="n">
        <v>4</v>
      </c>
      <c r="D358" s="83" t="s">
        <v>133</v>
      </c>
      <c r="E358" s="83" t="s">
        <v>130</v>
      </c>
      <c r="F358" s="83" t="s">
        <v>131</v>
      </c>
      <c r="G358" s="76" t="n">
        <v>1941</v>
      </c>
      <c r="H358" s="83" t="s">
        <v>1089</v>
      </c>
    </row>
    <row r="359" customFormat="false" ht="15" hidden="false" customHeight="false" outlineLevel="0" collapsed="false">
      <c r="A359" s="81" t="n">
        <v>45777</v>
      </c>
      <c r="B359" s="82" t="n">
        <v>2025</v>
      </c>
      <c r="C359" s="82" t="n">
        <v>4</v>
      </c>
      <c r="D359" s="83" t="s">
        <v>134</v>
      </c>
      <c r="E359" s="83" t="s">
        <v>130</v>
      </c>
      <c r="F359" s="83" t="s">
        <v>135</v>
      </c>
      <c r="G359" s="76" t="n">
        <v>2104</v>
      </c>
      <c r="H359" s="83" t="s">
        <v>1090</v>
      </c>
    </row>
    <row r="360" customFormat="false" ht="15" hidden="false" customHeight="false" outlineLevel="0" collapsed="false">
      <c r="A360" s="81" t="n">
        <v>45777</v>
      </c>
      <c r="B360" s="82" t="n">
        <v>2025</v>
      </c>
      <c r="C360" s="82" t="n">
        <v>4</v>
      </c>
      <c r="D360" s="83" t="s">
        <v>136</v>
      </c>
      <c r="E360" s="83" t="s">
        <v>130</v>
      </c>
      <c r="F360" s="83" t="s">
        <v>135</v>
      </c>
      <c r="G360" s="76" t="n">
        <v>2730</v>
      </c>
      <c r="H360" s="83" t="s">
        <v>1091</v>
      </c>
    </row>
    <row r="361" customFormat="false" ht="15" hidden="false" customHeight="false" outlineLevel="0" collapsed="false">
      <c r="A361" s="81" t="n">
        <v>45777</v>
      </c>
      <c r="B361" s="82" t="n">
        <v>2025</v>
      </c>
      <c r="C361" s="82" t="n">
        <v>4</v>
      </c>
      <c r="D361" s="83" t="s">
        <v>137</v>
      </c>
      <c r="E361" s="83" t="s">
        <v>138</v>
      </c>
      <c r="F361" s="83" t="s">
        <v>135</v>
      </c>
      <c r="G361" s="76" t="n">
        <v>2562</v>
      </c>
      <c r="H361" s="83" t="s">
        <v>1092</v>
      </c>
    </row>
    <row r="362" customFormat="false" ht="15" hidden="false" customHeight="false" outlineLevel="0" collapsed="false">
      <c r="A362" s="81" t="n">
        <v>45777</v>
      </c>
      <c r="B362" s="82" t="n">
        <v>2025</v>
      </c>
      <c r="C362" s="82" t="n">
        <v>4</v>
      </c>
      <c r="D362" s="83" t="s">
        <v>139</v>
      </c>
      <c r="E362" s="83" t="s">
        <v>138</v>
      </c>
      <c r="F362" s="83" t="s">
        <v>135</v>
      </c>
      <c r="G362" s="76" t="n">
        <v>667</v>
      </c>
      <c r="H362" s="83" t="s">
        <v>1093</v>
      </c>
    </row>
    <row r="363" customFormat="false" ht="15" hidden="false" customHeight="false" outlineLevel="0" collapsed="false">
      <c r="A363" s="81" t="n">
        <v>45777</v>
      </c>
      <c r="B363" s="82" t="n">
        <v>2025</v>
      </c>
      <c r="C363" s="82" t="n">
        <v>4</v>
      </c>
      <c r="D363" s="83" t="s">
        <v>140</v>
      </c>
      <c r="E363" s="83" t="s">
        <v>138</v>
      </c>
      <c r="F363" s="83" t="s">
        <v>135</v>
      </c>
      <c r="G363" s="76" t="n">
        <v>330</v>
      </c>
      <c r="H363" s="83" t="s">
        <v>1094</v>
      </c>
    </row>
    <row r="364" customFormat="false" ht="15" hidden="false" customHeight="false" outlineLevel="0" collapsed="false">
      <c r="A364" s="81" t="n">
        <v>45777</v>
      </c>
      <c r="B364" s="82" t="n">
        <v>2025</v>
      </c>
      <c r="C364" s="82" t="n">
        <v>4</v>
      </c>
      <c r="D364" s="83" t="s">
        <v>141</v>
      </c>
      <c r="E364" s="83" t="s">
        <v>138</v>
      </c>
      <c r="F364" s="83" t="s">
        <v>135</v>
      </c>
      <c r="G364" s="76" t="n">
        <v>569</v>
      </c>
      <c r="H364" s="83" t="s">
        <v>1095</v>
      </c>
    </row>
    <row r="365" customFormat="false" ht="15" hidden="false" customHeight="false" outlineLevel="0" collapsed="false">
      <c r="A365" s="81" t="n">
        <v>45777</v>
      </c>
      <c r="B365" s="82" t="n">
        <v>2025</v>
      </c>
      <c r="C365" s="82" t="n">
        <v>4</v>
      </c>
      <c r="D365" s="83" t="s">
        <v>142</v>
      </c>
      <c r="E365" s="83" t="s">
        <v>138</v>
      </c>
      <c r="F365" s="83" t="s">
        <v>135</v>
      </c>
      <c r="G365" s="76" t="n">
        <v>232</v>
      </c>
      <c r="H365" s="83" t="s">
        <v>1096</v>
      </c>
    </row>
    <row r="366" customFormat="false" ht="15" hidden="false" customHeight="false" outlineLevel="0" collapsed="false">
      <c r="A366" s="81" t="n">
        <v>45777</v>
      </c>
      <c r="B366" s="82" t="n">
        <v>2025</v>
      </c>
      <c r="C366" s="82" t="n">
        <v>4</v>
      </c>
      <c r="D366" s="83" t="s">
        <v>143</v>
      </c>
      <c r="E366" s="83" t="s">
        <v>138</v>
      </c>
      <c r="F366" s="83" t="s">
        <v>135</v>
      </c>
      <c r="G366" s="76" t="n">
        <v>453</v>
      </c>
      <c r="H366" s="83" t="s">
        <v>1097</v>
      </c>
    </row>
    <row r="367" customFormat="false" ht="15" hidden="false" customHeight="false" outlineLevel="0" collapsed="false">
      <c r="A367" s="81" t="n">
        <v>45777</v>
      </c>
      <c r="B367" s="82" t="n">
        <v>2025</v>
      </c>
      <c r="C367" s="82" t="n">
        <v>4</v>
      </c>
      <c r="D367" s="83" t="s">
        <v>144</v>
      </c>
      <c r="E367" s="83" t="s">
        <v>138</v>
      </c>
      <c r="F367" s="83" t="s">
        <v>135</v>
      </c>
      <c r="G367" s="76" t="n">
        <v>378</v>
      </c>
      <c r="H367" s="83" t="s">
        <v>1098</v>
      </c>
    </row>
    <row r="368" customFormat="false" ht="15" hidden="false" customHeight="false" outlineLevel="0" collapsed="false">
      <c r="A368" s="81" t="n">
        <v>45777</v>
      </c>
      <c r="B368" s="82" t="n">
        <v>2025</v>
      </c>
      <c r="C368" s="82" t="n">
        <v>4</v>
      </c>
      <c r="D368" s="83" t="s">
        <v>145</v>
      </c>
      <c r="E368" s="83" t="s">
        <v>138</v>
      </c>
      <c r="F368" s="83" t="s">
        <v>131</v>
      </c>
      <c r="G368" s="76" t="n">
        <v>121</v>
      </c>
      <c r="H368" s="83" t="s">
        <v>1099</v>
      </c>
    </row>
    <row r="369" customFormat="false" ht="15" hidden="false" customHeight="false" outlineLevel="0" collapsed="false">
      <c r="A369" s="81" t="n">
        <v>45808</v>
      </c>
      <c r="B369" s="82" t="n">
        <v>2025</v>
      </c>
      <c r="C369" s="82" t="n">
        <v>5</v>
      </c>
      <c r="D369" s="83" t="s">
        <v>129</v>
      </c>
      <c r="E369" s="83" t="s">
        <v>130</v>
      </c>
      <c r="F369" s="83" t="s">
        <v>131</v>
      </c>
      <c r="G369" s="76" t="n">
        <v>1347</v>
      </c>
      <c r="H369" s="83" t="s">
        <v>1100</v>
      </c>
    </row>
    <row r="370" customFormat="false" ht="15" hidden="false" customHeight="false" outlineLevel="0" collapsed="false">
      <c r="A370" s="81" t="n">
        <v>45808</v>
      </c>
      <c r="B370" s="82" t="n">
        <v>2025</v>
      </c>
      <c r="C370" s="82" t="n">
        <v>5</v>
      </c>
      <c r="D370" s="83" t="s">
        <v>132</v>
      </c>
      <c r="E370" s="83" t="s">
        <v>130</v>
      </c>
      <c r="F370" s="83" t="s">
        <v>131</v>
      </c>
      <c r="G370" s="76" t="n">
        <v>727</v>
      </c>
      <c r="H370" s="83" t="s">
        <v>1101</v>
      </c>
    </row>
    <row r="371" customFormat="false" ht="15" hidden="false" customHeight="false" outlineLevel="0" collapsed="false">
      <c r="A371" s="81" t="n">
        <v>45808</v>
      </c>
      <c r="B371" s="82" t="n">
        <v>2025</v>
      </c>
      <c r="C371" s="82" t="n">
        <v>5</v>
      </c>
      <c r="D371" s="83" t="s">
        <v>133</v>
      </c>
      <c r="E371" s="83" t="s">
        <v>130</v>
      </c>
      <c r="F371" s="83" t="s">
        <v>131</v>
      </c>
      <c r="G371" s="76" t="n">
        <v>1936</v>
      </c>
      <c r="H371" s="83" t="s">
        <v>1102</v>
      </c>
    </row>
    <row r="372" customFormat="false" ht="15" hidden="false" customHeight="false" outlineLevel="0" collapsed="false">
      <c r="A372" s="81" t="n">
        <v>45808</v>
      </c>
      <c r="B372" s="82" t="n">
        <v>2025</v>
      </c>
      <c r="C372" s="82" t="n">
        <v>5</v>
      </c>
      <c r="D372" s="83" t="s">
        <v>134</v>
      </c>
      <c r="E372" s="83" t="s">
        <v>130</v>
      </c>
      <c r="F372" s="83" t="s">
        <v>135</v>
      </c>
      <c r="G372" s="76" t="n">
        <v>2058</v>
      </c>
      <c r="H372" s="83" t="s">
        <v>1103</v>
      </c>
    </row>
    <row r="373" customFormat="false" ht="15" hidden="false" customHeight="false" outlineLevel="0" collapsed="false">
      <c r="A373" s="81" t="n">
        <v>45808</v>
      </c>
      <c r="B373" s="82" t="n">
        <v>2025</v>
      </c>
      <c r="C373" s="82" t="n">
        <v>5</v>
      </c>
      <c r="D373" s="83" t="s">
        <v>136</v>
      </c>
      <c r="E373" s="83" t="s">
        <v>130</v>
      </c>
      <c r="F373" s="83" t="s">
        <v>135</v>
      </c>
      <c r="G373" s="76" t="n">
        <v>2705</v>
      </c>
      <c r="H373" s="83" t="s">
        <v>1104</v>
      </c>
    </row>
    <row r="374" customFormat="false" ht="15" hidden="false" customHeight="false" outlineLevel="0" collapsed="false">
      <c r="A374" s="81" t="n">
        <v>45808</v>
      </c>
      <c r="B374" s="82" t="n">
        <v>2025</v>
      </c>
      <c r="C374" s="82" t="n">
        <v>5</v>
      </c>
      <c r="D374" s="83" t="s">
        <v>137</v>
      </c>
      <c r="E374" s="83" t="s">
        <v>138</v>
      </c>
      <c r="F374" s="83" t="s">
        <v>135</v>
      </c>
      <c r="G374" s="76" t="n">
        <v>2567</v>
      </c>
      <c r="H374" s="83" t="s">
        <v>1105</v>
      </c>
    </row>
    <row r="375" customFormat="false" ht="15" hidden="false" customHeight="false" outlineLevel="0" collapsed="false">
      <c r="A375" s="81" t="n">
        <v>45808</v>
      </c>
      <c r="B375" s="82" t="n">
        <v>2025</v>
      </c>
      <c r="C375" s="82" t="n">
        <v>5</v>
      </c>
      <c r="D375" s="83" t="s">
        <v>139</v>
      </c>
      <c r="E375" s="83" t="s">
        <v>138</v>
      </c>
      <c r="F375" s="83" t="s">
        <v>135</v>
      </c>
      <c r="G375" s="76" t="n">
        <v>678</v>
      </c>
      <c r="H375" s="83" t="s">
        <v>1106</v>
      </c>
    </row>
    <row r="376" customFormat="false" ht="15" hidden="false" customHeight="false" outlineLevel="0" collapsed="false">
      <c r="A376" s="81" t="n">
        <v>45808</v>
      </c>
      <c r="B376" s="82" t="n">
        <v>2025</v>
      </c>
      <c r="C376" s="82" t="n">
        <v>5</v>
      </c>
      <c r="D376" s="83" t="s">
        <v>140</v>
      </c>
      <c r="E376" s="83" t="s">
        <v>138</v>
      </c>
      <c r="F376" s="83" t="s">
        <v>135</v>
      </c>
      <c r="G376" s="76" t="n">
        <v>331</v>
      </c>
      <c r="H376" s="83" t="s">
        <v>1107</v>
      </c>
    </row>
    <row r="377" customFormat="false" ht="15" hidden="false" customHeight="false" outlineLevel="0" collapsed="false">
      <c r="A377" s="81" t="n">
        <v>45808</v>
      </c>
      <c r="B377" s="82" t="n">
        <v>2025</v>
      </c>
      <c r="C377" s="82" t="n">
        <v>5</v>
      </c>
      <c r="D377" s="83" t="s">
        <v>141</v>
      </c>
      <c r="E377" s="83" t="s">
        <v>138</v>
      </c>
      <c r="F377" s="83" t="s">
        <v>135</v>
      </c>
      <c r="G377" s="76" t="n">
        <v>561</v>
      </c>
      <c r="H377" s="83" t="s">
        <v>1108</v>
      </c>
    </row>
    <row r="378" customFormat="false" ht="15" hidden="false" customHeight="false" outlineLevel="0" collapsed="false">
      <c r="A378" s="81" t="n">
        <v>45808</v>
      </c>
      <c r="B378" s="82" t="n">
        <v>2025</v>
      </c>
      <c r="C378" s="82" t="n">
        <v>5</v>
      </c>
      <c r="D378" s="83" t="s">
        <v>142</v>
      </c>
      <c r="E378" s="83" t="s">
        <v>138</v>
      </c>
      <c r="F378" s="83" t="s">
        <v>135</v>
      </c>
      <c r="G378" s="76" t="n">
        <v>234</v>
      </c>
      <c r="H378" s="83" t="s">
        <v>1109</v>
      </c>
    </row>
    <row r="379" customFormat="false" ht="15" hidden="false" customHeight="false" outlineLevel="0" collapsed="false">
      <c r="A379" s="81" t="n">
        <v>45808</v>
      </c>
      <c r="B379" s="82" t="n">
        <v>2025</v>
      </c>
      <c r="C379" s="82" t="n">
        <v>5</v>
      </c>
      <c r="D379" s="83" t="s">
        <v>143</v>
      </c>
      <c r="E379" s="83" t="s">
        <v>138</v>
      </c>
      <c r="F379" s="83" t="s">
        <v>135</v>
      </c>
      <c r="G379" s="76" t="n">
        <v>457</v>
      </c>
      <c r="H379" s="83" t="s">
        <v>1110</v>
      </c>
    </row>
    <row r="380" customFormat="false" ht="15" hidden="false" customHeight="false" outlineLevel="0" collapsed="false">
      <c r="A380" s="81" t="n">
        <v>45808</v>
      </c>
      <c r="B380" s="82" t="n">
        <v>2025</v>
      </c>
      <c r="C380" s="82" t="n">
        <v>5</v>
      </c>
      <c r="D380" s="83" t="s">
        <v>144</v>
      </c>
      <c r="E380" s="83" t="s">
        <v>138</v>
      </c>
      <c r="F380" s="83" t="s">
        <v>135</v>
      </c>
      <c r="G380" s="76" t="n">
        <v>371</v>
      </c>
      <c r="H380" s="83" t="s">
        <v>1111</v>
      </c>
    </row>
    <row r="381" customFormat="false" ht="15" hidden="false" customHeight="false" outlineLevel="0" collapsed="false">
      <c r="A381" s="81" t="n">
        <v>45808</v>
      </c>
      <c r="B381" s="82" t="n">
        <v>2025</v>
      </c>
      <c r="C381" s="82" t="n">
        <v>5</v>
      </c>
      <c r="D381" s="83" t="s">
        <v>145</v>
      </c>
      <c r="E381" s="83" t="s">
        <v>138</v>
      </c>
      <c r="F381" s="83" t="s">
        <v>131</v>
      </c>
      <c r="G381" s="76" t="n">
        <v>125</v>
      </c>
      <c r="H381" s="83" t="s">
        <v>1112</v>
      </c>
    </row>
    <row r="382" customFormat="false" ht="15" hidden="false" customHeight="false" outlineLevel="0" collapsed="false">
      <c r="A382" s="81" t="n">
        <v>45838</v>
      </c>
      <c r="B382" s="82" t="n">
        <v>2025</v>
      </c>
      <c r="C382" s="82" t="n">
        <v>6</v>
      </c>
      <c r="D382" s="83" t="s">
        <v>129</v>
      </c>
      <c r="E382" s="83" t="s">
        <v>130</v>
      </c>
      <c r="F382" s="83" t="s">
        <v>131</v>
      </c>
      <c r="G382" s="76" t="n">
        <v>1282</v>
      </c>
      <c r="H382" s="83" t="s">
        <v>1113</v>
      </c>
    </row>
    <row r="383" customFormat="false" ht="15" hidden="false" customHeight="false" outlineLevel="0" collapsed="false">
      <c r="A383" s="81" t="n">
        <v>45838</v>
      </c>
      <c r="B383" s="82" t="n">
        <v>2025</v>
      </c>
      <c r="C383" s="82" t="n">
        <v>6</v>
      </c>
      <c r="D383" s="83" t="s">
        <v>132</v>
      </c>
      <c r="E383" s="83" t="s">
        <v>130</v>
      </c>
      <c r="F383" s="83" t="s">
        <v>131</v>
      </c>
      <c r="G383" s="76" t="n">
        <v>728</v>
      </c>
      <c r="H383" s="83" t="s">
        <v>1114</v>
      </c>
    </row>
    <row r="384" customFormat="false" ht="15" hidden="false" customHeight="false" outlineLevel="0" collapsed="false">
      <c r="A384" s="81" t="n">
        <v>45838</v>
      </c>
      <c r="B384" s="82" t="n">
        <v>2025</v>
      </c>
      <c r="C384" s="82" t="n">
        <v>6</v>
      </c>
      <c r="D384" s="83" t="s">
        <v>133</v>
      </c>
      <c r="E384" s="83" t="s">
        <v>130</v>
      </c>
      <c r="F384" s="83" t="s">
        <v>131</v>
      </c>
      <c r="G384" s="76" t="n">
        <v>1929</v>
      </c>
      <c r="H384" s="83" t="s">
        <v>1115</v>
      </c>
    </row>
    <row r="385" customFormat="false" ht="15" hidden="false" customHeight="false" outlineLevel="0" collapsed="false">
      <c r="A385" s="81" t="n">
        <v>45838</v>
      </c>
      <c r="B385" s="82" t="n">
        <v>2025</v>
      </c>
      <c r="C385" s="82" t="n">
        <v>6</v>
      </c>
      <c r="D385" s="83" t="s">
        <v>134</v>
      </c>
      <c r="E385" s="83" t="s">
        <v>130</v>
      </c>
      <c r="F385" s="83" t="s">
        <v>135</v>
      </c>
      <c r="G385" s="76" t="n">
        <v>2064</v>
      </c>
      <c r="H385" s="83" t="s">
        <v>1116</v>
      </c>
    </row>
    <row r="386" customFormat="false" ht="15" hidden="false" customHeight="false" outlineLevel="0" collapsed="false">
      <c r="A386" s="81" t="n">
        <v>45838</v>
      </c>
      <c r="B386" s="82" t="n">
        <v>2025</v>
      </c>
      <c r="C386" s="82" t="n">
        <v>6</v>
      </c>
      <c r="D386" s="83" t="s">
        <v>136</v>
      </c>
      <c r="E386" s="83" t="s">
        <v>130</v>
      </c>
      <c r="F386" s="83" t="s">
        <v>135</v>
      </c>
      <c r="G386" s="76" t="n">
        <v>2716</v>
      </c>
      <c r="H386" s="83" t="s">
        <v>1117</v>
      </c>
    </row>
    <row r="387" customFormat="false" ht="15" hidden="false" customHeight="false" outlineLevel="0" collapsed="false">
      <c r="A387" s="81" t="n">
        <v>45838</v>
      </c>
      <c r="B387" s="82" t="n">
        <v>2025</v>
      </c>
      <c r="C387" s="82" t="n">
        <v>6</v>
      </c>
      <c r="D387" s="83" t="s">
        <v>137</v>
      </c>
      <c r="E387" s="83" t="s">
        <v>138</v>
      </c>
      <c r="F387" s="83" t="s">
        <v>135</v>
      </c>
      <c r="G387" s="76" t="n">
        <v>2512</v>
      </c>
      <c r="H387" s="83" t="s">
        <v>1118</v>
      </c>
    </row>
    <row r="388" customFormat="false" ht="15" hidden="false" customHeight="false" outlineLevel="0" collapsed="false">
      <c r="A388" s="81" t="n">
        <v>45838</v>
      </c>
      <c r="B388" s="82" t="n">
        <v>2025</v>
      </c>
      <c r="C388" s="82" t="n">
        <v>6</v>
      </c>
      <c r="D388" s="83" t="s">
        <v>139</v>
      </c>
      <c r="E388" s="83" t="s">
        <v>138</v>
      </c>
      <c r="F388" s="83" t="s">
        <v>135</v>
      </c>
      <c r="G388" s="76" t="n">
        <v>677</v>
      </c>
      <c r="H388" s="83" t="s">
        <v>1119</v>
      </c>
    </row>
    <row r="389" customFormat="false" ht="15" hidden="false" customHeight="false" outlineLevel="0" collapsed="false">
      <c r="A389" s="81" t="n">
        <v>45838</v>
      </c>
      <c r="B389" s="82" t="n">
        <v>2025</v>
      </c>
      <c r="C389" s="82" t="n">
        <v>6</v>
      </c>
      <c r="D389" s="83" t="s">
        <v>140</v>
      </c>
      <c r="E389" s="83" t="s">
        <v>138</v>
      </c>
      <c r="F389" s="83" t="s">
        <v>135</v>
      </c>
      <c r="G389" s="76" t="n">
        <v>328</v>
      </c>
      <c r="H389" s="83" t="s">
        <v>1120</v>
      </c>
    </row>
    <row r="390" customFormat="false" ht="15" hidden="false" customHeight="false" outlineLevel="0" collapsed="false">
      <c r="A390" s="81" t="n">
        <v>45838</v>
      </c>
      <c r="B390" s="82" t="n">
        <v>2025</v>
      </c>
      <c r="C390" s="82" t="n">
        <v>6</v>
      </c>
      <c r="D390" s="83" t="s">
        <v>141</v>
      </c>
      <c r="E390" s="83" t="s">
        <v>138</v>
      </c>
      <c r="F390" s="83" t="s">
        <v>135</v>
      </c>
      <c r="G390" s="76" t="n">
        <v>568</v>
      </c>
      <c r="H390" s="83" t="s">
        <v>1121</v>
      </c>
    </row>
    <row r="391" customFormat="false" ht="15" hidden="false" customHeight="false" outlineLevel="0" collapsed="false">
      <c r="A391" s="81" t="n">
        <v>45838</v>
      </c>
      <c r="B391" s="82" t="n">
        <v>2025</v>
      </c>
      <c r="C391" s="82" t="n">
        <v>6</v>
      </c>
      <c r="D391" s="83" t="s">
        <v>142</v>
      </c>
      <c r="E391" s="83" t="s">
        <v>138</v>
      </c>
      <c r="F391" s="83" t="s">
        <v>135</v>
      </c>
      <c r="G391" s="76" t="n">
        <v>219</v>
      </c>
      <c r="H391" s="83" t="s">
        <v>1122</v>
      </c>
    </row>
    <row r="392" customFormat="false" ht="15" hidden="false" customHeight="false" outlineLevel="0" collapsed="false">
      <c r="A392" s="81" t="n">
        <v>45838</v>
      </c>
      <c r="B392" s="82" t="n">
        <v>2025</v>
      </c>
      <c r="C392" s="82" t="n">
        <v>6</v>
      </c>
      <c r="D392" s="83" t="s">
        <v>143</v>
      </c>
      <c r="E392" s="83" t="s">
        <v>138</v>
      </c>
      <c r="F392" s="83" t="s">
        <v>135</v>
      </c>
      <c r="G392" s="76" t="n">
        <v>457</v>
      </c>
      <c r="H392" s="83" t="s">
        <v>1123</v>
      </c>
    </row>
    <row r="393" customFormat="false" ht="15" hidden="false" customHeight="false" outlineLevel="0" collapsed="false">
      <c r="A393" s="81" t="n">
        <v>45838</v>
      </c>
      <c r="B393" s="82" t="n">
        <v>2025</v>
      </c>
      <c r="C393" s="82" t="n">
        <v>6</v>
      </c>
      <c r="D393" s="83" t="s">
        <v>144</v>
      </c>
      <c r="E393" s="83" t="s">
        <v>138</v>
      </c>
      <c r="F393" s="83" t="s">
        <v>135</v>
      </c>
      <c r="G393" s="76" t="n">
        <v>368</v>
      </c>
      <c r="H393" s="83" t="s">
        <v>1124</v>
      </c>
    </row>
    <row r="394" customFormat="false" ht="15" hidden="false" customHeight="false" outlineLevel="0" collapsed="false">
      <c r="A394" s="81" t="n">
        <v>45838</v>
      </c>
      <c r="B394" s="82" t="n">
        <v>2025</v>
      </c>
      <c r="C394" s="82" t="n">
        <v>6</v>
      </c>
      <c r="D394" s="83" t="s">
        <v>145</v>
      </c>
      <c r="E394" s="83" t="s">
        <v>138</v>
      </c>
      <c r="F394" s="83" t="s">
        <v>131</v>
      </c>
      <c r="G394" s="76" t="n">
        <v>119</v>
      </c>
      <c r="H394" s="83" t="s">
        <v>1125</v>
      </c>
    </row>
    <row r="395" customFormat="false" ht="15" hidden="false" customHeight="false" outlineLevel="0" collapsed="false">
      <c r="A395" s="81" t="n">
        <v>45869</v>
      </c>
      <c r="B395" s="82" t="n">
        <v>2025</v>
      </c>
      <c r="C395" s="82" t="n">
        <v>7</v>
      </c>
      <c r="D395" s="83" t="s">
        <v>129</v>
      </c>
      <c r="E395" s="83" t="s">
        <v>130</v>
      </c>
      <c r="F395" s="83" t="s">
        <v>131</v>
      </c>
      <c r="G395" s="76" t="n">
        <v>1314</v>
      </c>
      <c r="H395" s="83" t="s">
        <v>1126</v>
      </c>
    </row>
    <row r="396" customFormat="false" ht="15" hidden="false" customHeight="false" outlineLevel="0" collapsed="false">
      <c r="A396" s="81" t="n">
        <v>45869</v>
      </c>
      <c r="B396" s="82" t="n">
        <v>2025</v>
      </c>
      <c r="C396" s="82" t="n">
        <v>7</v>
      </c>
      <c r="D396" s="83" t="s">
        <v>132</v>
      </c>
      <c r="E396" s="83" t="s">
        <v>130</v>
      </c>
      <c r="F396" s="83" t="s">
        <v>131</v>
      </c>
      <c r="G396" s="76" t="n">
        <v>747</v>
      </c>
      <c r="H396" s="83" t="s">
        <v>1127</v>
      </c>
    </row>
    <row r="397" customFormat="false" ht="15" hidden="false" customHeight="false" outlineLevel="0" collapsed="false">
      <c r="A397" s="81" t="n">
        <v>45869</v>
      </c>
      <c r="B397" s="82" t="n">
        <v>2025</v>
      </c>
      <c r="C397" s="82" t="n">
        <v>7</v>
      </c>
      <c r="D397" s="83" t="s">
        <v>133</v>
      </c>
      <c r="E397" s="83" t="s">
        <v>130</v>
      </c>
      <c r="F397" s="83" t="s">
        <v>131</v>
      </c>
      <c r="G397" s="76" t="n">
        <v>2014</v>
      </c>
      <c r="H397" s="83" t="s">
        <v>1128</v>
      </c>
    </row>
    <row r="398" customFormat="false" ht="15" hidden="false" customHeight="false" outlineLevel="0" collapsed="false">
      <c r="A398" s="81" t="n">
        <v>45869</v>
      </c>
      <c r="B398" s="82" t="n">
        <v>2025</v>
      </c>
      <c r="C398" s="82" t="n">
        <v>7</v>
      </c>
      <c r="D398" s="83" t="s">
        <v>134</v>
      </c>
      <c r="E398" s="83" t="s">
        <v>130</v>
      </c>
      <c r="F398" s="83" t="s">
        <v>135</v>
      </c>
      <c r="G398" s="76" t="n">
        <v>2061</v>
      </c>
      <c r="H398" s="83" t="s">
        <v>1129</v>
      </c>
    </row>
    <row r="399" customFormat="false" ht="15" hidden="false" customHeight="false" outlineLevel="0" collapsed="false">
      <c r="A399" s="81" t="n">
        <v>45869</v>
      </c>
      <c r="B399" s="82" t="n">
        <v>2025</v>
      </c>
      <c r="C399" s="82" t="n">
        <v>7</v>
      </c>
      <c r="D399" s="83" t="s">
        <v>136</v>
      </c>
      <c r="E399" s="83" t="s">
        <v>130</v>
      </c>
      <c r="F399" s="83" t="s">
        <v>135</v>
      </c>
      <c r="G399" s="76" t="n">
        <v>2717</v>
      </c>
      <c r="H399" s="83" t="s">
        <v>1130</v>
      </c>
    </row>
    <row r="400" customFormat="false" ht="15" hidden="false" customHeight="false" outlineLevel="0" collapsed="false">
      <c r="A400" s="81" t="n">
        <v>45869</v>
      </c>
      <c r="B400" s="82" t="n">
        <v>2025</v>
      </c>
      <c r="C400" s="82" t="n">
        <v>7</v>
      </c>
      <c r="D400" s="83" t="s">
        <v>137</v>
      </c>
      <c r="E400" s="83" t="s">
        <v>138</v>
      </c>
      <c r="F400" s="83" t="s">
        <v>135</v>
      </c>
      <c r="G400" s="76" t="n">
        <v>2540</v>
      </c>
      <c r="H400" s="83" t="s">
        <v>1131</v>
      </c>
    </row>
    <row r="401" customFormat="false" ht="15" hidden="false" customHeight="false" outlineLevel="0" collapsed="false">
      <c r="A401" s="81" t="n">
        <v>45869</v>
      </c>
      <c r="B401" s="82" t="n">
        <v>2025</v>
      </c>
      <c r="C401" s="82" t="n">
        <v>7</v>
      </c>
      <c r="D401" s="83" t="s">
        <v>139</v>
      </c>
      <c r="E401" s="83" t="s">
        <v>138</v>
      </c>
      <c r="F401" s="83" t="s">
        <v>135</v>
      </c>
      <c r="G401" s="76" t="n">
        <v>685</v>
      </c>
      <c r="H401" s="83" t="s">
        <v>1132</v>
      </c>
    </row>
    <row r="402" customFormat="false" ht="15" hidden="false" customHeight="false" outlineLevel="0" collapsed="false">
      <c r="A402" s="81" t="n">
        <v>45869</v>
      </c>
      <c r="B402" s="82" t="n">
        <v>2025</v>
      </c>
      <c r="C402" s="82" t="n">
        <v>7</v>
      </c>
      <c r="D402" s="83" t="s">
        <v>140</v>
      </c>
      <c r="E402" s="83" t="s">
        <v>138</v>
      </c>
      <c r="F402" s="83" t="s">
        <v>135</v>
      </c>
      <c r="G402" s="76" t="n">
        <v>333</v>
      </c>
      <c r="H402" s="83" t="s">
        <v>1133</v>
      </c>
    </row>
    <row r="403" customFormat="false" ht="15" hidden="false" customHeight="false" outlineLevel="0" collapsed="false">
      <c r="A403" s="81" t="n">
        <v>45869</v>
      </c>
      <c r="B403" s="82" t="n">
        <v>2025</v>
      </c>
      <c r="C403" s="82" t="n">
        <v>7</v>
      </c>
      <c r="D403" s="83" t="s">
        <v>141</v>
      </c>
      <c r="E403" s="83" t="s">
        <v>138</v>
      </c>
      <c r="F403" s="83" t="s">
        <v>135</v>
      </c>
      <c r="G403" s="76" t="n">
        <v>577</v>
      </c>
      <c r="H403" s="83" t="s">
        <v>1134</v>
      </c>
    </row>
    <row r="404" customFormat="false" ht="15" hidden="false" customHeight="false" outlineLevel="0" collapsed="false">
      <c r="A404" s="81" t="n">
        <v>45869</v>
      </c>
      <c r="B404" s="82" t="n">
        <v>2025</v>
      </c>
      <c r="C404" s="82" t="n">
        <v>7</v>
      </c>
      <c r="D404" s="83" t="s">
        <v>142</v>
      </c>
      <c r="E404" s="83" t="s">
        <v>138</v>
      </c>
      <c r="F404" s="83" t="s">
        <v>135</v>
      </c>
      <c r="G404" s="76" t="n">
        <v>206</v>
      </c>
      <c r="H404" s="83" t="s">
        <v>1135</v>
      </c>
    </row>
    <row r="405" customFormat="false" ht="15" hidden="false" customHeight="false" outlineLevel="0" collapsed="false">
      <c r="A405" s="81" t="n">
        <v>45869</v>
      </c>
      <c r="B405" s="82" t="n">
        <v>2025</v>
      </c>
      <c r="C405" s="82" t="n">
        <v>7</v>
      </c>
      <c r="D405" s="83" t="s">
        <v>143</v>
      </c>
      <c r="E405" s="83" t="s">
        <v>138</v>
      </c>
      <c r="F405" s="83" t="s">
        <v>135</v>
      </c>
      <c r="G405" s="76" t="n">
        <v>454</v>
      </c>
      <c r="H405" s="83" t="s">
        <v>1136</v>
      </c>
    </row>
    <row r="406" customFormat="false" ht="15" hidden="false" customHeight="false" outlineLevel="0" collapsed="false">
      <c r="A406" s="81" t="n">
        <v>45869</v>
      </c>
      <c r="B406" s="82" t="n">
        <v>2025</v>
      </c>
      <c r="C406" s="82" t="n">
        <v>7</v>
      </c>
      <c r="D406" s="83" t="s">
        <v>144</v>
      </c>
      <c r="E406" s="83" t="s">
        <v>138</v>
      </c>
      <c r="F406" s="83" t="s">
        <v>135</v>
      </c>
      <c r="G406" s="76" t="n">
        <v>369</v>
      </c>
      <c r="H406" s="83" t="s">
        <v>1137</v>
      </c>
    </row>
    <row r="407" customFormat="false" ht="15" hidden="false" customHeight="false" outlineLevel="0" collapsed="false">
      <c r="A407" s="81" t="n">
        <v>45869</v>
      </c>
      <c r="B407" s="82" t="n">
        <v>2025</v>
      </c>
      <c r="C407" s="82" t="n">
        <v>7</v>
      </c>
      <c r="D407" s="83" t="s">
        <v>145</v>
      </c>
      <c r="E407" s="83" t="s">
        <v>138</v>
      </c>
      <c r="F407" s="83" t="s">
        <v>131</v>
      </c>
      <c r="G407" s="76" t="n">
        <v>119</v>
      </c>
      <c r="H407" s="83" t="s">
        <v>1138</v>
      </c>
    </row>
    <row r="408" customFormat="false" ht="15" hidden="false" customHeight="false" outlineLevel="0" collapsed="false">
      <c r="A408" s="81" t="n">
        <v>45900</v>
      </c>
      <c r="B408" s="82" t="n">
        <v>2025</v>
      </c>
      <c r="C408" s="82" t="n">
        <v>8</v>
      </c>
      <c r="D408" s="83" t="s">
        <v>129</v>
      </c>
      <c r="E408" s="83" t="s">
        <v>130</v>
      </c>
      <c r="F408" s="83" t="s">
        <v>131</v>
      </c>
      <c r="G408" s="76" t="n">
        <v>1272</v>
      </c>
      <c r="H408" s="83" t="s">
        <v>1139</v>
      </c>
    </row>
    <row r="409" customFormat="false" ht="15" hidden="false" customHeight="false" outlineLevel="0" collapsed="false">
      <c r="A409" s="81" t="n">
        <v>45900</v>
      </c>
      <c r="B409" s="82" t="n">
        <v>2025</v>
      </c>
      <c r="C409" s="82" t="n">
        <v>8</v>
      </c>
      <c r="D409" s="83" t="s">
        <v>132</v>
      </c>
      <c r="E409" s="83" t="s">
        <v>130</v>
      </c>
      <c r="F409" s="83" t="s">
        <v>131</v>
      </c>
      <c r="G409" s="76" t="n">
        <v>740</v>
      </c>
      <c r="H409" s="83" t="s">
        <v>1140</v>
      </c>
    </row>
    <row r="410" customFormat="false" ht="15" hidden="false" customHeight="false" outlineLevel="0" collapsed="false">
      <c r="A410" s="81" t="n">
        <v>45900</v>
      </c>
      <c r="B410" s="82" t="n">
        <v>2025</v>
      </c>
      <c r="C410" s="82" t="n">
        <v>8</v>
      </c>
      <c r="D410" s="83" t="s">
        <v>133</v>
      </c>
      <c r="E410" s="83" t="s">
        <v>130</v>
      </c>
      <c r="F410" s="83" t="s">
        <v>131</v>
      </c>
      <c r="G410" s="76" t="n">
        <v>1914</v>
      </c>
      <c r="H410" s="83" t="s">
        <v>1141</v>
      </c>
    </row>
    <row r="411" customFormat="false" ht="15" hidden="false" customHeight="false" outlineLevel="0" collapsed="false">
      <c r="A411" s="81" t="n">
        <v>45900</v>
      </c>
      <c r="B411" s="82" t="n">
        <v>2025</v>
      </c>
      <c r="C411" s="82" t="n">
        <v>8</v>
      </c>
      <c r="D411" s="83" t="s">
        <v>134</v>
      </c>
      <c r="E411" s="83" t="s">
        <v>130</v>
      </c>
      <c r="F411" s="83" t="s">
        <v>135</v>
      </c>
      <c r="G411" s="76" t="n">
        <v>2065</v>
      </c>
      <c r="H411" s="83" t="s">
        <v>1142</v>
      </c>
    </row>
    <row r="412" customFormat="false" ht="15" hidden="false" customHeight="false" outlineLevel="0" collapsed="false">
      <c r="A412" s="81" t="n">
        <v>45900</v>
      </c>
      <c r="B412" s="82" t="n">
        <v>2025</v>
      </c>
      <c r="C412" s="82" t="n">
        <v>8</v>
      </c>
      <c r="D412" s="83" t="s">
        <v>136</v>
      </c>
      <c r="E412" s="83" t="s">
        <v>130</v>
      </c>
      <c r="F412" s="83" t="s">
        <v>135</v>
      </c>
      <c r="G412" s="76" t="n">
        <v>2727</v>
      </c>
      <c r="H412" s="83" t="s">
        <v>1143</v>
      </c>
    </row>
    <row r="413" customFormat="false" ht="15" hidden="false" customHeight="false" outlineLevel="0" collapsed="false">
      <c r="A413" s="81" t="n">
        <v>45900</v>
      </c>
      <c r="B413" s="82" t="n">
        <v>2025</v>
      </c>
      <c r="C413" s="82" t="n">
        <v>8</v>
      </c>
      <c r="D413" s="83" t="s">
        <v>137</v>
      </c>
      <c r="E413" s="83" t="s">
        <v>138</v>
      </c>
      <c r="F413" s="83" t="s">
        <v>135</v>
      </c>
      <c r="G413" s="76" t="n">
        <v>2553</v>
      </c>
      <c r="H413" s="83" t="s">
        <v>1144</v>
      </c>
    </row>
    <row r="414" customFormat="false" ht="15" hidden="false" customHeight="false" outlineLevel="0" collapsed="false">
      <c r="A414" s="81" t="n">
        <v>45900</v>
      </c>
      <c r="B414" s="82" t="n">
        <v>2025</v>
      </c>
      <c r="C414" s="82" t="n">
        <v>8</v>
      </c>
      <c r="D414" s="83" t="s">
        <v>139</v>
      </c>
      <c r="E414" s="83" t="s">
        <v>138</v>
      </c>
      <c r="F414" s="83" t="s">
        <v>135</v>
      </c>
      <c r="G414" s="76" t="n">
        <v>666</v>
      </c>
      <c r="H414" s="83" t="s">
        <v>1145</v>
      </c>
    </row>
    <row r="415" customFormat="false" ht="15" hidden="false" customHeight="false" outlineLevel="0" collapsed="false">
      <c r="A415" s="81" t="n">
        <v>45900</v>
      </c>
      <c r="B415" s="82" t="n">
        <v>2025</v>
      </c>
      <c r="C415" s="82" t="n">
        <v>8</v>
      </c>
      <c r="D415" s="83" t="s">
        <v>140</v>
      </c>
      <c r="E415" s="83" t="s">
        <v>138</v>
      </c>
      <c r="F415" s="83" t="s">
        <v>135</v>
      </c>
      <c r="G415" s="76" t="n">
        <v>326</v>
      </c>
      <c r="H415" s="83" t="s">
        <v>1146</v>
      </c>
    </row>
    <row r="416" customFormat="false" ht="15" hidden="false" customHeight="false" outlineLevel="0" collapsed="false">
      <c r="A416" s="81" t="n">
        <v>45900</v>
      </c>
      <c r="B416" s="82" t="n">
        <v>2025</v>
      </c>
      <c r="C416" s="82" t="n">
        <v>8</v>
      </c>
      <c r="D416" s="83" t="s">
        <v>141</v>
      </c>
      <c r="E416" s="83" t="s">
        <v>138</v>
      </c>
      <c r="F416" s="83" t="s">
        <v>135</v>
      </c>
      <c r="G416" s="76" t="n">
        <v>580</v>
      </c>
      <c r="H416" s="83" t="s">
        <v>1147</v>
      </c>
    </row>
    <row r="417" customFormat="false" ht="15" hidden="false" customHeight="false" outlineLevel="0" collapsed="false">
      <c r="A417" s="81" t="n">
        <v>45900</v>
      </c>
      <c r="B417" s="82" t="n">
        <v>2025</v>
      </c>
      <c r="C417" s="82" t="n">
        <v>8</v>
      </c>
      <c r="D417" s="83" t="s">
        <v>142</v>
      </c>
      <c r="E417" s="83" t="s">
        <v>138</v>
      </c>
      <c r="F417" s="83" t="s">
        <v>135</v>
      </c>
      <c r="G417" s="76" t="n">
        <v>222</v>
      </c>
      <c r="H417" s="83" t="s">
        <v>1148</v>
      </c>
    </row>
    <row r="418" customFormat="false" ht="15" hidden="false" customHeight="false" outlineLevel="0" collapsed="false">
      <c r="A418" s="81" t="n">
        <v>45900</v>
      </c>
      <c r="B418" s="82" t="n">
        <v>2025</v>
      </c>
      <c r="C418" s="82" t="n">
        <v>8</v>
      </c>
      <c r="D418" s="83" t="s">
        <v>143</v>
      </c>
      <c r="E418" s="83" t="s">
        <v>138</v>
      </c>
      <c r="F418" s="83" t="s">
        <v>135</v>
      </c>
      <c r="G418" s="76" t="n">
        <v>452</v>
      </c>
      <c r="H418" s="83" t="s">
        <v>1149</v>
      </c>
    </row>
    <row r="419" customFormat="false" ht="15" hidden="false" customHeight="false" outlineLevel="0" collapsed="false">
      <c r="A419" s="81" t="n">
        <v>45900</v>
      </c>
      <c r="B419" s="82" t="n">
        <v>2025</v>
      </c>
      <c r="C419" s="82" t="n">
        <v>8</v>
      </c>
      <c r="D419" s="83" t="s">
        <v>144</v>
      </c>
      <c r="E419" s="83" t="s">
        <v>138</v>
      </c>
      <c r="F419" s="83" t="s">
        <v>135</v>
      </c>
      <c r="G419" s="76" t="n">
        <v>366</v>
      </c>
      <c r="H419" s="83" t="s">
        <v>1150</v>
      </c>
    </row>
    <row r="420" customFormat="false" ht="15" hidden="false" customHeight="false" outlineLevel="0" collapsed="false">
      <c r="A420" s="81" t="n">
        <v>45900</v>
      </c>
      <c r="B420" s="82" t="n">
        <v>2025</v>
      </c>
      <c r="C420" s="82" t="n">
        <v>8</v>
      </c>
      <c r="D420" s="83" t="s">
        <v>145</v>
      </c>
      <c r="E420" s="83" t="s">
        <v>138</v>
      </c>
      <c r="F420" s="83" t="s">
        <v>131</v>
      </c>
      <c r="G420" s="76" t="n">
        <v>124</v>
      </c>
      <c r="H420" s="83" t="s">
        <v>1151</v>
      </c>
    </row>
    <row r="421" customFormat="false" ht="15" hidden="false" customHeight="false" outlineLevel="0" collapsed="false">
      <c r="A421" s="81" t="n">
        <v>45930</v>
      </c>
      <c r="B421" s="82" t="n">
        <v>2025</v>
      </c>
      <c r="C421" s="82" t="n">
        <v>9</v>
      </c>
      <c r="D421" s="83" t="s">
        <v>129</v>
      </c>
      <c r="E421" s="83" t="s">
        <v>130</v>
      </c>
      <c r="F421" s="83" t="s">
        <v>131</v>
      </c>
      <c r="G421" s="76" t="n">
        <v>1334</v>
      </c>
      <c r="H421" s="83" t="s">
        <v>1152</v>
      </c>
    </row>
    <row r="422" customFormat="false" ht="15" hidden="false" customHeight="false" outlineLevel="0" collapsed="false">
      <c r="A422" s="81" t="n">
        <v>45930</v>
      </c>
      <c r="B422" s="82" t="n">
        <v>2025</v>
      </c>
      <c r="C422" s="82" t="n">
        <v>9</v>
      </c>
      <c r="D422" s="83" t="s">
        <v>132</v>
      </c>
      <c r="E422" s="83" t="s">
        <v>130</v>
      </c>
      <c r="F422" s="83" t="s">
        <v>131</v>
      </c>
      <c r="G422" s="76" t="n">
        <v>731</v>
      </c>
      <c r="H422" s="83" t="s">
        <v>1153</v>
      </c>
    </row>
    <row r="423" customFormat="false" ht="15" hidden="false" customHeight="false" outlineLevel="0" collapsed="false">
      <c r="A423" s="81" t="n">
        <v>45930</v>
      </c>
      <c r="B423" s="82" t="n">
        <v>2025</v>
      </c>
      <c r="C423" s="82" t="n">
        <v>9</v>
      </c>
      <c r="D423" s="83" t="s">
        <v>133</v>
      </c>
      <c r="E423" s="83" t="s">
        <v>130</v>
      </c>
      <c r="F423" s="83" t="s">
        <v>131</v>
      </c>
      <c r="G423" s="76" t="n">
        <v>2005</v>
      </c>
      <c r="H423" s="83" t="s">
        <v>1154</v>
      </c>
    </row>
    <row r="424" customFormat="false" ht="15" hidden="false" customHeight="false" outlineLevel="0" collapsed="false">
      <c r="A424" s="81" t="n">
        <v>45930</v>
      </c>
      <c r="B424" s="82" t="n">
        <v>2025</v>
      </c>
      <c r="C424" s="82" t="n">
        <v>9</v>
      </c>
      <c r="D424" s="83" t="s">
        <v>134</v>
      </c>
      <c r="E424" s="83" t="s">
        <v>130</v>
      </c>
      <c r="F424" s="83" t="s">
        <v>135</v>
      </c>
      <c r="G424" s="76" t="n">
        <v>2102</v>
      </c>
      <c r="H424" s="83" t="s">
        <v>1155</v>
      </c>
    </row>
    <row r="425" customFormat="false" ht="15" hidden="false" customHeight="false" outlineLevel="0" collapsed="false">
      <c r="A425" s="81" t="n">
        <v>45930</v>
      </c>
      <c r="B425" s="82" t="n">
        <v>2025</v>
      </c>
      <c r="C425" s="82" t="n">
        <v>9</v>
      </c>
      <c r="D425" s="83" t="s">
        <v>136</v>
      </c>
      <c r="E425" s="83" t="s">
        <v>130</v>
      </c>
      <c r="F425" s="83" t="s">
        <v>135</v>
      </c>
      <c r="G425" s="76" t="n">
        <v>2780</v>
      </c>
      <c r="H425" s="83" t="s">
        <v>1156</v>
      </c>
    </row>
    <row r="426" customFormat="false" ht="15" hidden="false" customHeight="false" outlineLevel="0" collapsed="false">
      <c r="A426" s="81" t="n">
        <v>45930</v>
      </c>
      <c r="B426" s="82" t="n">
        <v>2025</v>
      </c>
      <c r="C426" s="82" t="n">
        <v>9</v>
      </c>
      <c r="D426" s="83" t="s">
        <v>137</v>
      </c>
      <c r="E426" s="83" t="s">
        <v>138</v>
      </c>
      <c r="F426" s="83" t="s">
        <v>135</v>
      </c>
      <c r="G426" s="76" t="n">
        <v>2520</v>
      </c>
      <c r="H426" s="83" t="s">
        <v>1157</v>
      </c>
    </row>
    <row r="427" customFormat="false" ht="15" hidden="false" customHeight="false" outlineLevel="0" collapsed="false">
      <c r="A427" s="81" t="n">
        <v>45930</v>
      </c>
      <c r="B427" s="82" t="n">
        <v>2025</v>
      </c>
      <c r="C427" s="82" t="n">
        <v>9</v>
      </c>
      <c r="D427" s="83" t="s">
        <v>139</v>
      </c>
      <c r="E427" s="83" t="s">
        <v>138</v>
      </c>
      <c r="F427" s="83" t="s">
        <v>135</v>
      </c>
      <c r="G427" s="76" t="n">
        <v>686</v>
      </c>
      <c r="H427" s="83" t="s">
        <v>1158</v>
      </c>
    </row>
    <row r="428" customFormat="false" ht="15" hidden="false" customHeight="false" outlineLevel="0" collapsed="false">
      <c r="A428" s="81" t="n">
        <v>45930</v>
      </c>
      <c r="B428" s="82" t="n">
        <v>2025</v>
      </c>
      <c r="C428" s="82" t="n">
        <v>9</v>
      </c>
      <c r="D428" s="83" t="s">
        <v>140</v>
      </c>
      <c r="E428" s="83" t="s">
        <v>138</v>
      </c>
      <c r="F428" s="83" t="s">
        <v>135</v>
      </c>
      <c r="G428" s="76" t="n">
        <v>327</v>
      </c>
      <c r="H428" s="83" t="s">
        <v>1159</v>
      </c>
    </row>
    <row r="429" customFormat="false" ht="15" hidden="false" customHeight="false" outlineLevel="0" collapsed="false">
      <c r="A429" s="81" t="n">
        <v>45930</v>
      </c>
      <c r="B429" s="82" t="n">
        <v>2025</v>
      </c>
      <c r="C429" s="82" t="n">
        <v>9</v>
      </c>
      <c r="D429" s="83" t="s">
        <v>141</v>
      </c>
      <c r="E429" s="83" t="s">
        <v>138</v>
      </c>
      <c r="F429" s="83" t="s">
        <v>135</v>
      </c>
      <c r="G429" s="76" t="n">
        <v>561</v>
      </c>
      <c r="H429" s="83" t="s">
        <v>1160</v>
      </c>
    </row>
    <row r="430" customFormat="false" ht="15" hidden="false" customHeight="false" outlineLevel="0" collapsed="false">
      <c r="A430" s="81" t="n">
        <v>45930</v>
      </c>
      <c r="B430" s="82" t="n">
        <v>2025</v>
      </c>
      <c r="C430" s="82" t="n">
        <v>9</v>
      </c>
      <c r="D430" s="83" t="s">
        <v>142</v>
      </c>
      <c r="E430" s="83" t="s">
        <v>138</v>
      </c>
      <c r="F430" s="83" t="s">
        <v>135</v>
      </c>
      <c r="G430" s="76" t="n">
        <v>210</v>
      </c>
      <c r="H430" s="83" t="s">
        <v>1161</v>
      </c>
    </row>
    <row r="431" customFormat="false" ht="15" hidden="false" customHeight="false" outlineLevel="0" collapsed="false">
      <c r="A431" s="81" t="n">
        <v>45930</v>
      </c>
      <c r="B431" s="82" t="n">
        <v>2025</v>
      </c>
      <c r="C431" s="82" t="n">
        <v>9</v>
      </c>
      <c r="D431" s="83" t="s">
        <v>143</v>
      </c>
      <c r="E431" s="83" t="s">
        <v>138</v>
      </c>
      <c r="F431" s="83" t="s">
        <v>135</v>
      </c>
      <c r="G431" s="76" t="n">
        <v>452</v>
      </c>
      <c r="H431" s="83" t="s">
        <v>1162</v>
      </c>
    </row>
    <row r="432" customFormat="false" ht="15" hidden="false" customHeight="false" outlineLevel="0" collapsed="false">
      <c r="A432" s="81" t="n">
        <v>45930</v>
      </c>
      <c r="B432" s="82" t="n">
        <v>2025</v>
      </c>
      <c r="C432" s="82" t="n">
        <v>9</v>
      </c>
      <c r="D432" s="83" t="s">
        <v>144</v>
      </c>
      <c r="E432" s="83" t="s">
        <v>138</v>
      </c>
      <c r="F432" s="83" t="s">
        <v>135</v>
      </c>
      <c r="G432" s="76" t="n">
        <v>378</v>
      </c>
      <c r="H432" s="83" t="s">
        <v>1163</v>
      </c>
    </row>
    <row r="433" customFormat="false" ht="15" hidden="false" customHeight="false" outlineLevel="0" collapsed="false">
      <c r="A433" s="81" t="n">
        <v>45930</v>
      </c>
      <c r="B433" s="82" t="n">
        <v>2025</v>
      </c>
      <c r="C433" s="82" t="n">
        <v>9</v>
      </c>
      <c r="D433" s="83" t="s">
        <v>145</v>
      </c>
      <c r="E433" s="83" t="s">
        <v>138</v>
      </c>
      <c r="F433" s="83" t="s">
        <v>131</v>
      </c>
      <c r="G433" s="76" t="n">
        <v>121</v>
      </c>
      <c r="H433" s="83" t="s">
        <v>1164</v>
      </c>
    </row>
    <row r="434" customFormat="false" ht="15" hidden="false" customHeight="false" outlineLevel="0" collapsed="false">
      <c r="A434" s="81" t="n">
        <v>45961</v>
      </c>
      <c r="B434" s="82" t="n">
        <v>2025</v>
      </c>
      <c r="C434" s="82" t="n">
        <v>10</v>
      </c>
      <c r="D434" s="83" t="s">
        <v>129</v>
      </c>
      <c r="E434" s="83" t="s">
        <v>130</v>
      </c>
      <c r="F434" s="83" t="s">
        <v>131</v>
      </c>
      <c r="G434" s="76" t="n">
        <v>1324</v>
      </c>
      <c r="H434" s="83" t="s">
        <v>1165</v>
      </c>
    </row>
    <row r="435" customFormat="false" ht="15" hidden="false" customHeight="false" outlineLevel="0" collapsed="false">
      <c r="A435" s="81" t="n">
        <v>45961</v>
      </c>
      <c r="B435" s="82" t="n">
        <v>2025</v>
      </c>
      <c r="C435" s="82" t="n">
        <v>10</v>
      </c>
      <c r="D435" s="83" t="s">
        <v>132</v>
      </c>
      <c r="E435" s="83" t="s">
        <v>130</v>
      </c>
      <c r="F435" s="83" t="s">
        <v>131</v>
      </c>
      <c r="G435" s="76" t="n">
        <v>945</v>
      </c>
      <c r="H435" s="83" t="s">
        <v>1166</v>
      </c>
    </row>
    <row r="436" customFormat="false" ht="15" hidden="false" customHeight="false" outlineLevel="0" collapsed="false">
      <c r="A436" s="81" t="n">
        <v>45961</v>
      </c>
      <c r="B436" s="82" t="n">
        <v>2025</v>
      </c>
      <c r="C436" s="82" t="n">
        <v>10</v>
      </c>
      <c r="D436" s="83" t="s">
        <v>133</v>
      </c>
      <c r="E436" s="83" t="s">
        <v>130</v>
      </c>
      <c r="F436" s="83" t="s">
        <v>131</v>
      </c>
      <c r="G436" s="76" t="n">
        <v>1985</v>
      </c>
      <c r="H436" s="83" t="s">
        <v>1167</v>
      </c>
    </row>
    <row r="437" customFormat="false" ht="15" hidden="false" customHeight="false" outlineLevel="0" collapsed="false">
      <c r="A437" s="81" t="n">
        <v>45961</v>
      </c>
      <c r="B437" s="82" t="n">
        <v>2025</v>
      </c>
      <c r="C437" s="82" t="n">
        <v>10</v>
      </c>
      <c r="D437" s="83" t="s">
        <v>134</v>
      </c>
      <c r="E437" s="83" t="s">
        <v>130</v>
      </c>
      <c r="F437" s="83" t="s">
        <v>135</v>
      </c>
      <c r="G437" s="76" t="n">
        <v>2058</v>
      </c>
      <c r="H437" s="83" t="s">
        <v>1168</v>
      </c>
    </row>
    <row r="438" customFormat="false" ht="15" hidden="false" customHeight="false" outlineLevel="0" collapsed="false">
      <c r="A438" s="81" t="n">
        <v>45961</v>
      </c>
      <c r="B438" s="82" t="n">
        <v>2025</v>
      </c>
      <c r="C438" s="82" t="n">
        <v>10</v>
      </c>
      <c r="D438" s="83" t="s">
        <v>136</v>
      </c>
      <c r="E438" s="83" t="s">
        <v>130</v>
      </c>
      <c r="F438" s="83" t="s">
        <v>135</v>
      </c>
      <c r="G438" s="76" t="n">
        <v>2750</v>
      </c>
      <c r="H438" s="83" t="s">
        <v>1169</v>
      </c>
    </row>
    <row r="439" customFormat="false" ht="15" hidden="false" customHeight="false" outlineLevel="0" collapsed="false">
      <c r="A439" s="81" t="n">
        <v>45961</v>
      </c>
      <c r="B439" s="82" t="n">
        <v>2025</v>
      </c>
      <c r="C439" s="82" t="n">
        <v>10</v>
      </c>
      <c r="D439" s="83" t="s">
        <v>137</v>
      </c>
      <c r="E439" s="83" t="s">
        <v>138</v>
      </c>
      <c r="F439" s="83" t="s">
        <v>135</v>
      </c>
      <c r="G439" s="76" t="n">
        <v>2495</v>
      </c>
      <c r="H439" s="83" t="s">
        <v>1170</v>
      </c>
    </row>
    <row r="440" customFormat="false" ht="15" hidden="false" customHeight="false" outlineLevel="0" collapsed="false">
      <c r="A440" s="81" t="n">
        <v>45961</v>
      </c>
      <c r="B440" s="82" t="n">
        <v>2025</v>
      </c>
      <c r="C440" s="82" t="n">
        <v>10</v>
      </c>
      <c r="D440" s="83" t="s">
        <v>139</v>
      </c>
      <c r="E440" s="83" t="s">
        <v>138</v>
      </c>
      <c r="F440" s="83" t="s">
        <v>135</v>
      </c>
      <c r="G440" s="76" t="n">
        <v>684</v>
      </c>
      <c r="H440" s="83" t="s">
        <v>1171</v>
      </c>
    </row>
    <row r="441" customFormat="false" ht="15" hidden="false" customHeight="false" outlineLevel="0" collapsed="false">
      <c r="A441" s="81" t="n">
        <v>45961</v>
      </c>
      <c r="B441" s="82" t="n">
        <v>2025</v>
      </c>
      <c r="C441" s="82" t="n">
        <v>10</v>
      </c>
      <c r="D441" s="83" t="s">
        <v>140</v>
      </c>
      <c r="E441" s="83" t="s">
        <v>138</v>
      </c>
      <c r="F441" s="83" t="s">
        <v>135</v>
      </c>
      <c r="G441" s="76" t="n">
        <v>334</v>
      </c>
      <c r="H441" s="83" t="s">
        <v>1172</v>
      </c>
    </row>
    <row r="442" customFormat="false" ht="15" hidden="false" customHeight="false" outlineLevel="0" collapsed="false">
      <c r="A442" s="81" t="n">
        <v>45961</v>
      </c>
      <c r="B442" s="82" t="n">
        <v>2025</v>
      </c>
      <c r="C442" s="82" t="n">
        <v>10</v>
      </c>
      <c r="D442" s="83" t="s">
        <v>141</v>
      </c>
      <c r="E442" s="83" t="s">
        <v>138</v>
      </c>
      <c r="F442" s="83" t="s">
        <v>135</v>
      </c>
      <c r="G442" s="76" t="n">
        <v>571</v>
      </c>
      <c r="H442" s="83" t="s">
        <v>1173</v>
      </c>
    </row>
    <row r="443" customFormat="false" ht="15" hidden="false" customHeight="false" outlineLevel="0" collapsed="false">
      <c r="A443" s="81" t="n">
        <v>45961</v>
      </c>
      <c r="B443" s="82" t="n">
        <v>2025</v>
      </c>
      <c r="C443" s="82" t="n">
        <v>10</v>
      </c>
      <c r="D443" s="83" t="s">
        <v>142</v>
      </c>
      <c r="E443" s="83" t="s">
        <v>138</v>
      </c>
      <c r="F443" s="83" t="s">
        <v>135</v>
      </c>
      <c r="G443" s="76" t="n">
        <v>227</v>
      </c>
      <c r="H443" s="83" t="s">
        <v>1174</v>
      </c>
    </row>
    <row r="444" customFormat="false" ht="15" hidden="false" customHeight="false" outlineLevel="0" collapsed="false">
      <c r="A444" s="81" t="n">
        <v>45961</v>
      </c>
      <c r="B444" s="82" t="n">
        <v>2025</v>
      </c>
      <c r="C444" s="82" t="n">
        <v>10</v>
      </c>
      <c r="D444" s="83" t="s">
        <v>143</v>
      </c>
      <c r="E444" s="83" t="s">
        <v>138</v>
      </c>
      <c r="F444" s="83" t="s">
        <v>135</v>
      </c>
      <c r="G444" s="76" t="n">
        <v>459</v>
      </c>
      <c r="H444" s="83" t="s">
        <v>1175</v>
      </c>
    </row>
    <row r="445" customFormat="false" ht="15" hidden="false" customHeight="false" outlineLevel="0" collapsed="false">
      <c r="A445" s="81" t="n">
        <v>45961</v>
      </c>
      <c r="B445" s="82" t="n">
        <v>2025</v>
      </c>
      <c r="C445" s="82" t="n">
        <v>10</v>
      </c>
      <c r="D445" s="83" t="s">
        <v>144</v>
      </c>
      <c r="E445" s="83" t="s">
        <v>138</v>
      </c>
      <c r="F445" s="83" t="s">
        <v>135</v>
      </c>
      <c r="G445" s="76" t="n">
        <v>373</v>
      </c>
      <c r="H445" s="83" t="s">
        <v>1176</v>
      </c>
    </row>
    <row r="446" customFormat="false" ht="15" hidden="false" customHeight="false" outlineLevel="0" collapsed="false">
      <c r="A446" s="81" t="n">
        <v>45961</v>
      </c>
      <c r="B446" s="82" t="n">
        <v>2025</v>
      </c>
      <c r="C446" s="82" t="n">
        <v>10</v>
      </c>
      <c r="D446" s="83" t="s">
        <v>145</v>
      </c>
      <c r="E446" s="83" t="s">
        <v>138</v>
      </c>
      <c r="F446" s="83" t="s">
        <v>131</v>
      </c>
      <c r="G446" s="76" t="n">
        <v>127</v>
      </c>
      <c r="H446" s="83" t="s">
        <v>1177</v>
      </c>
    </row>
    <row r="447" customFormat="false" ht="15" hidden="false" customHeight="false" outlineLevel="0" collapsed="false">
      <c r="A447" s="81" t="n">
        <v>45991</v>
      </c>
      <c r="B447" s="82" t="n">
        <v>2025</v>
      </c>
      <c r="C447" s="82" t="n">
        <v>11</v>
      </c>
      <c r="D447" s="83" t="s">
        <v>129</v>
      </c>
      <c r="E447" s="83" t="s">
        <v>130</v>
      </c>
      <c r="F447" s="83" t="s">
        <v>131</v>
      </c>
      <c r="G447" s="76" t="n">
        <v>1393</v>
      </c>
      <c r="H447" s="83" t="s">
        <v>1178</v>
      </c>
    </row>
    <row r="448" customFormat="false" ht="15" hidden="false" customHeight="false" outlineLevel="0" collapsed="false">
      <c r="A448" s="81" t="n">
        <v>45991</v>
      </c>
      <c r="B448" s="82" t="n">
        <v>2025</v>
      </c>
      <c r="C448" s="82" t="n">
        <v>11</v>
      </c>
      <c r="D448" s="83" t="s">
        <v>132</v>
      </c>
      <c r="E448" s="83" t="s">
        <v>130</v>
      </c>
      <c r="F448" s="83" t="s">
        <v>131</v>
      </c>
      <c r="G448" s="76" t="n">
        <v>981</v>
      </c>
      <c r="H448" s="83" t="s">
        <v>1179</v>
      </c>
    </row>
    <row r="449" customFormat="false" ht="15" hidden="false" customHeight="false" outlineLevel="0" collapsed="false">
      <c r="A449" s="81" t="n">
        <v>45991</v>
      </c>
      <c r="B449" s="82" t="n">
        <v>2025</v>
      </c>
      <c r="C449" s="82" t="n">
        <v>11</v>
      </c>
      <c r="D449" s="83" t="s">
        <v>133</v>
      </c>
      <c r="E449" s="83" t="s">
        <v>130</v>
      </c>
      <c r="F449" s="83" t="s">
        <v>131</v>
      </c>
      <c r="G449" s="76" t="n">
        <v>2013</v>
      </c>
      <c r="H449" s="83" t="s">
        <v>1180</v>
      </c>
    </row>
    <row r="450" customFormat="false" ht="15" hidden="false" customHeight="false" outlineLevel="0" collapsed="false">
      <c r="A450" s="81" t="n">
        <v>45991</v>
      </c>
      <c r="B450" s="82" t="n">
        <v>2025</v>
      </c>
      <c r="C450" s="82" t="n">
        <v>11</v>
      </c>
      <c r="D450" s="83" t="s">
        <v>134</v>
      </c>
      <c r="E450" s="83" t="s">
        <v>130</v>
      </c>
      <c r="F450" s="83" t="s">
        <v>135</v>
      </c>
      <c r="G450" s="76" t="n">
        <v>2106</v>
      </c>
      <c r="H450" s="83" t="s">
        <v>1181</v>
      </c>
    </row>
    <row r="451" customFormat="false" ht="15" hidden="false" customHeight="false" outlineLevel="0" collapsed="false">
      <c r="A451" s="81" t="n">
        <v>45991</v>
      </c>
      <c r="B451" s="82" t="n">
        <v>2025</v>
      </c>
      <c r="C451" s="82" t="n">
        <v>11</v>
      </c>
      <c r="D451" s="83" t="s">
        <v>136</v>
      </c>
      <c r="E451" s="83" t="s">
        <v>130</v>
      </c>
      <c r="F451" s="83" t="s">
        <v>135</v>
      </c>
      <c r="G451" s="76" t="n">
        <v>2726</v>
      </c>
      <c r="H451" s="83" t="s">
        <v>1182</v>
      </c>
    </row>
    <row r="452" customFormat="false" ht="15" hidden="false" customHeight="false" outlineLevel="0" collapsed="false">
      <c r="A452" s="81" t="n">
        <v>45991</v>
      </c>
      <c r="B452" s="82" t="n">
        <v>2025</v>
      </c>
      <c r="C452" s="82" t="n">
        <v>11</v>
      </c>
      <c r="D452" s="83" t="s">
        <v>137</v>
      </c>
      <c r="E452" s="83" t="s">
        <v>138</v>
      </c>
      <c r="F452" s="83" t="s">
        <v>135</v>
      </c>
      <c r="G452" s="76" t="n">
        <v>2486</v>
      </c>
      <c r="H452" s="83" t="s">
        <v>1183</v>
      </c>
    </row>
    <row r="453" customFormat="false" ht="15" hidden="false" customHeight="false" outlineLevel="0" collapsed="false">
      <c r="A453" s="81" t="n">
        <v>45991</v>
      </c>
      <c r="B453" s="82" t="n">
        <v>2025</v>
      </c>
      <c r="C453" s="82" t="n">
        <v>11</v>
      </c>
      <c r="D453" s="83" t="s">
        <v>139</v>
      </c>
      <c r="E453" s="83" t="s">
        <v>138</v>
      </c>
      <c r="F453" s="83" t="s">
        <v>135</v>
      </c>
      <c r="G453" s="76" t="n">
        <v>691</v>
      </c>
      <c r="H453" s="83" t="s">
        <v>1184</v>
      </c>
    </row>
    <row r="454" customFormat="false" ht="15" hidden="false" customHeight="false" outlineLevel="0" collapsed="false">
      <c r="A454" s="81" t="n">
        <v>45991</v>
      </c>
      <c r="B454" s="82" t="n">
        <v>2025</v>
      </c>
      <c r="C454" s="82" t="n">
        <v>11</v>
      </c>
      <c r="D454" s="83" t="s">
        <v>140</v>
      </c>
      <c r="E454" s="83" t="s">
        <v>138</v>
      </c>
      <c r="F454" s="83" t="s">
        <v>135</v>
      </c>
      <c r="G454" s="76" t="n">
        <v>330</v>
      </c>
      <c r="H454" s="83" t="s">
        <v>1185</v>
      </c>
    </row>
    <row r="455" customFormat="false" ht="15" hidden="false" customHeight="false" outlineLevel="0" collapsed="false">
      <c r="A455" s="81" t="n">
        <v>45991</v>
      </c>
      <c r="B455" s="82" t="n">
        <v>2025</v>
      </c>
      <c r="C455" s="82" t="n">
        <v>11</v>
      </c>
      <c r="D455" s="83" t="s">
        <v>141</v>
      </c>
      <c r="E455" s="83" t="s">
        <v>138</v>
      </c>
      <c r="F455" s="83" t="s">
        <v>135</v>
      </c>
      <c r="G455" s="76" t="n">
        <v>567</v>
      </c>
      <c r="H455" s="83" t="s">
        <v>1186</v>
      </c>
    </row>
    <row r="456" customFormat="false" ht="15" hidden="false" customHeight="false" outlineLevel="0" collapsed="false">
      <c r="A456" s="81" t="n">
        <v>45991</v>
      </c>
      <c r="B456" s="82" t="n">
        <v>2025</v>
      </c>
      <c r="C456" s="82" t="n">
        <v>11</v>
      </c>
      <c r="D456" s="83" t="s">
        <v>142</v>
      </c>
      <c r="E456" s="83" t="s">
        <v>138</v>
      </c>
      <c r="F456" s="83" t="s">
        <v>135</v>
      </c>
      <c r="G456" s="76" t="n">
        <v>203</v>
      </c>
      <c r="H456" s="83" t="s">
        <v>1187</v>
      </c>
    </row>
    <row r="457" customFormat="false" ht="15" hidden="false" customHeight="false" outlineLevel="0" collapsed="false">
      <c r="A457" s="81" t="n">
        <v>45991</v>
      </c>
      <c r="B457" s="82" t="n">
        <v>2025</v>
      </c>
      <c r="C457" s="82" t="n">
        <v>11</v>
      </c>
      <c r="D457" s="83" t="s">
        <v>143</v>
      </c>
      <c r="E457" s="83" t="s">
        <v>138</v>
      </c>
      <c r="F457" s="83" t="s">
        <v>135</v>
      </c>
      <c r="G457" s="76" t="n">
        <v>461</v>
      </c>
      <c r="H457" s="83" t="s">
        <v>1188</v>
      </c>
    </row>
    <row r="458" customFormat="false" ht="15" hidden="false" customHeight="false" outlineLevel="0" collapsed="false">
      <c r="A458" s="81" t="n">
        <v>45991</v>
      </c>
      <c r="B458" s="82" t="n">
        <v>2025</v>
      </c>
      <c r="C458" s="82" t="n">
        <v>11</v>
      </c>
      <c r="D458" s="83" t="s">
        <v>144</v>
      </c>
      <c r="E458" s="83" t="s">
        <v>138</v>
      </c>
      <c r="F458" s="83" t="s">
        <v>135</v>
      </c>
      <c r="G458" s="76" t="n">
        <v>366</v>
      </c>
      <c r="H458" s="83" t="s">
        <v>1189</v>
      </c>
    </row>
    <row r="459" customFormat="false" ht="15" hidden="false" customHeight="false" outlineLevel="0" collapsed="false">
      <c r="A459" s="81" t="n">
        <v>45991</v>
      </c>
      <c r="B459" s="82" t="n">
        <v>2025</v>
      </c>
      <c r="C459" s="82" t="n">
        <v>11</v>
      </c>
      <c r="D459" s="83" t="s">
        <v>145</v>
      </c>
      <c r="E459" s="83" t="s">
        <v>138</v>
      </c>
      <c r="F459" s="83" t="s">
        <v>131</v>
      </c>
      <c r="G459" s="76" t="n">
        <v>132</v>
      </c>
      <c r="H459" s="83" t="s">
        <v>1190</v>
      </c>
    </row>
    <row r="460" customFormat="false" ht="15" hidden="false" customHeight="false" outlineLevel="0" collapsed="false">
      <c r="A460" s="81" t="n">
        <v>46022</v>
      </c>
      <c r="B460" s="82" t="n">
        <v>2025</v>
      </c>
      <c r="C460" s="82" t="n">
        <v>12</v>
      </c>
      <c r="D460" s="83" t="s">
        <v>129</v>
      </c>
      <c r="E460" s="83" t="s">
        <v>130</v>
      </c>
      <c r="F460" s="83" t="s">
        <v>131</v>
      </c>
      <c r="G460" s="76" t="n">
        <v>1546</v>
      </c>
      <c r="H460" s="83" t="s">
        <v>1191</v>
      </c>
    </row>
    <row r="461" customFormat="false" ht="15" hidden="false" customHeight="false" outlineLevel="0" collapsed="false">
      <c r="A461" s="81" t="n">
        <v>46022</v>
      </c>
      <c r="B461" s="82" t="n">
        <v>2025</v>
      </c>
      <c r="C461" s="82" t="n">
        <v>12</v>
      </c>
      <c r="D461" s="83" t="s">
        <v>132</v>
      </c>
      <c r="E461" s="83" t="s">
        <v>130</v>
      </c>
      <c r="F461" s="83" t="s">
        <v>131</v>
      </c>
      <c r="G461" s="76" t="n">
        <v>1027</v>
      </c>
      <c r="H461" s="83" t="s">
        <v>1192</v>
      </c>
    </row>
    <row r="462" customFormat="false" ht="15" hidden="false" customHeight="false" outlineLevel="0" collapsed="false">
      <c r="A462" s="81" t="n">
        <v>46022</v>
      </c>
      <c r="B462" s="82" t="n">
        <v>2025</v>
      </c>
      <c r="C462" s="82" t="n">
        <v>12</v>
      </c>
      <c r="D462" s="83" t="s">
        <v>133</v>
      </c>
      <c r="E462" s="83" t="s">
        <v>130</v>
      </c>
      <c r="F462" s="83" t="s">
        <v>131</v>
      </c>
      <c r="G462" s="76" t="n">
        <v>2228</v>
      </c>
      <c r="H462" s="83" t="s">
        <v>1193</v>
      </c>
    </row>
    <row r="463" customFormat="false" ht="15" hidden="false" customHeight="false" outlineLevel="0" collapsed="false">
      <c r="A463" s="81" t="n">
        <v>46022</v>
      </c>
      <c r="B463" s="82" t="n">
        <v>2025</v>
      </c>
      <c r="C463" s="82" t="n">
        <v>12</v>
      </c>
      <c r="D463" s="83" t="s">
        <v>134</v>
      </c>
      <c r="E463" s="83" t="s">
        <v>130</v>
      </c>
      <c r="F463" s="83" t="s">
        <v>135</v>
      </c>
      <c r="G463" s="76" t="n">
        <v>2050</v>
      </c>
      <c r="H463" s="83" t="s">
        <v>1194</v>
      </c>
    </row>
    <row r="464" customFormat="false" ht="15" hidden="false" customHeight="false" outlineLevel="0" collapsed="false">
      <c r="A464" s="81" t="n">
        <v>46022</v>
      </c>
      <c r="B464" s="82" t="n">
        <v>2025</v>
      </c>
      <c r="C464" s="82" t="n">
        <v>12</v>
      </c>
      <c r="D464" s="83" t="s">
        <v>136</v>
      </c>
      <c r="E464" s="83" t="s">
        <v>130</v>
      </c>
      <c r="F464" s="83" t="s">
        <v>135</v>
      </c>
      <c r="G464" s="76" t="n">
        <v>2685</v>
      </c>
      <c r="H464" s="83" t="s">
        <v>1195</v>
      </c>
    </row>
    <row r="465" customFormat="false" ht="15" hidden="false" customHeight="false" outlineLevel="0" collapsed="false">
      <c r="A465" s="81" t="n">
        <v>46022</v>
      </c>
      <c r="B465" s="82" t="n">
        <v>2025</v>
      </c>
      <c r="C465" s="82" t="n">
        <v>12</v>
      </c>
      <c r="D465" s="83" t="s">
        <v>137</v>
      </c>
      <c r="E465" s="83" t="s">
        <v>138</v>
      </c>
      <c r="F465" s="83" t="s">
        <v>135</v>
      </c>
      <c r="G465" s="76" t="n">
        <v>2473</v>
      </c>
      <c r="H465" s="83" t="s">
        <v>1196</v>
      </c>
    </row>
    <row r="466" customFormat="false" ht="15" hidden="false" customHeight="false" outlineLevel="0" collapsed="false">
      <c r="A466" s="81" t="n">
        <v>46022</v>
      </c>
      <c r="B466" s="82" t="n">
        <v>2025</v>
      </c>
      <c r="C466" s="82" t="n">
        <v>12</v>
      </c>
      <c r="D466" s="83" t="s">
        <v>139</v>
      </c>
      <c r="E466" s="83" t="s">
        <v>138</v>
      </c>
      <c r="F466" s="83" t="s">
        <v>135</v>
      </c>
      <c r="G466" s="76" t="n">
        <v>666</v>
      </c>
      <c r="H466" s="83" t="s">
        <v>1197</v>
      </c>
    </row>
    <row r="467" customFormat="false" ht="15" hidden="false" customHeight="false" outlineLevel="0" collapsed="false">
      <c r="A467" s="81" t="n">
        <v>46022</v>
      </c>
      <c r="B467" s="82" t="n">
        <v>2025</v>
      </c>
      <c r="C467" s="82" t="n">
        <v>12</v>
      </c>
      <c r="D467" s="83" t="s">
        <v>140</v>
      </c>
      <c r="E467" s="83" t="s">
        <v>138</v>
      </c>
      <c r="F467" s="83" t="s">
        <v>135</v>
      </c>
      <c r="G467" s="76" t="n">
        <v>334</v>
      </c>
      <c r="H467" s="83" t="s">
        <v>1198</v>
      </c>
    </row>
    <row r="468" customFormat="false" ht="15" hidden="false" customHeight="false" outlineLevel="0" collapsed="false">
      <c r="A468" s="81" t="n">
        <v>46022</v>
      </c>
      <c r="B468" s="82" t="n">
        <v>2025</v>
      </c>
      <c r="C468" s="82" t="n">
        <v>12</v>
      </c>
      <c r="D468" s="83" t="s">
        <v>141</v>
      </c>
      <c r="E468" s="83" t="s">
        <v>138</v>
      </c>
      <c r="F468" s="83" t="s">
        <v>135</v>
      </c>
      <c r="G468" s="76" t="n">
        <v>568</v>
      </c>
      <c r="H468" s="83" t="s">
        <v>1199</v>
      </c>
    </row>
    <row r="469" customFormat="false" ht="15" hidden="false" customHeight="false" outlineLevel="0" collapsed="false">
      <c r="A469" s="81" t="n">
        <v>46022</v>
      </c>
      <c r="B469" s="82" t="n">
        <v>2025</v>
      </c>
      <c r="C469" s="82" t="n">
        <v>12</v>
      </c>
      <c r="D469" s="83" t="s">
        <v>142</v>
      </c>
      <c r="E469" s="83" t="s">
        <v>138</v>
      </c>
      <c r="F469" s="83" t="s">
        <v>135</v>
      </c>
      <c r="G469" s="76" t="n">
        <v>239</v>
      </c>
      <c r="H469" s="83" t="s">
        <v>1200</v>
      </c>
    </row>
    <row r="470" customFormat="false" ht="15" hidden="false" customHeight="false" outlineLevel="0" collapsed="false">
      <c r="A470" s="81" t="n">
        <v>46022</v>
      </c>
      <c r="B470" s="82" t="n">
        <v>2025</v>
      </c>
      <c r="C470" s="82" t="n">
        <v>12</v>
      </c>
      <c r="D470" s="83" t="s">
        <v>143</v>
      </c>
      <c r="E470" s="83" t="s">
        <v>138</v>
      </c>
      <c r="F470" s="83" t="s">
        <v>135</v>
      </c>
      <c r="G470" s="76" t="n">
        <v>462</v>
      </c>
      <c r="H470" s="83" t="s">
        <v>1201</v>
      </c>
    </row>
    <row r="471" customFormat="false" ht="15" hidden="false" customHeight="false" outlineLevel="0" collapsed="false">
      <c r="A471" s="81" t="n">
        <v>46022</v>
      </c>
      <c r="B471" s="82" t="n">
        <v>2025</v>
      </c>
      <c r="C471" s="82" t="n">
        <v>12</v>
      </c>
      <c r="D471" s="83" t="s">
        <v>144</v>
      </c>
      <c r="E471" s="83" t="s">
        <v>138</v>
      </c>
      <c r="F471" s="83" t="s">
        <v>135</v>
      </c>
      <c r="G471" s="76" t="n">
        <v>372</v>
      </c>
      <c r="H471" s="83" t="s">
        <v>1202</v>
      </c>
    </row>
    <row r="472" customFormat="false" ht="15" hidden="false" customHeight="false" outlineLevel="0" collapsed="false">
      <c r="A472" s="81" t="n">
        <v>46022</v>
      </c>
      <c r="B472" s="82" t="n">
        <v>2025</v>
      </c>
      <c r="C472" s="82" t="n">
        <v>12</v>
      </c>
      <c r="D472" s="83" t="s">
        <v>145</v>
      </c>
      <c r="E472" s="83" t="s">
        <v>138</v>
      </c>
      <c r="F472" s="83" t="s">
        <v>131</v>
      </c>
      <c r="G472" s="76" t="n">
        <v>145</v>
      </c>
      <c r="H472" s="83" t="s">
        <v>1203</v>
      </c>
    </row>
  </sheetData>
  <autoFilter ref="A4:H472"/>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B1:E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5"/>
  </cols>
  <sheetData>
    <row r="1" customFormat="false" ht="24" hidden="false" customHeight="true" outlineLevel="0" collapsed="false">
      <c r="B1" s="15" t="s">
        <v>1204</v>
      </c>
    </row>
    <row r="2" customFormat="false" ht="15" hidden="false" customHeight="false" outlineLevel="0" collapsed="false">
      <c r="B2" s="14" t="s">
        <v>1205</v>
      </c>
    </row>
    <row r="3" customFormat="false" ht="15" hidden="false" customHeight="false" outlineLevel="0" collapsed="false">
      <c r="B3" s="16" t="str">
        <f aca="false">HYPERLINK("#Cover!A1","◄ Back to Cover")</f>
        <v>◄ Back to Cover</v>
      </c>
    </row>
    <row r="4" customFormat="false" ht="30" hidden="false" customHeight="true" outlineLevel="0" collapsed="false">
      <c r="B4" s="26" t="s">
        <v>292</v>
      </c>
      <c r="C4" s="27" t="s">
        <v>1206</v>
      </c>
      <c r="D4" s="27" t="s">
        <v>1207</v>
      </c>
    </row>
    <row r="5" customFormat="false" ht="15" hidden="false" customHeight="false" outlineLevel="0" collapsed="false">
      <c r="B5" s="42" t="s">
        <v>73</v>
      </c>
      <c r="C5" s="41" t="n">
        <f aca="false">Product_Costing!C19</f>
        <v>0.0723422589842535</v>
      </c>
      <c r="D5" s="41" t="n">
        <f aca="false">Product_Costing!C23</f>
        <v>0.0539144926467363</v>
      </c>
    </row>
    <row r="6" customFormat="false" ht="15" hidden="false" customHeight="false" outlineLevel="0" collapsed="false">
      <c r="B6" s="42" t="s">
        <v>74</v>
      </c>
      <c r="C6" s="41" t="n">
        <f aca="false">Product_Costing!D19</f>
        <v>0.0695823957945293</v>
      </c>
      <c r="D6" s="41" t="n">
        <f aca="false">Product_Costing!D23</f>
        <v>0.0730550058174895</v>
      </c>
    </row>
    <row r="7" customFormat="false" ht="15" hidden="false" customHeight="false" outlineLevel="0" collapsed="false">
      <c r="B7" s="42" t="s">
        <v>113</v>
      </c>
      <c r="C7" s="41" t="n">
        <f aca="false">Product_Costing!E19</f>
        <v>0.0960893771478762</v>
      </c>
      <c r="D7" s="41" t="n">
        <f aca="false">Product_Costing!E23</f>
        <v>0.103496155236629</v>
      </c>
    </row>
    <row r="8" customFormat="false" ht="15" hidden="false" customHeight="false" outlineLevel="0" collapsed="false">
      <c r="B8" s="42" t="s">
        <v>76</v>
      </c>
      <c r="C8" s="41" t="n">
        <f aca="false">Product_Costing!F19</f>
        <v>-0.0444886059944089</v>
      </c>
      <c r="D8" s="41" t="n">
        <f aca="false">Product_Costing!F23</f>
        <v>-0.00697857539082404</v>
      </c>
    </row>
    <row r="11" customFormat="false" ht="31.5" hidden="false" customHeight="true" outlineLevel="0" collapsed="false">
      <c r="B11" s="26" t="s">
        <v>292</v>
      </c>
      <c r="C11" s="27" t="s">
        <v>1208</v>
      </c>
      <c r="D11" s="27" t="s">
        <v>1209</v>
      </c>
      <c r="E11" s="27" t="s">
        <v>1210</v>
      </c>
    </row>
    <row r="12" customFormat="false" ht="15" hidden="false" customHeight="false" outlineLevel="0" collapsed="false">
      <c r="B12" s="42" t="s">
        <v>73</v>
      </c>
      <c r="C12" s="29" t="n">
        <f aca="false">Product_Costing!C28</f>
        <v>485.922033898305</v>
      </c>
      <c r="D12" s="29" t="n">
        <f aca="false">Product_Costing!C30</f>
        <v>115.498919518531</v>
      </c>
      <c r="E12" s="29" t="n">
        <f aca="false">MAX(Product_Costing!C32,0)</f>
        <v>46.9010804814692</v>
      </c>
    </row>
    <row r="13" customFormat="false" ht="15" hidden="false" customHeight="false" outlineLevel="0" collapsed="false">
      <c r="B13" s="42" t="s">
        <v>74</v>
      </c>
      <c r="C13" s="29" t="n">
        <f aca="false">Product_Costing!D28</f>
        <v>328.307692307692</v>
      </c>
      <c r="D13" s="29" t="n">
        <f aca="false">Product_Costing!D30</f>
        <v>89.9250406645582</v>
      </c>
      <c r="E13" s="29" t="n">
        <f aca="false">MAX(Product_Costing!D32,0)</f>
        <v>31.2780362585187</v>
      </c>
    </row>
    <row r="14" customFormat="false" ht="15" hidden="false" customHeight="false" outlineLevel="0" collapsed="false">
      <c r="B14" s="42" t="s">
        <v>113</v>
      </c>
      <c r="C14" s="29" t="n">
        <f aca="false">Product_Costing!E28</f>
        <v>426.357142857143</v>
      </c>
      <c r="D14" s="29" t="n">
        <f aca="false">Product_Costing!E30</f>
        <v>124.256784801004</v>
      </c>
      <c r="E14" s="29" t="n">
        <f aca="false">MAX(Product_Costing!E32,0)</f>
        <v>58.5325009132819</v>
      </c>
    </row>
    <row r="15" customFormat="false" ht="15" hidden="false" customHeight="false" outlineLevel="0" collapsed="false">
      <c r="B15" s="42" t="s">
        <v>76</v>
      </c>
      <c r="C15" s="29" t="n">
        <f aca="false">Product_Costing!F28</f>
        <v>644.2125</v>
      </c>
      <c r="D15" s="29" t="n">
        <f aca="false">Product_Costing!F30</f>
        <v>186.084133173893</v>
      </c>
      <c r="E15" s="29" t="n">
        <f aca="false">MAX(Product_Costing!F32,0)</f>
        <v>0</v>
      </c>
    </row>
    <row r="18" customFormat="false" ht="30" hidden="false" customHeight="true" outlineLevel="0" collapsed="false">
      <c r="B18" s="26" t="s">
        <v>1211</v>
      </c>
      <c r="C18" s="27" t="s">
        <v>80</v>
      </c>
      <c r="D18" s="27" t="s">
        <v>1212</v>
      </c>
      <c r="E18" s="27" t="s">
        <v>162</v>
      </c>
    </row>
    <row r="19" customFormat="false" ht="15" hidden="false" customHeight="false" outlineLevel="0" collapsed="false">
      <c r="B19" s="84" t="n">
        <v>0</v>
      </c>
      <c r="C19" s="37" t="n">
        <f aca="false">B19*CVP_BreakEven!$G$7</f>
        <v>0</v>
      </c>
      <c r="D19" s="37" t="n">
        <f aca="false">CVP_BreakEven!$G$14+(1-CVP_BreakEven!$G$11)*C19</f>
        <v>141297</v>
      </c>
      <c r="E19" s="37" t="n">
        <f aca="false">C19-D19</f>
        <v>-141297</v>
      </c>
    </row>
    <row r="20" customFormat="false" ht="15" hidden="false" customHeight="false" outlineLevel="0" collapsed="false">
      <c r="B20" s="84" t="n">
        <v>0.1</v>
      </c>
      <c r="C20" s="37" t="n">
        <f aca="false">B20*CVP_BreakEven!$G$7</f>
        <v>97244.2</v>
      </c>
      <c r="D20" s="37" t="n">
        <f aca="false">CVP_BreakEven!$G$14+(1-CVP_BreakEven!$G$11)*C20</f>
        <v>218538.2</v>
      </c>
      <c r="E20" s="37" t="n">
        <f aca="false">C20-D20</f>
        <v>-121294</v>
      </c>
    </row>
    <row r="21" customFormat="false" ht="15" hidden="false" customHeight="false" outlineLevel="0" collapsed="false">
      <c r="B21" s="84" t="n">
        <v>0.2</v>
      </c>
      <c r="C21" s="37" t="n">
        <f aca="false">B21*CVP_BreakEven!$G$7</f>
        <v>194488.4</v>
      </c>
      <c r="D21" s="37" t="n">
        <f aca="false">CVP_BreakEven!$G$14+(1-CVP_BreakEven!$G$11)*C21</f>
        <v>295779.4</v>
      </c>
      <c r="E21" s="37" t="n">
        <f aca="false">C21-D21</f>
        <v>-101291</v>
      </c>
    </row>
    <row r="22" customFormat="false" ht="15" hidden="false" customHeight="false" outlineLevel="0" collapsed="false">
      <c r="B22" s="84" t="n">
        <v>0.3</v>
      </c>
      <c r="C22" s="37" t="n">
        <f aca="false">B22*CVP_BreakEven!$G$7</f>
        <v>291732.6</v>
      </c>
      <c r="D22" s="37" t="n">
        <f aca="false">CVP_BreakEven!$G$14+(1-CVP_BreakEven!$G$11)*C22</f>
        <v>373020.6</v>
      </c>
      <c r="E22" s="37" t="n">
        <f aca="false">C22-D22</f>
        <v>-81288</v>
      </c>
    </row>
    <row r="23" customFormat="false" ht="15" hidden="false" customHeight="false" outlineLevel="0" collapsed="false">
      <c r="B23" s="84" t="n">
        <v>0.4</v>
      </c>
      <c r="C23" s="37" t="n">
        <f aca="false">B23*CVP_BreakEven!$G$7</f>
        <v>388976.8</v>
      </c>
      <c r="D23" s="37" t="n">
        <f aca="false">CVP_BreakEven!$G$14+(1-CVP_BreakEven!$G$11)*C23</f>
        <v>450261.8</v>
      </c>
      <c r="E23" s="37" t="n">
        <f aca="false">C23-D23</f>
        <v>-61285</v>
      </c>
    </row>
    <row r="24" customFormat="false" ht="15" hidden="false" customHeight="false" outlineLevel="0" collapsed="false">
      <c r="B24" s="84" t="n">
        <v>0.5</v>
      </c>
      <c r="C24" s="37" t="n">
        <f aca="false">B24*CVP_BreakEven!$G$7</f>
        <v>486221</v>
      </c>
      <c r="D24" s="37" t="n">
        <f aca="false">CVP_BreakEven!$G$14+(1-CVP_BreakEven!$G$11)*C24</f>
        <v>527503</v>
      </c>
      <c r="E24" s="37" t="n">
        <f aca="false">C24-D24</f>
        <v>-41282</v>
      </c>
    </row>
    <row r="25" customFormat="false" ht="15" hidden="false" customHeight="false" outlineLevel="0" collapsed="false">
      <c r="B25" s="84" t="n">
        <v>0.6</v>
      </c>
      <c r="C25" s="37" t="n">
        <f aca="false">B25*CVP_BreakEven!$G$7</f>
        <v>583465.2</v>
      </c>
      <c r="D25" s="37" t="n">
        <f aca="false">CVP_BreakEven!$G$14+(1-CVP_BreakEven!$G$11)*C25</f>
        <v>604744.2</v>
      </c>
      <c r="E25" s="37" t="n">
        <f aca="false">C25-D25</f>
        <v>-21279</v>
      </c>
    </row>
    <row r="26" customFormat="false" ht="15" hidden="false" customHeight="false" outlineLevel="0" collapsed="false">
      <c r="B26" s="84" t="n">
        <v>0.7</v>
      </c>
      <c r="C26" s="37" t="n">
        <f aca="false">B26*CVP_BreakEven!$G$7</f>
        <v>680709.4</v>
      </c>
      <c r="D26" s="37" t="n">
        <f aca="false">CVP_BreakEven!$G$14+(1-CVP_BreakEven!$G$11)*C26</f>
        <v>681985.4</v>
      </c>
      <c r="E26" s="37" t="n">
        <f aca="false">C26-D26</f>
        <v>-1276</v>
      </c>
    </row>
    <row r="27" customFormat="false" ht="15" hidden="false" customHeight="false" outlineLevel="0" collapsed="false">
      <c r="B27" s="84" t="n">
        <v>0.8</v>
      </c>
      <c r="C27" s="37" t="n">
        <f aca="false">B27*CVP_BreakEven!$G$7</f>
        <v>777953.6</v>
      </c>
      <c r="D27" s="37" t="n">
        <f aca="false">CVP_BreakEven!$G$14+(1-CVP_BreakEven!$G$11)*C27</f>
        <v>759226.6</v>
      </c>
      <c r="E27" s="37" t="n">
        <f aca="false">C27-D27</f>
        <v>18727</v>
      </c>
    </row>
    <row r="28" customFormat="false" ht="15" hidden="false" customHeight="false" outlineLevel="0" collapsed="false">
      <c r="B28" s="84" t="n">
        <v>0.9</v>
      </c>
      <c r="C28" s="37" t="n">
        <f aca="false">B28*CVP_BreakEven!$G$7</f>
        <v>875197.8</v>
      </c>
      <c r="D28" s="37" t="n">
        <f aca="false">CVP_BreakEven!$G$14+(1-CVP_BreakEven!$G$11)*C28</f>
        <v>836467.8</v>
      </c>
      <c r="E28" s="37" t="n">
        <f aca="false">C28-D28</f>
        <v>38730</v>
      </c>
    </row>
    <row r="29" customFormat="false" ht="15" hidden="false" customHeight="false" outlineLevel="0" collapsed="false">
      <c r="B29" s="84" t="n">
        <v>1</v>
      </c>
      <c r="C29" s="37" t="n">
        <f aca="false">B29*CVP_BreakEven!$G$7</f>
        <v>972442</v>
      </c>
      <c r="D29" s="37" t="n">
        <f aca="false">CVP_BreakEven!$G$14+(1-CVP_BreakEven!$G$11)*C29</f>
        <v>913709</v>
      </c>
      <c r="E29" s="37" t="n">
        <f aca="false">C29-D29</f>
        <v>58733</v>
      </c>
    </row>
    <row r="30" customFormat="false" ht="15" hidden="false" customHeight="false" outlineLevel="0" collapsed="false">
      <c r="B30" s="84" t="n">
        <v>1.1</v>
      </c>
      <c r="C30" s="37" t="n">
        <f aca="false">B30*CVP_BreakEven!$G$7</f>
        <v>1069686.2</v>
      </c>
      <c r="D30" s="37" t="n">
        <f aca="false">CVP_BreakEven!$G$14+(1-CVP_BreakEven!$G$11)*C30</f>
        <v>990950.2</v>
      </c>
      <c r="E30" s="37" t="n">
        <f aca="false">C30-D30</f>
        <v>78736</v>
      </c>
    </row>
    <row r="31" customFormat="false" ht="15" hidden="false" customHeight="false" outlineLevel="0" collapsed="false">
      <c r="B31" s="84" t="n">
        <v>1.2</v>
      </c>
      <c r="C31" s="37" t="n">
        <f aca="false">B31*CVP_BreakEven!$G$7</f>
        <v>1166930.4</v>
      </c>
      <c r="D31" s="37" t="n">
        <f aca="false">CVP_BreakEven!$G$14+(1-CVP_BreakEven!$G$11)*C31</f>
        <v>1068191.4</v>
      </c>
      <c r="E31" s="37" t="n">
        <f aca="false">C31-D31</f>
        <v>98739</v>
      </c>
    </row>
    <row r="32" customFormat="false" ht="15" hidden="false" customHeight="false" outlineLevel="0" collapsed="false">
      <c r="B32" s="84" t="n">
        <v>1.3</v>
      </c>
      <c r="C32" s="37" t="n">
        <f aca="false">B32*CVP_BreakEven!$G$7</f>
        <v>1264174.6</v>
      </c>
      <c r="D32" s="37" t="n">
        <f aca="false">CVP_BreakEven!$G$14+(1-CVP_BreakEven!$G$11)*C32</f>
        <v>1145432.6</v>
      </c>
      <c r="E32" s="37" t="n">
        <f aca="false">C32-D32</f>
        <v>118742</v>
      </c>
    </row>
    <row r="33" customFormat="false" ht="15" hidden="false" customHeight="false" outlineLevel="0" collapsed="false">
      <c r="B33" s="84" t="n">
        <v>1.4</v>
      </c>
      <c r="C33" s="37" t="n">
        <f aca="false">B33*CVP_BreakEven!$G$7</f>
        <v>1361418.8</v>
      </c>
      <c r="D33" s="37" t="n">
        <f aca="false">CVP_BreakEven!$G$14+(1-CVP_BreakEven!$G$11)*C33</f>
        <v>1222673.8</v>
      </c>
      <c r="E33" s="37" t="n">
        <f aca="false">C33-D33</f>
        <v>138745</v>
      </c>
    </row>
    <row r="36" customFormat="false" ht="30" hidden="false" customHeight="true" outlineLevel="0" collapsed="false">
      <c r="B36" s="26" t="s">
        <v>292</v>
      </c>
      <c r="C36" s="27" t="s">
        <v>1213</v>
      </c>
      <c r="D36" s="27" t="s">
        <v>1214</v>
      </c>
    </row>
    <row r="37" customFormat="false" ht="15" hidden="false" customHeight="false" outlineLevel="0" collapsed="false">
      <c r="B37" s="42" t="s">
        <v>73</v>
      </c>
      <c r="C37" s="31" t="n">
        <f aca="false">CVP_BreakEven!C7</f>
        <v>382510</v>
      </c>
      <c r="D37" s="31" t="n">
        <f aca="false">CVP_BreakEven!C18</f>
        <v>270197.047792831</v>
      </c>
    </row>
    <row r="38" customFormat="false" ht="15" hidden="false" customHeight="false" outlineLevel="0" collapsed="false">
      <c r="B38" s="42" t="s">
        <v>74</v>
      </c>
      <c r="C38" s="31" t="n">
        <f aca="false">CVP_BreakEven!D7</f>
        <v>292182</v>
      </c>
      <c r="D38" s="31" t="n">
        <f aca="false">CVP_BreakEven!D18</f>
        <v>206391.241583762</v>
      </c>
    </row>
    <row r="39" customFormat="false" ht="15" hidden="false" customHeight="false" outlineLevel="0" collapsed="false">
      <c r="B39" s="42" t="s">
        <v>113</v>
      </c>
      <c r="C39" s="31" t="n">
        <f aca="false">CVP_BreakEven!E7</f>
        <v>170561</v>
      </c>
      <c r="D39" s="31" t="n">
        <f aca="false">CVP_BreakEven!E18</f>
        <v>120480.715977603</v>
      </c>
    </row>
    <row r="40" customFormat="false" ht="15" hidden="false" customHeight="false" outlineLevel="0" collapsed="false">
      <c r="B40" s="42" t="s">
        <v>76</v>
      </c>
      <c r="C40" s="31" t="n">
        <f aca="false">CVP_BreakEven!F7</f>
        <v>127189</v>
      </c>
      <c r="D40" s="31" t="n">
        <f aca="false">CVP_BreakEven!F18</f>
        <v>89843.6441183823</v>
      </c>
    </row>
    <row r="42" customFormat="false" ht="15" hidden="false" customHeight="false" outlineLevel="0" collapsed="false">
      <c r="B42" s="42" t="s">
        <v>1215</v>
      </c>
      <c r="C42" s="85" t="str">
        <f aca="false">INDEX(B5:B8,MATCH(MAX(C5:C8),C5:C8,0))</f>
        <v>Household &amp; PC</v>
      </c>
      <c r="D42" s="35" t="n">
        <f aca="false">MAX(C5:C8)</f>
        <v>0.0960893771478762</v>
      </c>
    </row>
    <row r="43" customFormat="false" ht="15" hidden="false" customHeight="false" outlineLevel="0" collapsed="false">
      <c r="B43" s="42" t="s">
        <v>1216</v>
      </c>
      <c r="C43" s="85" t="str">
        <f aca="false">INDEX(B5:B8,MATCH(MIN(C5:C8),C5:C8,0))</f>
        <v>Fresh &amp; Frozen</v>
      </c>
      <c r="D43" s="35" t="n">
        <f aca="false">MIN(C5:C8)</f>
        <v>-0.0444886059944089</v>
      </c>
    </row>
    <row r="44" customFormat="false" ht="15" hidden="false" customHeight="false" outlineLevel="0" collapsed="false">
      <c r="B44" s="42" t="s">
        <v>1217</v>
      </c>
      <c r="C44" s="85" t="str">
        <f aca="false">INDEX(B5:B8,MATCH(MAX(ABS(Product_Costing!C24),ABS(Product_Costing!D24),ABS(Product_Costing!E24),ABS(Product_Costing!F24)),INDEX(ABS(Product_Costing!C24:F24),0),0))</f>
        <v>Packaged Food</v>
      </c>
      <c r="D44" s="37" t="n">
        <f aca="false">MAX(ABS(Product_Costing!C24),ABS(Product_Costing!D24),ABS(Product_Costing!E24),ABS(Product_Costing!F24))</f>
        <v>7048.80490176371</v>
      </c>
    </row>
    <row r="45" customFormat="false" ht="15" hidden="false" customHeight="false" outlineLevel="0" collapsed="false">
      <c r="B45" s="42" t="s">
        <v>1218</v>
      </c>
      <c r="C45" s="37" t="n">
        <f aca="false">INDEX(Product_Costing!C24:F24,MATCH(C44,Chart_Data!B5:B8,0))</f>
        <v>7048.80490176371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B1:F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78"/>
    <col collapsed="false" customWidth="true" hidden="false" outlineLevel="0" max="4" min="4" style="0" width="16"/>
    <col collapsed="false" customWidth="true" hidden="false" outlineLevel="0" max="5" min="5" style="0" width="12"/>
    <col collapsed="false" customWidth="true" hidden="false" outlineLevel="0" max="6" min="6" style="0" width="14"/>
  </cols>
  <sheetData>
    <row r="1" customFormat="false" ht="24" hidden="false" customHeight="true" outlineLevel="0" collapsed="false">
      <c r="B1" s="15" t="s">
        <v>1219</v>
      </c>
    </row>
    <row r="2" customFormat="false" ht="15" hidden="false" customHeight="false" outlineLevel="0" collapsed="false">
      <c r="B2" s="14" t="s">
        <v>1220</v>
      </c>
    </row>
    <row r="3" customFormat="false" ht="15" hidden="false" customHeight="false" outlineLevel="0" collapsed="false">
      <c r="B3" s="16" t="str">
        <f aca="false">HYPERLINK("#Cover!A1","◄ Back to Cover")</f>
        <v>◄ Back to Cover</v>
      </c>
    </row>
    <row r="5" customFormat="false" ht="15" hidden="false" customHeight="false" outlineLevel="0" collapsed="false">
      <c r="B5" s="7" t="s">
        <v>1221</v>
      </c>
      <c r="C5" s="7" t="str">
        <f aca="false">IF(COUNTIF(F8:F27,"✖*")=0,"✔ All 20 integrity checks passed","✖ "&amp;COUNTIF(F8:F27,"✖*")&amp;" of 20 checks failed - review Checks sheet")</f>
        <v>✔ All 20 integrity checks passed</v>
      </c>
    </row>
    <row r="7" customFormat="false" ht="30" hidden="false" customHeight="true" outlineLevel="0" collapsed="false">
      <c r="B7" s="26" t="s">
        <v>1222</v>
      </c>
      <c r="C7" s="27" t="s">
        <v>1223</v>
      </c>
      <c r="D7" s="27" t="s">
        <v>183</v>
      </c>
      <c r="E7" s="27" t="s">
        <v>1224</v>
      </c>
      <c r="F7" s="27" t="s">
        <v>1225</v>
      </c>
    </row>
    <row r="8" customFormat="false" ht="15" hidden="false" customHeight="false" outlineLevel="0" collapsed="false">
      <c r="B8" s="86" t="n">
        <v>1</v>
      </c>
      <c r="C8" s="43" t="s">
        <v>1226</v>
      </c>
      <c r="D8" s="87" t="n">
        <f aca="false">Product_Costing!G8-P1_Sales</f>
        <v>0</v>
      </c>
      <c r="E8" s="77" t="n">
        <v>0.5</v>
      </c>
      <c r="F8" s="88" t="str">
        <f aca="false">IF(ABS(D8)&lt;=E8,"✔ Pass","✖ Fail")</f>
        <v>✔ Pass</v>
      </c>
    </row>
    <row r="9" customFormat="false" ht="15" hidden="false" customHeight="false" outlineLevel="0" collapsed="false">
      <c r="B9" s="86" t="n">
        <v>2</v>
      </c>
      <c r="C9" s="43" t="s">
        <v>1227</v>
      </c>
      <c r="D9" s="87" t="n">
        <f aca="false">Product_Costing!G9-P1_COGS</f>
        <v>0</v>
      </c>
      <c r="E9" s="77" t="n">
        <v>0.5</v>
      </c>
      <c r="F9" s="88" t="str">
        <f aca="false">IF(ABS(D9)&lt;=E9,"✔ Pass","✖ Fail")</f>
        <v>✔ Pass</v>
      </c>
    </row>
    <row r="10" customFormat="false" ht="15" hidden="false" customHeight="false" outlineLevel="0" collapsed="false">
      <c r="B10" s="86" t="n">
        <v>3</v>
      </c>
      <c r="C10" s="43" t="s">
        <v>1228</v>
      </c>
      <c r="D10" s="87" t="n">
        <f aca="false">Product_Costing!G17-P1_Opex</f>
        <v>0</v>
      </c>
      <c r="E10" s="77" t="n">
        <v>0.5</v>
      </c>
      <c r="F10" s="88" t="str">
        <f aca="false">IF(ABS(D10)&lt;=E10,"✔ Pass","✖ Fail")</f>
        <v>✔ Pass</v>
      </c>
    </row>
    <row r="11" customFormat="false" ht="15" hidden="false" customHeight="false" outlineLevel="0" collapsed="false">
      <c r="B11" s="86" t="n">
        <v>4</v>
      </c>
      <c r="C11" s="43" t="s">
        <v>1229</v>
      </c>
      <c r="D11" s="87" t="n">
        <f aca="false">SUM(Product_Costing!C21:F21)-P1_Opex</f>
        <v>0</v>
      </c>
      <c r="E11" s="77" t="n">
        <v>0.5</v>
      </c>
      <c r="F11" s="88" t="str">
        <f aca="false">IF(ABS(D11)&lt;=E11,"✔ Pass","✖ Fail")</f>
        <v>✔ Pass</v>
      </c>
    </row>
    <row r="12" customFormat="false" ht="15" hidden="false" customHeight="false" outlineLevel="0" collapsed="false">
      <c r="B12" s="86" t="n">
        <v>5</v>
      </c>
      <c r="C12" s="43" t="s">
        <v>1230</v>
      </c>
      <c r="D12" s="87" t="n">
        <f aca="false">Product_Costing!G18-P1_OP</f>
        <v>0</v>
      </c>
      <c r="E12" s="77" t="n">
        <v>0.5</v>
      </c>
      <c r="F12" s="88" t="str">
        <f aca="false">IF(ABS(D12)&lt;=E12,"✔ Pass","✖ Fail")</f>
        <v>✔ Pass</v>
      </c>
    </row>
    <row r="13" customFormat="false" ht="15" hidden="false" customHeight="false" outlineLevel="0" collapsed="false">
      <c r="B13" s="86" t="n">
        <v>6</v>
      </c>
      <c r="C13" s="43" t="s">
        <v>1231</v>
      </c>
      <c r="D13" s="87" t="n">
        <f aca="false">Product_Costing!G22-P1_OP</f>
        <v>0</v>
      </c>
      <c r="E13" s="77" t="n">
        <v>0.5</v>
      </c>
      <c r="F13" s="88" t="str">
        <f aca="false">IF(ABS(D13)&lt;=E13,"✔ Pass","✖ Fail")</f>
        <v>✔ Pass</v>
      </c>
    </row>
    <row r="14" customFormat="false" ht="15" hidden="false" customHeight="false" outlineLevel="0" collapsed="false">
      <c r="B14" s="86" t="n">
        <v>7</v>
      </c>
      <c r="C14" s="43" t="s">
        <v>1232</v>
      </c>
      <c r="D14" s="87" t="n">
        <f aca="false">SUMPRODUCT(ABS(ABC_Allocation!L17:L33))</f>
        <v>0</v>
      </c>
      <c r="E14" s="77" t="n">
        <v>0.5</v>
      </c>
      <c r="F14" s="88" t="str">
        <f aca="false">IF(ABS(D14)&lt;=E14,"✔ Pass","✖ Fail")</f>
        <v>✔ Pass</v>
      </c>
    </row>
    <row r="15" customFormat="false" ht="15" hidden="false" customHeight="false" outlineLevel="0" collapsed="false">
      <c r="B15" s="86" t="n">
        <v>8</v>
      </c>
      <c r="C15" s="43" t="s">
        <v>1233</v>
      </c>
      <c r="D15" s="87" t="n">
        <f aca="false">Product_Costing!G16-FS_Data!E26</f>
        <v>0</v>
      </c>
      <c r="E15" s="77" t="n">
        <v>0.5</v>
      </c>
      <c r="F15" s="88" t="str">
        <f aca="false">IF(ABS(D15)&lt;=E15,"✔ Pass","✖ Fail")</f>
        <v>✔ Pass</v>
      </c>
    </row>
    <row r="16" customFormat="false" ht="15" hidden="false" customHeight="false" outlineLevel="0" collapsed="false">
      <c r="B16" s="86" t="n">
        <v>9</v>
      </c>
      <c r="C16" s="43" t="s">
        <v>1234</v>
      </c>
      <c r="D16" s="87" t="n">
        <f aca="false">Inputs!E15-1</f>
        <v>0</v>
      </c>
      <c r="E16" s="77" t="n">
        <v>0.0001</v>
      </c>
      <c r="F16" s="88" t="str">
        <f aca="false">IF(ABS(D16)&lt;=E16,"✔ Pass","✖ Fail")</f>
        <v>✔ Pass</v>
      </c>
    </row>
    <row r="17" customFormat="false" ht="15" hidden="false" customHeight="false" outlineLevel="0" collapsed="false">
      <c r="B17" s="86" t="n">
        <v>10</v>
      </c>
      <c r="C17" s="43" t="s">
        <v>1235</v>
      </c>
      <c r="D17" s="87" t="n">
        <f aca="false">Inputs!F15-1</f>
        <v>0</v>
      </c>
      <c r="E17" s="77" t="n">
        <v>0.0001</v>
      </c>
      <c r="F17" s="88" t="str">
        <f aca="false">IF(ABS(D17)&lt;=E17,"✔ Pass","✖ Fail")</f>
        <v>✔ Pass</v>
      </c>
    </row>
    <row r="18" customFormat="false" ht="15" hidden="false" customHeight="false" outlineLevel="0" collapsed="false">
      <c r="B18" s="86" t="n">
        <v>11</v>
      </c>
      <c r="C18" s="43" t="s">
        <v>1236</v>
      </c>
      <c r="D18" s="87" t="n">
        <f aca="false">CVP_BreakEven!G10-FS_Data!E14</f>
        <v>0</v>
      </c>
      <c r="E18" s="77" t="n">
        <v>0.5</v>
      </c>
      <c r="F18" s="88" t="str">
        <f aca="false">IF(ABS(D18)&lt;=E18,"✔ Pass","✖ Fail")</f>
        <v>✔ Pass</v>
      </c>
    </row>
    <row r="19" customFormat="false" ht="15" hidden="false" customHeight="false" outlineLevel="0" collapsed="false">
      <c r="B19" s="86" t="n">
        <v>12</v>
      </c>
      <c r="C19" s="43" t="s">
        <v>1237</v>
      </c>
      <c r="D19" s="87" t="n">
        <f aca="false">CVP_BreakEven!G9-FS_Data!E13</f>
        <v>0</v>
      </c>
      <c r="E19" s="77" t="n">
        <v>0.5</v>
      </c>
      <c r="F19" s="88" t="str">
        <f aca="false">IF(ABS(D19)&lt;=E19,"✔ Pass","✖ Fail")</f>
        <v>✔ Pass</v>
      </c>
    </row>
    <row r="20" customFormat="false" ht="15" hidden="false" customHeight="false" outlineLevel="0" collapsed="false">
      <c r="B20" s="86" t="n">
        <v>13</v>
      </c>
      <c r="C20" s="43" t="s">
        <v>1238</v>
      </c>
      <c r="D20" s="87" t="n">
        <f aca="false">CVP_BreakEven!G12-FS_Data!E15</f>
        <v>0</v>
      </c>
      <c r="E20" s="77" t="n">
        <v>0.5</v>
      </c>
      <c r="F20" s="88" t="str">
        <f aca="false">IF(ABS(D20)&lt;=E20,"✔ Pass","✖ Fail")</f>
        <v>✔ Pass</v>
      </c>
    </row>
    <row r="21" customFormat="false" ht="15" hidden="false" customHeight="false" outlineLevel="0" collapsed="false">
      <c r="B21" s="86" t="n">
        <v>14</v>
      </c>
      <c r="C21" s="43" t="s">
        <v>1239</v>
      </c>
      <c r="D21" s="87" t="n">
        <f aca="false">CVP_BreakEven!G19-FS_Data!E17</f>
        <v>0</v>
      </c>
      <c r="E21" s="77" t="n">
        <v>0.5</v>
      </c>
      <c r="F21" s="88" t="str">
        <f aca="false">IF(ABS(D21)&lt;=E21,"✔ Pass","✖ Fail")</f>
        <v>✔ Pass</v>
      </c>
    </row>
    <row r="22" customFormat="false" ht="15" hidden="false" customHeight="false" outlineLevel="0" collapsed="false">
      <c r="B22" s="86" t="n">
        <v>15</v>
      </c>
      <c r="C22" s="43" t="s">
        <v>1240</v>
      </c>
      <c r="D22" s="87" t="n">
        <f aca="false">CVP_BreakEven!G23-FS_Data!E18</f>
        <v>0</v>
      </c>
      <c r="E22" s="77" t="n">
        <v>1E-005</v>
      </c>
      <c r="F22" s="88" t="str">
        <f aca="false">IF(ABS(D22)&lt;=E22,"✔ Pass","✖ Fail")</f>
        <v>✔ Pass</v>
      </c>
    </row>
    <row r="23" customFormat="false" ht="15" hidden="false" customHeight="false" outlineLevel="0" collapsed="false">
      <c r="B23" s="86" t="n">
        <v>16</v>
      </c>
      <c r="C23" s="43" t="s">
        <v>1241</v>
      </c>
      <c r="D23" s="87" t="n">
        <f aca="false">CVP_BreakEven!G24-FS_Data!E19</f>
        <v>0</v>
      </c>
      <c r="E23" s="77" t="n">
        <v>0.0001</v>
      </c>
      <c r="F23" s="88" t="str">
        <f aca="false">IF(ABS(D23)&lt;=E23,"✔ Pass","✖ Fail")</f>
        <v>✔ Pass</v>
      </c>
    </row>
    <row r="24" customFormat="false" ht="15" hidden="false" customHeight="false" outlineLevel="0" collapsed="false">
      <c r="B24" s="86" t="n">
        <v>17</v>
      </c>
      <c r="C24" s="43" t="s">
        <v>1242</v>
      </c>
      <c r="D24" s="87" t="n">
        <f aca="false">CVP_BreakEven!G18-CVP_BreakEven!G19</f>
        <v>0</v>
      </c>
      <c r="E24" s="77" t="n">
        <v>0.5</v>
      </c>
      <c r="F24" s="88" t="str">
        <f aca="false">IF(ABS(D24)&lt;=E24,"✔ Pass","✖ Fail")</f>
        <v>✔ Pass</v>
      </c>
    </row>
    <row r="25" customFormat="false" ht="15" hidden="false" customHeight="false" outlineLevel="0" collapsed="false">
      <c r="B25" s="86" t="n">
        <v>18</v>
      </c>
      <c r="C25" s="43" t="s">
        <v>1243</v>
      </c>
      <c r="D25" s="87" t="n">
        <f aca="false">CVP_BreakEven!G15-Product_Costing!G18</f>
        <v>0</v>
      </c>
      <c r="E25" s="77" t="n">
        <v>0.5</v>
      </c>
      <c r="F25" s="88" t="str">
        <f aca="false">IF(ABS(D25)&lt;=E25,"✔ Pass","✖ Fail")</f>
        <v>✔ Pass</v>
      </c>
    </row>
    <row r="26" customFormat="false" ht="15" hidden="false" customHeight="false" outlineLevel="0" collapsed="false">
      <c r="B26" s="86" t="n">
        <v>19</v>
      </c>
      <c r="C26" s="43" t="s">
        <v>1244</v>
      </c>
      <c r="D26" s="87" t="n">
        <f aca="false">Sensitivity!C18-CVP_BreakEven!G15</f>
        <v>0</v>
      </c>
      <c r="E26" s="77" t="n">
        <v>0.5</v>
      </c>
      <c r="F26" s="88" t="str">
        <f aca="false">IF(ABS(D26)&lt;=E26,"✔ Pass","✖ Fail")</f>
        <v>✔ Pass</v>
      </c>
    </row>
    <row r="27" customFormat="false" ht="15" hidden="false" customHeight="false" outlineLevel="0" collapsed="false">
      <c r="B27" s="86" t="n">
        <v>20</v>
      </c>
      <c r="C27" s="43" t="s">
        <v>1245</v>
      </c>
      <c r="D27" s="87" t="n">
        <f aca="false">SUMIFS(S_Sales,S_Year,Cost_Year)-P1_Sales</f>
        <v>0</v>
      </c>
      <c r="E27" s="77" t="n">
        <v>0.5</v>
      </c>
      <c r="F27" s="88" t="str">
        <f aca="false">IF(ABS(D27)&lt;=E27,"✔ Pass","✖ Fail")</f>
        <v>✔ Pass</v>
      </c>
    </row>
  </sheetData>
  <conditionalFormatting sqref="F8:F27">
    <cfRule type="expression" priority="2" aboveAverage="0" equalAverage="0" bottom="0" percent="0" rank="0" text="" dxfId="0">
      <formula>LEFT(F8,1)="✔"</formula>
    </cfRule>
    <cfRule type="expression" priority="3" aboveAverage="0" equalAverage="0" bottom="0" percent="0" rank="0" text="" dxfId="1">
      <formula>LEFT(F8,1)="✖"</formula>
    </cfRule>
  </conditionalFormatting>
  <conditionalFormatting sqref="C5">
    <cfRule type="expression" priority="4" aboveAverage="0" equalAverage="0" bottom="0" percent="0" rank="0" text="" dxfId="9">
      <formula>LEFT($C$5,1)="✔"</formula>
    </cfRule>
    <cfRule type="expression" priority="5" aboveAverage="0" equalAverage="0" bottom="0" percent="0" rank="0" text="" dxfId="10">
      <formula>LEFT($C$5,1)&lt;&gt;"✔"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2026-10-07T04:29:10Z</dcterms:created>
  <dc:creator>openpyxl</dc:creator>
  <dc:description/>
  <dc:language>en-US</dc:language>
  <cp:lastModifiedBy/>
  <dcterms:modified xsi:type="dcterms:W3CDTF">2026-10-07T04:29:24Z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