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8.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ocumentation" sheetId="2" state="visible" r:id="rId4"/>
    <sheet name="Dashboard" sheetId="3" state="visible" r:id="rId5"/>
    <sheet name="Income_Statement" sheetId="4" state="visible" r:id="rId6"/>
    <sheet name="Balance_Sheet" sheetId="5" state="visible" r:id="rId7"/>
    <sheet name="Cash_Flow" sheetId="6" state="visible" r:id="rId8"/>
    <sheet name="Equity_Changes" sheetId="7" state="visible" r:id="rId9"/>
    <sheet name="Notes_to_FS" sheetId="8" state="visible" r:id="rId10"/>
    <sheet name="Schedules" sheetId="9" state="visible" r:id="rId11"/>
    <sheet name="Horizontal" sheetId="10" state="visible" r:id="rId12"/>
    <sheet name="Vertical" sheetId="11" state="visible" r:id="rId13"/>
    <sheet name="Common_Size" sheetId="12" state="visible" r:id="rId14"/>
    <sheet name="Trend" sheetId="13" state="visible" r:id="rId15"/>
    <sheet name="Revenue_Analysis" sheetId="14" state="visible" r:id="rId16"/>
    <sheet name="Expense_Analysis" sheetId="15" state="visible" r:id="rId17"/>
    <sheet name="Ratio_Analysis" sheetId="16" state="visible" r:id="rId18"/>
    <sheet name="Inputs" sheetId="17" state="visible" r:id="rId19"/>
    <sheet name="Data_Sales" sheetId="18" state="visible" r:id="rId20"/>
    <sheet name="Data_Expenses" sheetId="19" state="visible" r:id="rId21"/>
    <sheet name="Chart_Data" sheetId="20" state="visible" r:id="rId22"/>
    <sheet name="Lists" sheetId="21" state="visible" r:id="rId23"/>
    <sheet name="Checks" sheetId="22" state="visible" r:id="rId24"/>
  </sheets>
  <definedNames>
    <definedName function="false" hidden="true" localSheetId="18" name="_xlnm._FilterDatabase" vbProcedure="false">Data_Expenses!$A$4:$H$472</definedName>
    <definedName function="false" hidden="true" localSheetId="17" name="_xlnm._FilterDatabase" vbProcedure="false">Data_Sales!$A$4:$J$436</definedName>
    <definedName function="false" hidden="false" name="Cat_All" vbProcedure="false">Lists!$E$5:$E$9</definedName>
    <definedName function="false" hidden="false" name="Cat_List" vbProcedure="false">Lists!$C$5:$C$8</definedName>
    <definedName function="false" hidden="false" name="Cs_YearA" vbProcedure="false">Common_Size!$C$5</definedName>
    <definedName function="false" hidden="false" name="Cs_YearB" vbProcedure="false">Common_Size!$C$6</definedName>
    <definedName function="false" hidden="false" name="Dash_Year" vbProcedure="false">Dashboard!$C$5</definedName>
    <definedName function="false" hidden="false" name="Days_Year" vbProcedure="false">Inputs!$C$16</definedName>
    <definedName function="false" hidden="false" name="Exp_Amt" vbProcedure="false">Data_Expenses!$G$5:$G$472</definedName>
    <definedName function="false" hidden="false" name="Exp_Behav" vbProcedure="false">Data_Expenses!$F$5:$F$472</definedName>
    <definedName function="false" hidden="false" name="Exp_Date" vbProcedure="false">Data_Expenses!$A$5:$A$472</definedName>
    <definedName function="false" hidden="false" name="Exp_Func" vbProcedure="false">Data_Expenses!$E$5:$E$472</definedName>
    <definedName function="false" hidden="false" name="Exp_Line" vbProcedure="false">Data_Expenses!$D$5:$D$472</definedName>
    <definedName function="false" hidden="false" name="Exp_Month" vbProcedure="false">Data_Expenses!$C$5:$C$472</definedName>
    <definedName function="false" hidden="false" name="Exp_SelYear" vbProcedure="false">Expense_Analysis!$C$5</definedName>
    <definedName function="false" hidden="false" name="Exp_Year" vbProcedure="false">Data_Expenses!$B$5:$B$472</definedName>
    <definedName function="false" hidden="false" name="Final_Tax_Rate" vbProcedure="false">Inputs!$C$15</definedName>
    <definedName function="false" hidden="false" name="Func_GA" vbProcedure="false">Lists!$M$6</definedName>
    <definedName function="false" hidden="false" name="Func_SD" vbProcedure="false">Lists!$M$5</definedName>
    <definedName function="false" hidden="false" name="FY_List" vbProcedure="false">Lists!$A$5:$A$7</definedName>
    <definedName function="false" hidden="false" name="Loan_Tenor" vbProcedure="false">Inputs!$C$19</definedName>
    <definedName function="false" hidden="false" name="Map_Table" vbProcedure="false">Inputs!$B$100:$E$112</definedName>
    <definedName function="false" hidden="false" name="MCIT_Rate" vbProcedure="false">Inputs!$C$14</definedName>
    <definedName function="false" hidden="false" name="Metric_List" vbProcedure="false">Lists!$K$5:$K$7</definedName>
    <definedName function="false" hidden="false" name="Model_Status" vbProcedure="false">Checks!$C$4</definedName>
    <definedName function="false" hidden="false" name="Month_List" vbProcedure="false">Lists!$O$5:$O$16</definedName>
    <definedName function="false" hidden="false" name="Par_Value" vbProcedure="false">Inputs!$C$18</definedName>
    <definedName function="false" hidden="false" name="Region_All" vbProcedure="false">Lists!$I$5:$I$8</definedName>
    <definedName function="false" hidden="false" name="Region_List" vbProcedure="false">Lists!$G$5:$G$7</definedName>
    <definedName function="false" hidden="false" name="Rev_Cat" vbProcedure="false">Revenue_Analysis!$C$6</definedName>
    <definedName function="false" hidden="false" name="Rev_Idx" vbProcedure="false">Revenue_Analysis!$C$9</definedName>
    <definedName function="false" hidden="false" name="Rev_Metric" vbProcedure="false">Revenue_Analysis!$C$8</definedName>
    <definedName function="false" hidden="false" name="Rev_Region" vbProcedure="false">Revenue_Analysis!$C$7</definedName>
    <definedName function="false" hidden="false" name="Rev_Year" vbProcedure="false">Revenue_Analysis!$C$5</definedName>
    <definedName function="false" hidden="false" name="Sales_Cat" vbProcedure="false">Data_Sales!$F$5:$F$436</definedName>
    <definedName function="false" hidden="false" name="Sales_COGS" vbProcedure="false">Data_Sales!$H$5:$H$436</definedName>
    <definedName function="false" hidden="false" name="Sales_Date" vbProcedure="false">Data_Sales!$A$5:$A$436</definedName>
    <definedName function="false" hidden="false" name="Sales_GP" vbProcedure="false">Data_Sales!$I$5:$I$436</definedName>
    <definedName function="false" hidden="false" name="Sales_Month" vbProcedure="false">Data_Sales!$C$5:$C$436</definedName>
    <definedName function="false" hidden="false" name="Sales_Net" vbProcedure="false">Data_Sales!$G$5:$G$436</definedName>
    <definedName function="false" hidden="false" name="Sales_Qtr" vbProcedure="false">Data_Sales!$D$5:$D$436</definedName>
    <definedName function="false" hidden="false" name="Sales_Region" vbProcedure="false">Data_Sales!$E$5:$E$436</definedName>
    <definedName function="false" hidden="false" name="Sales_Year" vbProcedure="false">Data_Sales!$B$5:$B$436</definedName>
    <definedName function="false" hidden="false" name="Tax_Rate" vbProcedure="false">Inputs!$C$13</definedName>
    <definedName function="false" hidden="false" name="Var_Threshold" vbProcedure="false">Inputs!$C$17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<sst xmlns="http://schemas.openxmlformats.org/spreadsheetml/2006/main" count="2580" uniqueCount="754">
  <si>
    <t xml:space="preserve">PORTFOLIO PROJECT 01</t>
  </si>
  <si>
    <t xml:space="preserve">Financial Statement Analysis</t>
  </si>
  <si>
    <t xml:space="preserve">Model status</t>
  </si>
  <si>
    <t xml:space="preserve">Scope</t>
  </si>
  <si>
    <t xml:space="preserve">Income statement, balance sheet, cash flow, changes in equity, notes, supporting schedules, horizontal, vertical, trend and common-size analysis, revenue and expense analysis, ratio analysis and an executive dashboard - all formula-driven from one inputs sheet and two transaction ledgers.</t>
  </si>
  <si>
    <t xml:space="preserve">Data notice</t>
  </si>
  <si>
    <t xml:space="preserve">The company, its figures and the ledgers are entirely fictional and were created for portfolio demonstration. Philippine tax rates are inputs - verify against current BIR rules before reuse.</t>
  </si>
  <si>
    <t xml:space="preserve">NAVIGATION - click a button to jump to a sheet</t>
  </si>
  <si>
    <t xml:space="preserve">FINANCIAL REPORTS</t>
  </si>
  <si>
    <t xml:space="preserve">Executive KPI dashboard with year selector and charts</t>
  </si>
  <si>
    <t xml:space="preserve">Statement of comprehensive income (by function)</t>
  </si>
  <si>
    <t xml:space="preserve">Statement of financial position</t>
  </si>
  <si>
    <t xml:space="preserve">Statement of cash flows (indirect method)</t>
  </si>
  <si>
    <t xml:space="preserve">Statement of changes in equity</t>
  </si>
  <si>
    <t xml:space="preserve">Notes to the financial statements</t>
  </si>
  <si>
    <t xml:space="preserve">ANALYSIS</t>
  </si>
  <si>
    <t xml:space="preserve">Horizontal analysis: peso and % change, flags</t>
  </si>
  <si>
    <t xml:space="preserve">Vertical analysis: % of net sales / total assets</t>
  </si>
  <si>
    <t xml:space="preserve">Common-size statements with year comparison</t>
  </si>
  <si>
    <t xml:space="preserve">Trend indices, CAGR and FY2026-27 projections</t>
  </si>
  <si>
    <t xml:space="preserve">Revenue by month, category, region, quarter (filters)</t>
  </si>
  <si>
    <t xml:space="preserve">Expense analysis, cost behaviour and break-even</t>
  </si>
  <si>
    <t xml:space="preserve">Profitability, liquidity, solvency, efficiency, DuPont</t>
  </si>
  <si>
    <t xml:space="preserve">MODEL ENGINE AND CONTROLS</t>
  </si>
  <si>
    <t xml:space="preserve">All assumptions and opening balances (blue cells)</t>
  </si>
  <si>
    <t xml:space="preserve">PPE, working capital, borrowings and tax schedules</t>
  </si>
  <si>
    <t xml:space="preserve">Monthly sales ledger by category and region</t>
  </si>
  <si>
    <t xml:space="preserve">Monthly operating expense ledger</t>
  </si>
  <si>
    <t xml:space="preserve">Helper tables feeding dashboard charts</t>
  </si>
  <si>
    <t xml:space="preserve">Drop-down lists and named labels</t>
  </si>
  <si>
    <t xml:space="preserve">Model integrity checks</t>
  </si>
  <si>
    <t xml:space="preserve">Purpose, structure, colour legend, assumptions, methodology</t>
  </si>
  <si>
    <t xml:space="preserve">Model Documentation</t>
  </si>
  <si>
    <t xml:space="preserve">1. PURPOSE AND BUSINESS CONTEXT</t>
  </si>
  <si>
    <t xml:space="preserve">Objective</t>
  </si>
  <si>
    <t xml:space="preserve">Demonstrate a professional, fully integrated financial statement analysis for a fictional Philippine distribution company: three linked statements, notes, schedules and a complete analytical review (horizontal, vertical, trend, common-size, revenue, expense, profitability, liquidity, solvency and efficiency).</t>
  </si>
  <si>
    <t xml:space="preserve">Company</t>
  </si>
  <si>
    <t xml:space="preserve">Reporting basis</t>
  </si>
  <si>
    <t xml:space="preserve">Philippine Financial Reporting Standards (PFRS), expenses presented by function, financial year ending 31 December, amounts in PHP thousands.</t>
  </si>
  <si>
    <t xml:space="preserve">Shared company model</t>
  </si>
  <si>
    <t xml:space="preserve">Projects 2-6 of the portfolio (ratio dashboard, budgeting, cost accounting, internal control, tax computation) are built on this same fictional company so figures reconcile across deliverables.</t>
  </si>
  <si>
    <t xml:space="preserve">2. HOW THE MODEL FLOWS</t>
  </si>
  <si>
    <t xml:space="preserve">Step 1 - Inputs</t>
  </si>
  <si>
    <t xml:space="preserve">Assumptions, opening balances (FY2022), working-capital drivers, PPE additions and disposals, loan movements, tax rates and the expense chart-of-accounts mapping are entered on Inputs (blue cells).</t>
  </si>
  <si>
    <t xml:space="preserve">Step 2 - Ledgers</t>
  </si>
  <si>
    <t xml:space="preserve">Data_Sales (monthly net sales and cost of sales by category and region) and Data_Expenses (monthly operating expenses by line) feed the income statement through SUMIFS and the analysis sheets through SUMIFS/SUMPRODUCT.</t>
  </si>
  <si>
    <t xml:space="preserve">Step 3 - Schedules</t>
  </si>
  <si>
    <t xml:space="preserve">Schedules computes PPE roll-forwards and depreciation, working-capital balances from DSO/DIO/DPO drivers, borrowings and finance costs, and the income tax computation (RCIT vs MCIT, final tax).</t>
  </si>
  <si>
    <t xml:space="preserve">Step 4 - Statements</t>
  </si>
  <si>
    <t xml:space="preserve">Income statement, balance sheet, cash flow (indirect method) and changes in equity are linked. Closing cash is derived from the cash flow statement, so the balance sheet balances by construction - the Checks sheet proves it.</t>
  </si>
  <si>
    <t xml:space="preserve">Step 5 - Analysis</t>
  </si>
  <si>
    <t xml:space="preserve">Horizontal, vertical, common-size, trend, revenue, expense and ratio sheets read the statements; the dashboard reads Chart_Data. Changing any input updates all of them.</t>
  </si>
  <si>
    <t xml:space="preserve">3. SHEET INDEX</t>
  </si>
  <si>
    <t xml:space="preserve">Cover</t>
  </si>
  <si>
    <t xml:space="preserve">Title page, model status and navigation</t>
  </si>
  <si>
    <t xml:space="preserve">Documentation</t>
  </si>
  <si>
    <t xml:space="preserve">Dashboard</t>
  </si>
  <si>
    <t xml:space="preserve">Income Statement</t>
  </si>
  <si>
    <t xml:space="preserve">Balance Sheet</t>
  </si>
  <si>
    <t xml:space="preserve">Cash Flow</t>
  </si>
  <si>
    <t xml:space="preserve">Equity Changes</t>
  </si>
  <si>
    <t xml:space="preserve">Notes to FS</t>
  </si>
  <si>
    <t xml:space="preserve">Schedules</t>
  </si>
  <si>
    <t xml:space="preserve">Horizontal</t>
  </si>
  <si>
    <t xml:space="preserve">Vertical</t>
  </si>
  <si>
    <t xml:space="preserve">Common Size</t>
  </si>
  <si>
    <t xml:space="preserve">Trend</t>
  </si>
  <si>
    <t xml:space="preserve">Revenue Analysis</t>
  </si>
  <si>
    <t xml:space="preserve">Expense Analysis</t>
  </si>
  <si>
    <t xml:space="preserve">Ratio Analysis</t>
  </si>
  <si>
    <t xml:space="preserve">Inputs</t>
  </si>
  <si>
    <t xml:space="preserve">Data Sales</t>
  </si>
  <si>
    <t xml:space="preserve">Data Expenses</t>
  </si>
  <si>
    <t xml:space="preserve">Chart Data</t>
  </si>
  <si>
    <t xml:space="preserve">Lists</t>
  </si>
  <si>
    <t xml:space="preserve">Checks</t>
  </si>
  <si>
    <t xml:space="preserve">4. COLOUR AND FORMAT CONVENTIONS</t>
  </si>
  <si>
    <t xml:space="preserve">Blue text</t>
  </si>
  <si>
    <t xml:space="preserve">Hard-coded input or ledger data. Change these cells only.</t>
  </si>
  <si>
    <t xml:space="preserve">Black text</t>
  </si>
  <si>
    <t xml:space="preserve">Formula calculated on the same sheet.</t>
  </si>
  <si>
    <t xml:space="preserve">Green text</t>
  </si>
  <si>
    <t xml:space="preserve">Formula that links directly to another sheet.</t>
  </si>
  <si>
    <t xml:space="preserve">Yellow fill</t>
  </si>
  <si>
    <t xml:space="preserve">Key assumption or selector (drop-down) that drives results.</t>
  </si>
  <si>
    <t xml:space="preserve">Number formats</t>
  </si>
  <si>
    <t xml:space="preserve">Negative values appear in parentheses; zero appears as a dash; percentages to one decimal; multiples as 0.00x. Expenses are shown as negatives in the statements (positive in analysis tables).</t>
  </si>
  <si>
    <t xml:space="preserve">5. KEY ASSUMPTIONS AND SIMPLIFICATIONS</t>
  </si>
  <si>
    <t xml:space="preserve">Tax</t>
  </si>
  <si>
    <t xml:space="preserve">Current income tax = higher of RCIT (25% of taxable income) and MCIT (2% of gross income); 20% final tax on bank interest. Rates are inputs. Deferred tax is not modelled.</t>
  </si>
  <si>
    <t xml:space="preserve">Working capital</t>
  </si>
  <si>
    <t xml:space="preserve">Receivables, inventories, payables, prepayments and accruals are driven by DSO, DIO, DPO and % of operating expenses so that sales changes flow through to cash.</t>
  </si>
  <si>
    <t xml:space="preserve">Depreciation</t>
  </si>
  <si>
    <t xml:space="preserve">Straight-line by asset class with half-year convention on additions and disposals, capped so net book value never goes negative. Land is not depreciated.</t>
  </si>
  <si>
    <t xml:space="preserve">Interest</t>
  </si>
  <si>
    <t xml:space="preserve">Finance costs use average balances. Interest income uses prior year-end cash, which avoids a circular reference.</t>
  </si>
  <si>
    <t xml:space="preserve">Dividends</t>
  </si>
  <si>
    <t xml:space="preserve">Declared and paid in the same year at a payout ratio of net profit.</t>
  </si>
  <si>
    <t xml:space="preserve">Not modelled</t>
  </si>
  <si>
    <t xml:space="preserve">Leases (PFRS 16), employee benefits (PAS 19), deferred tax (PAS 12 temporary differences), foreign currency, VAT mechanics (covered in Project 6).</t>
  </si>
  <si>
    <t xml:space="preserve">6. EXCEL FEATURES USED</t>
  </si>
  <si>
    <t xml:space="preserve">Functions</t>
  </si>
  <si>
    <t xml:space="preserve">SUM, SUMIFS, COUNTIFS, SUMPRODUCT, SUBTOTAL, AGGREGATE, IF, IFERROR, AND, OR, INDEX/MATCH, VLOOKUP, OFFSET, CHOOSE-free dynamic selectors, TEXT, LEFT, UPPER, LOWER, ROUNDUP, ROUND, RANK, PERCENTILE, DATE, YEAR, MONTH, EOMONTH, NETWORKDAYS, WORKDAY, PMT, FORECAST, TREND, HYPERLINK.</t>
  </si>
  <si>
    <t xml:space="preserve">Controls</t>
  </si>
  <si>
    <t xml:space="preserve">Data validation (drop-downs and numeric limits on inputs), named ranges for ledgers and parameters, conditional formatting (checks, flags, data bars, colour scales), error handling with IFERROR, 23 integrity checks with a model-status banner, and sheet navigation links.</t>
  </si>
  <si>
    <t xml:space="preserve">Charts</t>
  </si>
  <si>
    <t xml:space="preserve">Native Excel charts linked to Chart_Data and the analysis sheets; they redraw when inputs or drop-down selections change.</t>
  </si>
  <si>
    <t xml:space="preserve">Pivot-style analysis</t>
  </si>
  <si>
    <t xml:space="preserve">Revenue_Analysis and Expense_Analysis provide pivot-style summaries with live filters using formulas. Native PivotTables and slicers can be added on top of the Data_Sales and Data_Expenses ranges (Insert &gt; PivotTable) if desired.</t>
  </si>
  <si>
    <t xml:space="preserve">7. HOW TO UPDATE</t>
  </si>
  <si>
    <t xml:space="preserve">Change a driver</t>
  </si>
  <si>
    <t xml:space="preserve">Edit a blue cell on Inputs (for example DSO for FY2025). All statements, ratios and charts update; confirm the Checks banner stays green.</t>
  </si>
  <si>
    <t xml:space="preserve">Add ledger rows</t>
  </si>
  <si>
    <t xml:space="preserve">Append rows at the bottom of Data_Sales or Data_Expenses and extend the named ranges (Formulas &gt; Name Manager) to the new last row.</t>
  </si>
  <si>
    <t xml:space="preserve">Use real company data</t>
  </si>
  <si>
    <t xml:space="preserve">Replace the opening balances, drivers and ledgers with figures from the company's audited financial statements (SEC Form 17-A on PSE Edge for listed companies).</t>
  </si>
  <si>
    <t xml:space="preserve">Executive Dashboard</t>
  </si>
  <si>
    <t xml:space="preserve">Fiscal year</t>
  </si>
  <si>
    <t xml:space="preserve">Model integrity</t>
  </si>
  <si>
    <t xml:space="preserve">NET SALES</t>
  </si>
  <si>
    <t xml:space="preserve">GROSS PROFIT</t>
  </si>
  <si>
    <t xml:space="preserve">EBITDA</t>
  </si>
  <si>
    <t xml:space="preserve">NET PROFIT</t>
  </si>
  <si>
    <t xml:space="preserve">TOTAL ASSETS</t>
  </si>
  <si>
    <t xml:space="preserve">TOTAL EQUITY</t>
  </si>
  <si>
    <t xml:space="preserve">NET DEBT</t>
  </si>
  <si>
    <t xml:space="preserve">FREE CASH FLOW</t>
  </si>
  <si>
    <t xml:space="preserve">KEY INSIGHTS (update automatically with the selected year)</t>
  </si>
  <si>
    <t xml:space="preserve">Statement of Comprehensive Income</t>
  </si>
  <si>
    <t xml:space="preserve">For the years ended 31 December</t>
  </si>
  <si>
    <t xml:space="preserve">PHP '000</t>
  </si>
  <si>
    <t xml:space="preserve">Note</t>
  </si>
  <si>
    <t xml:space="preserve">CONTINUING OPERATIONS</t>
  </si>
  <si>
    <t xml:space="preserve">Net sales</t>
  </si>
  <si>
    <t xml:space="preserve">Note 9</t>
  </si>
  <si>
    <t xml:space="preserve">Cost of sales</t>
  </si>
  <si>
    <t xml:space="preserve">Note 10</t>
  </si>
  <si>
    <t xml:space="preserve">Gross profit</t>
  </si>
  <si>
    <t xml:space="preserve">Selling and distribution expenses</t>
  </si>
  <si>
    <t xml:space="preserve">General and administrative expenses</t>
  </si>
  <si>
    <t xml:space="preserve">Note 6</t>
  </si>
  <si>
    <t xml:space="preserve">Operating profit</t>
  </si>
  <si>
    <t xml:space="preserve">Gain / (loss) on disposal of property and equipment</t>
  </si>
  <si>
    <t xml:space="preserve">Other income</t>
  </si>
  <si>
    <t xml:space="preserve">Interest income</t>
  </si>
  <si>
    <t xml:space="preserve">Finance costs</t>
  </si>
  <si>
    <t xml:space="preserve">Note 7</t>
  </si>
  <si>
    <t xml:space="preserve">Profit before income tax</t>
  </si>
  <si>
    <t xml:space="preserve">Income tax expense</t>
  </si>
  <si>
    <t xml:space="preserve">Note 11</t>
  </si>
  <si>
    <t xml:space="preserve">Net profit for the year</t>
  </si>
  <si>
    <t xml:space="preserve">MEMORANDUM ITEMS</t>
  </si>
  <si>
    <t xml:space="preserve">EBIT (operating profit + gains and other income)</t>
  </si>
  <si>
    <t xml:space="preserve">Total operating expenses (selling, G&amp;A and depreciation)</t>
  </si>
  <si>
    <t xml:space="preserve">Statement of Financial Position</t>
  </si>
  <si>
    <t xml:space="preserve">As at 31 December</t>
  </si>
  <si>
    <t xml:space="preserve">ASSETS</t>
  </si>
  <si>
    <t xml:space="preserve">Current assets</t>
  </si>
  <si>
    <t xml:space="preserve">Cash and cash equivalents</t>
  </si>
  <si>
    <t xml:space="preserve">Note 3</t>
  </si>
  <si>
    <t xml:space="preserve">Trade and other receivables</t>
  </si>
  <si>
    <t xml:space="preserve">Note 4</t>
  </si>
  <si>
    <t xml:space="preserve">Inventories</t>
  </si>
  <si>
    <t xml:space="preserve">Note 5</t>
  </si>
  <si>
    <t xml:space="preserve">Prepayments and other current assets</t>
  </si>
  <si>
    <t xml:space="preserve">Total current assets</t>
  </si>
  <si>
    <t xml:space="preserve">Non-current assets</t>
  </si>
  <si>
    <t xml:space="preserve">Property, plant and equipment, net</t>
  </si>
  <si>
    <t xml:space="preserve">Other non-current assets</t>
  </si>
  <si>
    <t xml:space="preserve">Total non-current assets</t>
  </si>
  <si>
    <t xml:space="preserve">LIABILITIES AND EQUITY</t>
  </si>
  <si>
    <t xml:space="preserve">Current liabilities</t>
  </si>
  <si>
    <t xml:space="preserve">Trade and other payables</t>
  </si>
  <si>
    <t xml:space="preserve">Accrued expenses</t>
  </si>
  <si>
    <t xml:space="preserve">Income tax payable</t>
  </si>
  <si>
    <t xml:space="preserve">Short-term loans</t>
  </si>
  <si>
    <t xml:space="preserve">Current portion of long-term loans</t>
  </si>
  <si>
    <t xml:space="preserve">Total current liabilities</t>
  </si>
  <si>
    <t xml:space="preserve">Non-current liabilities</t>
  </si>
  <si>
    <t xml:space="preserve">Long-term loans, net of current portion</t>
  </si>
  <si>
    <t xml:space="preserve">Total liabilities</t>
  </si>
  <si>
    <t xml:space="preserve">Equity</t>
  </si>
  <si>
    <t xml:space="preserve">Share capital</t>
  </si>
  <si>
    <t xml:space="preserve">Note 8</t>
  </si>
  <si>
    <t xml:space="preserve">Additional paid-in capital</t>
  </si>
  <si>
    <t xml:space="preserve">Retained earnings</t>
  </si>
  <si>
    <t xml:space="preserve">Total equity</t>
  </si>
  <si>
    <t xml:space="preserve">TOTAL LIABILITIES AND EQUITY</t>
  </si>
  <si>
    <t xml:space="preserve">Balance check (assets less liabilities and equity)</t>
  </si>
  <si>
    <t xml:space="preserve">Statement of Cash Flows (Indirect Method)</t>
  </si>
  <si>
    <t xml:space="preserve">CASH FLOWS FROM OPERATING ACTIVITIES</t>
  </si>
  <si>
    <t xml:space="preserve">Adjustments: depreciation</t>
  </si>
  <si>
    <t xml:space="preserve">Adjustments: (gain) / loss on disposal</t>
  </si>
  <si>
    <t xml:space="preserve">Adjustments: interest income</t>
  </si>
  <si>
    <t xml:space="preserve">Adjustments: finance costs</t>
  </si>
  <si>
    <t xml:space="preserve">Operating profit before working capital changes</t>
  </si>
  <si>
    <t xml:space="preserve">(Increase) / decrease in trade and other receivables</t>
  </si>
  <si>
    <t xml:space="preserve">(Increase) / decrease in inventories</t>
  </si>
  <si>
    <t xml:space="preserve">(Increase) / decrease in prepayments</t>
  </si>
  <si>
    <t xml:space="preserve">Increase / (decrease) in trade and other payables</t>
  </si>
  <si>
    <t xml:space="preserve">Increase / (decrease) in accrued expenses</t>
  </si>
  <si>
    <t xml:space="preserve">Cash generated from operations</t>
  </si>
  <si>
    <t xml:space="preserve">Interest received</t>
  </si>
  <si>
    <t xml:space="preserve">Interest paid</t>
  </si>
  <si>
    <t xml:space="preserve">Income taxes paid</t>
  </si>
  <si>
    <t xml:space="preserve">Net cash from operating activities</t>
  </si>
  <si>
    <t xml:space="preserve">CASH FLOWS FROM INVESTING ACTIVITIES</t>
  </si>
  <si>
    <t xml:space="preserve">Purchase of property, plant and equipment</t>
  </si>
  <si>
    <t xml:space="preserve">Proceeds from disposal of property and equipment</t>
  </si>
  <si>
    <t xml:space="preserve">(Increase) / decrease in other non-current assets</t>
  </si>
  <si>
    <t xml:space="preserve">Net cash used in investing activities</t>
  </si>
  <si>
    <t xml:space="preserve">CASH FLOWS FROM FINANCING ACTIVITIES</t>
  </si>
  <si>
    <t xml:space="preserve">Proceeds from long-term loans</t>
  </si>
  <si>
    <t xml:space="preserve">Repayment of long-term loans</t>
  </si>
  <si>
    <t xml:space="preserve">Net proceeds from / (repayment of) short-term loans</t>
  </si>
  <si>
    <t xml:space="preserve">Proceeds from issuance of shares</t>
  </si>
  <si>
    <t xml:space="preserve">Dividends paid</t>
  </si>
  <si>
    <t xml:space="preserve">Net cash from / (used in) financing activities</t>
  </si>
  <si>
    <t xml:space="preserve">Net increase / (decrease) in cash and cash equivalents</t>
  </si>
  <si>
    <t xml:space="preserve">Cash and cash equivalents at beginning of year</t>
  </si>
  <si>
    <t xml:space="preserve">Cash and cash equivalents at end of year</t>
  </si>
  <si>
    <t xml:space="preserve">MEMORANDUM</t>
  </si>
  <si>
    <t xml:space="preserve">Free cash flow (operating cash flow less capital expenditure)</t>
  </si>
  <si>
    <t xml:space="preserve">Statement of Changes in Equity</t>
  </si>
  <si>
    <t xml:space="preserve">Balance at 1 January</t>
  </si>
  <si>
    <t xml:space="preserve">Cash dividends declared and paid</t>
  </si>
  <si>
    <t xml:space="preserve">Issuance of shares</t>
  </si>
  <si>
    <t xml:space="preserve">Balance at 31 December</t>
  </si>
  <si>
    <t xml:space="preserve">Notes to the Financial Statements</t>
  </si>
  <si>
    <t xml:space="preserve">NOTE 1 - CORPORATE INFORMATION</t>
  </si>
  <si>
    <t xml:space="preserve">NOTE 2 - BASIS OF PREPARATION AND SIGNIFICANT ACCOUNTING POLICIES</t>
  </si>
  <si>
    <t xml:space="preserve">Statement of compliance. The financial statements are prepared in accordance with Philippine Financial Reporting Standards (PFRS) under the historical cost convention, using the accrual basis, with expenses presented by function.</t>
  </si>
  <si>
    <t xml:space="preserve">Revenue (PFRS 15). Revenue from the wholesale distribution of goods is recognised at a point in time when control transfers to the customer on delivery, net of trade discounts, returns and value-added tax.</t>
  </si>
  <si>
    <t xml:space="preserve">Inventories (PAS 2). Merchandise inventories are stated at the lower of cost (weighted average) and net realisable value.</t>
  </si>
  <si>
    <t xml:space="preserve">Property, plant and equipment (PAS 16). Stated at cost less accumulated depreciation. Depreciation is computed on a straight-line basis over the estimated useful lives of the assets (see Inputs); land is not depreciated. Gains and losses on disposal are recognised in profit or loss.</t>
  </si>
  <si>
    <t xml:space="preserve">Income taxes (PAS 12). Current income tax is the higher of the regular corporate income tax (RCIT) on taxable income and the minimum corporate income tax (MCIT) on gross income. Interest income from bank deposits is subject to final tax. Deferred tax is not modelled because temporary differences are assumed to be immaterial.</t>
  </si>
  <si>
    <t xml:space="preserve">Financial instruments (PFRS 9). Receivables and payables are measured at amortised cost; credit losses are recognised through the bad debts expense line.</t>
  </si>
  <si>
    <t xml:space="preserve">Model scope. Leases (PFRS 16), employee benefits (PAS 19) and deferred taxes are outside the scope of this illustrative model.</t>
  </si>
  <si>
    <t xml:space="preserve">NOTE 3 - CASH AND CASH EQUIVALENTS</t>
  </si>
  <si>
    <t xml:space="preserve">Cash on hand</t>
  </si>
  <si>
    <t xml:space="preserve">Short-term placements (maturity of three months or less)</t>
  </si>
  <si>
    <t xml:space="preserve">Cash in banks</t>
  </si>
  <si>
    <t xml:space="preserve">Total cash and cash equivalents</t>
  </si>
  <si>
    <t xml:space="preserve">NOTE 4 - TRADE AND OTHER RECEIVABLES (AGEING)</t>
  </si>
  <si>
    <t xml:space="preserve">31-60 days</t>
  </si>
  <si>
    <t xml:space="preserve">61-90 days</t>
  </si>
  <si>
    <t xml:space="preserve">Over 90 days</t>
  </si>
  <si>
    <t xml:space="preserve">Current (0-30 days)</t>
  </si>
  <si>
    <t xml:space="preserve">Total trade and other receivables</t>
  </si>
  <si>
    <t xml:space="preserve">Over 90 days as % of total receivables</t>
  </si>
  <si>
    <t xml:space="preserve">Days sales outstanding</t>
  </si>
  <si>
    <t xml:space="preserve">NOTE 5 - INVENTORIES (BY PRODUCT CATEGORY)</t>
  </si>
  <si>
    <t xml:space="preserve">Packaged Food</t>
  </si>
  <si>
    <t xml:space="preserve">Beverages</t>
  </si>
  <si>
    <t xml:space="preserve">Household &amp; Personal Care</t>
  </si>
  <si>
    <t xml:space="preserve">Fresh &amp; Frozen</t>
  </si>
  <si>
    <t xml:space="preserve">Remainder so the note ties to the balance sheet</t>
  </si>
  <si>
    <t xml:space="preserve">Total inventories (allocated on cost-of-sales mix)</t>
  </si>
  <si>
    <t xml:space="preserve">Days inventory on hand</t>
  </si>
  <si>
    <t xml:space="preserve">NOTE 6 - PROPERTY, PLANT AND EQUIPMENT</t>
  </si>
  <si>
    <t xml:space="preserve">Land (net book value)</t>
  </si>
  <si>
    <t xml:space="preserve">Buildings &amp; warehouse improvements (net book value)</t>
  </si>
  <si>
    <t xml:space="preserve">Warehouse equipment &amp; racking (net book value)</t>
  </si>
  <si>
    <t xml:space="preserve">Delivery vehicles (net book value)</t>
  </si>
  <si>
    <t xml:space="preserve">Office furniture &amp; IT equipment (net book value)</t>
  </si>
  <si>
    <t xml:space="preserve">Total net book value</t>
  </si>
  <si>
    <t xml:space="preserve">Cost - opening</t>
  </si>
  <si>
    <t xml:space="preserve">Additions</t>
  </si>
  <si>
    <t xml:space="preserve">Disposals</t>
  </si>
  <si>
    <t xml:space="preserve">Cost - closing</t>
  </si>
  <si>
    <t xml:space="preserve">Accumulated depreciation - opening</t>
  </si>
  <si>
    <t xml:space="preserve">Depreciation for the year</t>
  </si>
  <si>
    <t xml:space="preserve">Accumulated depreciation - closing</t>
  </si>
  <si>
    <t xml:space="preserve">Gain / (loss) on disposal recognised</t>
  </si>
  <si>
    <t xml:space="preserve">NOTE 7 - BORROWINGS</t>
  </si>
  <si>
    <t xml:space="preserve">Short-term loans (unsecured working capital lines)</t>
  </si>
  <si>
    <t xml:space="preserve">Long-term loans - current portion</t>
  </si>
  <si>
    <t xml:space="preserve">Long-term loans - non-current portion</t>
  </si>
  <si>
    <t xml:space="preserve">Total borrowings</t>
  </si>
  <si>
    <t xml:space="preserve">Finance costs for the year</t>
  </si>
  <si>
    <t xml:space="preserve">Weighted average interest cost on average borrowings</t>
  </si>
  <si>
    <t xml:space="preserve">Indicative level annual instalment on new term loans (PMT)</t>
  </si>
  <si>
    <t xml:space="preserve">Memo: PMT over the assumed tenor on the year's drawdown</t>
  </si>
  <si>
    <t xml:space="preserve">NOTE 8 - EQUITY</t>
  </si>
  <si>
    <t xml:space="preserve">Shares outstanding (number)</t>
  </si>
  <si>
    <t xml:space="preserve">Share capital / par value</t>
  </si>
  <si>
    <t xml:space="preserve">Dividends per share (PHP)</t>
  </si>
  <si>
    <t xml:space="preserve">Book value per share (PHP)</t>
  </si>
  <si>
    <t xml:space="preserve">Dividend payout ratio (dividends / net profit)</t>
  </si>
  <si>
    <t xml:space="preserve">NOTE 9 - NET SALES (DISAGGREGATION)</t>
  </si>
  <si>
    <t xml:space="preserve">Total by product category</t>
  </si>
  <si>
    <t xml:space="preserve">Luzon</t>
  </si>
  <si>
    <t xml:space="preserve">Visayas</t>
  </si>
  <si>
    <t xml:space="preserve">Mindanao</t>
  </si>
  <si>
    <t xml:space="preserve">Total by region</t>
  </si>
  <si>
    <t xml:space="preserve">NOTE 10 - COST OF SALES AND OPERATING EXPENSES (BY NATURE)</t>
  </si>
  <si>
    <t xml:space="preserve">Cost of sales (merchandise)</t>
  </si>
  <si>
    <t xml:space="preserve">Sales commissions &amp; incentives</t>
  </si>
  <si>
    <t xml:space="preserve">Advertising &amp; promotions</t>
  </si>
  <si>
    <t xml:space="preserve">Freight &amp; delivery</t>
  </si>
  <si>
    <t xml:space="preserve">Warehouse rent &amp; utilities</t>
  </si>
  <si>
    <t xml:space="preserve">Selling &amp; logistics staff costs</t>
  </si>
  <si>
    <t xml:space="preserve">Salaries &amp; wages (G&amp;A)</t>
  </si>
  <si>
    <t xml:space="preserve">Employee benefits &amp; contributions</t>
  </si>
  <si>
    <t xml:space="preserve">Professional fees</t>
  </si>
  <si>
    <t xml:space="preserve">Office rent &amp; utilities</t>
  </si>
  <si>
    <t xml:space="preserve">Repairs &amp; maintenance</t>
  </si>
  <si>
    <t xml:space="preserve">Taxes, licenses &amp; insurance</t>
  </si>
  <si>
    <t xml:space="preserve">Communication, IT &amp; supplies</t>
  </si>
  <si>
    <t xml:space="preserve">Bad debts &amp; credit losses</t>
  </si>
  <si>
    <t xml:space="preserve">Total costs and expenses</t>
  </si>
  <si>
    <t xml:space="preserve">NOTE 11 - INCOME TAXES</t>
  </si>
  <si>
    <t xml:space="preserve">Tax at statutory rate (RCIT)</t>
  </si>
  <si>
    <t xml:space="preserve">Tax effect of non-deductible expenses</t>
  </si>
  <si>
    <t xml:space="preserve">Tax effect of interest income subject to final tax</t>
  </si>
  <si>
    <t xml:space="preserve">MCIT in excess of RCIT / rounding</t>
  </si>
  <si>
    <t xml:space="preserve">Final tax on interest income</t>
  </si>
  <si>
    <t xml:space="preserve">Effective tax rate</t>
  </si>
  <si>
    <t xml:space="preserve">Statutory rate</t>
  </si>
  <si>
    <t xml:space="preserve">Income tax payable at year-end</t>
  </si>
  <si>
    <t xml:space="preserve">NOTE 12 - FINANCIAL RISK MANAGEMENT (SUMMARY)</t>
  </si>
  <si>
    <t xml:space="preserve">Net debt (borrowings less cash)</t>
  </si>
  <si>
    <t xml:space="preserve">Current ratio</t>
  </si>
  <si>
    <t xml:space="preserve">Liquidity headroom (cash + receivables less current liabilities)</t>
  </si>
  <si>
    <t xml:space="preserve">Credit risk is managed through customer credit limits and ageing review (Note 4). Liquidity risk is managed through committed working capital lines and the repayment schedule in Note 7. Interest rate risk arises on floating-rate loans; a 1% rise in rates would increase finance costs by approximately 1% of average borrowings.</t>
  </si>
  <si>
    <t xml:space="preserve">NOTE 13 - COMMITMENTS, CONTINGENCIES AND SUBSEQUENT EVENTS</t>
  </si>
  <si>
    <t xml:space="preserve">There were no material commitments, contingent liabilities or subsequent events requiring disclosure in this illustrative model.</t>
  </si>
  <si>
    <t xml:space="preserve">Supporting Schedules</t>
  </si>
  <si>
    <t xml:space="preserve">A. PROPERTY, PLANT AND EQUIPMENT ROLL-FORWARD (by asset class)</t>
  </si>
  <si>
    <t xml:space="preserve">Land</t>
  </si>
  <si>
    <t xml:space="preserve">Net book value</t>
  </si>
  <si>
    <t xml:space="preserve">Buildings &amp; warehouse improvements</t>
  </si>
  <si>
    <t xml:space="preserve">Warehouse equipment &amp; racking</t>
  </si>
  <si>
    <t xml:space="preserve">Delivery vehicles</t>
  </si>
  <si>
    <t xml:space="preserve">Office furniture &amp; IT equipment</t>
  </si>
  <si>
    <t xml:space="preserve">Total property, plant and equipment</t>
  </si>
  <si>
    <t xml:space="preserve">Total cost - closing</t>
  </si>
  <si>
    <t xml:space="preserve">Total accumulated depreciation - closing</t>
  </si>
  <si>
    <t xml:space="preserve">Total additions (capital expenditure)</t>
  </si>
  <si>
    <t xml:space="preserve">Total depreciation expense</t>
  </si>
  <si>
    <t xml:space="preserve">Total disposals - cost</t>
  </si>
  <si>
    <t xml:space="preserve">Total disposals - accumulated depreciation</t>
  </si>
  <si>
    <t xml:space="preserve">Net book value of disposals</t>
  </si>
  <si>
    <t xml:space="preserve">Cash proceeds from disposals</t>
  </si>
  <si>
    <t xml:space="preserve">Gain / (loss) on disposal</t>
  </si>
  <si>
    <t xml:space="preserve">B. WORKING CAPITAL (driver-based)</t>
  </si>
  <si>
    <t xml:space="preserve">Operating expenses (selling, distribution and G&amp;A)</t>
  </si>
  <si>
    <t xml:space="preserve">C. BORROWINGS AND FINANCE COSTS</t>
  </si>
  <si>
    <t xml:space="preserve">Short-term loans - closing</t>
  </si>
  <si>
    <t xml:space="preserve">Long-term loans - opening</t>
  </si>
  <si>
    <t xml:space="preserve">Drawdowns</t>
  </si>
  <si>
    <t xml:space="preserve">Repayments</t>
  </si>
  <si>
    <t xml:space="preserve">Long-term loans - closing (total)</t>
  </si>
  <si>
    <t xml:space="preserve">  of which current portion</t>
  </si>
  <si>
    <t xml:space="preserve">  of which non-current portion</t>
  </si>
  <si>
    <t xml:space="preserve">Interest on short-term loans</t>
  </si>
  <si>
    <t xml:space="preserve">Interest on long-term loans</t>
  </si>
  <si>
    <t xml:space="preserve">Total finance costs</t>
  </si>
  <si>
    <t xml:space="preserve">Interest income (yield x opening cash)</t>
  </si>
  <si>
    <t xml:space="preserve">D. INCOME TAX COMPUTATION (RCIT vs MCIT)</t>
  </si>
  <si>
    <t xml:space="preserve">Profit before income tax (per income statement)</t>
  </si>
  <si>
    <t xml:space="preserve">Add: non-deductible expenses</t>
  </si>
  <si>
    <t xml:space="preserve">Less: interest income subject to final tax</t>
  </si>
  <si>
    <t xml:space="preserve">Taxable income</t>
  </si>
  <si>
    <t xml:space="preserve">Regular corporate income tax (RCIT)</t>
  </si>
  <si>
    <t xml:space="preserve">Gross income for MCIT (gross profit + other income)</t>
  </si>
  <si>
    <t xml:space="preserve">Minimum corporate income tax (MCIT)</t>
  </si>
  <si>
    <t xml:space="preserve">Current income tax (higher of RCIT and MCIT)</t>
  </si>
  <si>
    <t xml:space="preserve">Total income tax expense</t>
  </si>
  <si>
    <t xml:space="preserve">Income tax payable - closing</t>
  </si>
  <si>
    <t xml:space="preserve">Income taxes paid in cash</t>
  </si>
  <si>
    <t xml:space="preserve">Annual ITR filing deadline (15 April, next working day)</t>
  </si>
  <si>
    <t xml:space="preserve">Horizontal Analysis</t>
  </si>
  <si>
    <t xml:space="preserve">Peso and percentage change year-on-year. Expenses are shown as negatives, so a negative change signals higher cost. Flags trigger above the review threshold set on Inputs.</t>
  </si>
  <si>
    <t xml:space="preserve">Change FY24 vs FY23</t>
  </si>
  <si>
    <t xml:space="preserve">% change</t>
  </si>
  <si>
    <t xml:space="preserve">Change FY25 vs FY24</t>
  </si>
  <si>
    <t xml:space="preserve">Flag FY24</t>
  </si>
  <si>
    <t xml:space="preserve">Flag FY25</t>
  </si>
  <si>
    <t xml:space="preserve">INCOME STATEMENT</t>
  </si>
  <si>
    <t xml:space="preserve">STATEMENT OF FINANCIAL POSITION</t>
  </si>
  <si>
    <t xml:space="preserve">Vertical Analysis</t>
  </si>
  <si>
    <t xml:space="preserve">Income statement lines as % of net sales; balance sheet lines as % of total assets.</t>
  </si>
  <si>
    <t xml:space="preserve">Change in % pts (FY25 vs FY23)</t>
  </si>
  <si>
    <t xml:space="preserve">Common-Size Statements</t>
  </si>
  <si>
    <t xml:space="preserve">Every line is expressed as a percentage of net sales (income statement) or total assets (balance sheet). Choose two years to compare.</t>
  </si>
  <si>
    <t xml:space="preserve">Compare year A</t>
  </si>
  <si>
    <t xml:space="preserve">Compare year B</t>
  </si>
  <si>
    <t xml:space="preserve">Common-size %</t>
  </si>
  <si>
    <t xml:space="preserve">Change (pts)</t>
  </si>
  <si>
    <t xml:space="preserve">Trend Analysis and Projections</t>
  </si>
  <si>
    <t xml:space="preserve">Index numbers use FY2023 = 100. CAGR is the compound annual growth rate over the period. Projections are statistical extrapolations, not forecasts.</t>
  </si>
  <si>
    <t xml:space="preserve">Index FY2024</t>
  </si>
  <si>
    <t xml:space="preserve">Index FY2025</t>
  </si>
  <si>
    <t xml:space="preserve">YoY FY2024</t>
  </si>
  <si>
    <t xml:space="preserve">YoY FY2025</t>
  </si>
  <si>
    <t xml:space="preserve">CAGR</t>
  </si>
  <si>
    <t xml:space="preserve">Net profit</t>
  </si>
  <si>
    <t xml:space="preserve">Total assets</t>
  </si>
  <si>
    <t xml:space="preserve">Net cash from operations</t>
  </si>
  <si>
    <t xml:space="preserve">PROJECTIONS (next two years)</t>
  </si>
  <si>
    <t xml:space="preserve">FORECAST and TREND use ordinary least squares on three data points - treat as indicative only. CAGR-based figures compound the historical growth rate.</t>
  </si>
  <si>
    <t xml:space="preserve">Pick a year, category, region and measure. Every table and chart on this sheet recalculates (SUMPRODUCT on the sales ledger).</t>
  </si>
  <si>
    <t xml:space="preserve">Selected measure - total</t>
  </si>
  <si>
    <t xml:space="preserve">Category</t>
  </si>
  <si>
    <t xml:space="preserve">All</t>
  </si>
  <si>
    <t xml:space="preserve">Prior year</t>
  </si>
  <si>
    <t xml:space="preserve">Region</t>
  </si>
  <si>
    <t xml:space="preserve">Year-on-year change</t>
  </si>
  <si>
    <t xml:space="preserve">Measure</t>
  </si>
  <si>
    <t xml:space="preserve">Net Sales</t>
  </si>
  <si>
    <t xml:space="preserve">Average per month</t>
  </si>
  <si>
    <t xml:space="preserve">Measure index (helper)</t>
  </si>
  <si>
    <t xml:space="preserve">Per working day</t>
  </si>
  <si>
    <t xml:space="preserve">Month</t>
  </si>
  <si>
    <t xml:space="preserve">Month-end</t>
  </si>
  <si>
    <t xml:space="preserve">Selected year</t>
  </si>
  <si>
    <t xml:space="preserve">YoY %</t>
  </si>
  <si>
    <t xml:space="preserve">3-month moving avg</t>
  </si>
  <si>
    <t xml:space="preserve">YTD cumulative</t>
  </si>
  <si>
    <t xml:space="preserve">Signal</t>
  </si>
  <si>
    <t xml:space="preserve">–</t>
  </si>
  <si>
    <t xml:space="preserve">Total</t>
  </si>
  <si>
    <t xml:space="preserve">SEASONALITY INSIGHTS</t>
  </si>
  <si>
    <t xml:space="preserve">Peak month</t>
  </si>
  <si>
    <t xml:space="preserve">Second-highest month</t>
  </si>
  <si>
    <t xml:space="preserve">Weakest month</t>
  </si>
  <si>
    <t xml:space="preserve">Peak-to-trough spread</t>
  </si>
  <si>
    <t xml:space="preserve">Q4 share of annual total</t>
  </si>
  <si>
    <t xml:space="preserve">BY PRODUCT CATEGORY (region filter applies; selected year)</t>
  </si>
  <si>
    <t xml:space="preserve">Share of total</t>
  </si>
  <si>
    <t xml:space="preserve">Rank</t>
  </si>
  <si>
    <t xml:space="preserve">Gross margin %</t>
  </si>
  <si>
    <t xml:space="preserve">Contribution to growth (pts)</t>
  </si>
  <si>
    <t xml:space="preserve">BY REGION (category filter applies; selected year)</t>
  </si>
  <si>
    <t xml:space="preserve">BY QUARTER (all filters apply)</t>
  </si>
  <si>
    <t xml:space="preserve">Quarter</t>
  </si>
  <si>
    <t xml:space="preserve">Operating expenses by function and nature, cost behaviour and break-even, driven by the expense ledger and the chart-of-accounts mapping.</t>
  </si>
  <si>
    <t xml:space="preserve">Net sales - selected year</t>
  </si>
  <si>
    <t xml:space="preserve">Net sales - prior year</t>
  </si>
  <si>
    <t xml:space="preserve">Net sales growth</t>
  </si>
  <si>
    <t xml:space="preserve">A. COSTS BY FUNCTION</t>
  </si>
  <si>
    <t xml:space="preserve">Cost category</t>
  </si>
  <si>
    <t xml:space="preserve">% of net sales</t>
  </si>
  <si>
    <t xml:space="preserve">Share of operating expenses</t>
  </si>
  <si>
    <t xml:space="preserve">Review flag</t>
  </si>
  <si>
    <t xml:space="preserve">Selling &amp; distribution</t>
  </si>
  <si>
    <t xml:space="preserve">General &amp; administrative</t>
  </si>
  <si>
    <t xml:space="preserve">Total operating expenses</t>
  </si>
  <si>
    <t xml:space="preserve">B. OPERATING EXPENSES BY NATURE (ledger)</t>
  </si>
  <si>
    <t xml:space="preserve">Expense line</t>
  </si>
  <si>
    <t xml:space="preserve">Share of ledger total</t>
  </si>
  <si>
    <t xml:space="preserve">Behaviour</t>
  </si>
  <si>
    <t xml:space="preserve">Total ledger expenses</t>
  </si>
  <si>
    <t xml:space="preserve">C. COST BEHAVIOUR AND BREAK-EVEN ANALYSIS</t>
  </si>
  <si>
    <t xml:space="preserve">Less: variable cost of sales</t>
  </si>
  <si>
    <t xml:space="preserve">Less: variable operating expenses</t>
  </si>
  <si>
    <t xml:space="preserve">Contribution margin</t>
  </si>
  <si>
    <t xml:space="preserve">Contribution margin ratio</t>
  </si>
  <si>
    <t xml:space="preserve">Less: fixed operating expenses</t>
  </si>
  <si>
    <t xml:space="preserve">Less: depreciation (fixed)</t>
  </si>
  <si>
    <t xml:space="preserve">Operating profit (derived)</t>
  </si>
  <si>
    <t xml:space="preserve">Break-even net sales (operating level)</t>
  </si>
  <si>
    <t xml:space="preserve">Margin of safety (PHP '000)</t>
  </si>
  <si>
    <t xml:space="preserve">Margin of safety (%)</t>
  </si>
  <si>
    <t xml:space="preserve">Degree of operating leverage</t>
  </si>
  <si>
    <t xml:space="preserve">Operating profit per income statement</t>
  </si>
  <si>
    <t xml:space="preserve">Difference (should be 0)</t>
  </si>
  <si>
    <t xml:space="preserve">D. MONTHLY OPERATING EXPENSE PROFILE</t>
  </si>
  <si>
    <t xml:space="preserve">% of month's net sales</t>
  </si>
  <si>
    <t xml:space="preserve">Ratios use year-end balances unless 'average' is stated. Benchmarks are illustrative industry reference points (blue inputs) - replace with peer data.</t>
  </si>
  <si>
    <t xml:space="preserve">Ratio</t>
  </si>
  <si>
    <t xml:space="preserve">Benchmark</t>
  </si>
  <si>
    <t xml:space="preserve">Better if</t>
  </si>
  <si>
    <t xml:space="preserve">Definition</t>
  </si>
  <si>
    <t xml:space="preserve">PROFITABILITY</t>
  </si>
  <si>
    <t xml:space="preserve">Gross profit margin</t>
  </si>
  <si>
    <t xml:space="preserve">Higher</t>
  </si>
  <si>
    <t xml:space="preserve">Gross profit / net sales</t>
  </si>
  <si>
    <t xml:space="preserve">EBITDA margin</t>
  </si>
  <si>
    <t xml:space="preserve">EBITDA / net sales</t>
  </si>
  <si>
    <t xml:space="preserve">Operating profit margin</t>
  </si>
  <si>
    <t xml:space="preserve">Operating profit / net sales</t>
  </si>
  <si>
    <t xml:space="preserve">Net profit margin</t>
  </si>
  <si>
    <t xml:space="preserve">Net profit / net sales</t>
  </si>
  <si>
    <t xml:space="preserve">Return on assets (average)</t>
  </si>
  <si>
    <t xml:space="preserve">Net profit / average total assets</t>
  </si>
  <si>
    <t xml:space="preserve">Return on equity (average)</t>
  </si>
  <si>
    <t xml:space="preserve">Net profit / average total equity</t>
  </si>
  <si>
    <t xml:space="preserve">Return on capital employed</t>
  </si>
  <si>
    <t xml:space="preserve">EBIT / (total assets - current liabilities)</t>
  </si>
  <si>
    <t xml:space="preserve">LIQUIDITY</t>
  </si>
  <si>
    <t xml:space="preserve">Current assets / current liabilities</t>
  </si>
  <si>
    <t xml:space="preserve">Quick ratio</t>
  </si>
  <si>
    <t xml:space="preserve">(Cash + receivables) / current liabilities</t>
  </si>
  <si>
    <t xml:space="preserve">Cash ratio</t>
  </si>
  <si>
    <t xml:space="preserve">Cash / current liabilities</t>
  </si>
  <si>
    <t xml:space="preserve">Working capital (PHP '000)</t>
  </si>
  <si>
    <t xml:space="preserve">Current assets - current liabilities</t>
  </si>
  <si>
    <t xml:space="preserve">Working capital as % of net sales</t>
  </si>
  <si>
    <t xml:space="preserve">Working capital / net sales</t>
  </si>
  <si>
    <t xml:space="preserve">Operating cash flow ratio</t>
  </si>
  <si>
    <t xml:space="preserve">Net cash from operations / current liabilities</t>
  </si>
  <si>
    <t xml:space="preserve">SOLVENCY AND COVERAGE</t>
  </si>
  <si>
    <t xml:space="preserve">Borrowings-to-equity</t>
  </si>
  <si>
    <t xml:space="preserve">Lower</t>
  </si>
  <si>
    <t xml:space="preserve">Total borrowings / total equity</t>
  </si>
  <si>
    <t xml:space="preserve">Total liabilities-to-equity</t>
  </si>
  <si>
    <t xml:space="preserve">Total liabilities / total equity</t>
  </si>
  <si>
    <t xml:space="preserve">Debt ratio</t>
  </si>
  <si>
    <t xml:space="preserve">Total liabilities / total assets</t>
  </si>
  <si>
    <t xml:space="preserve">Equity ratio</t>
  </si>
  <si>
    <t xml:space="preserve">Total equity / total assets</t>
  </si>
  <si>
    <t xml:space="preserve">Interest cover</t>
  </si>
  <si>
    <t xml:space="preserve">EBIT / finance costs</t>
  </si>
  <si>
    <t xml:space="preserve">EBITDA interest cover</t>
  </si>
  <si>
    <t xml:space="preserve">EBITDA / finance costs</t>
  </si>
  <si>
    <t xml:space="preserve">Net debt / EBITDA</t>
  </si>
  <si>
    <t xml:space="preserve">(Borrowings - cash) / EBITDA</t>
  </si>
  <si>
    <t xml:space="preserve">Debt service cover ratio</t>
  </si>
  <si>
    <t xml:space="preserve">EBITDA / (finance costs + scheduled principal repaid)</t>
  </si>
  <si>
    <t xml:space="preserve">EFFICIENCY (ACTIVITY)</t>
  </si>
  <si>
    <t xml:space="preserve">Receivables turnover (average)</t>
  </si>
  <si>
    <t xml:space="preserve">Net sales / average receivables</t>
  </si>
  <si>
    <t xml:space="preserve">Days in year / receivables turnover</t>
  </si>
  <si>
    <t xml:space="preserve">Inventory turnover (average)</t>
  </si>
  <si>
    <t xml:space="preserve">Cost of sales / average inventories</t>
  </si>
  <si>
    <t xml:space="preserve">Days inventory outstanding</t>
  </si>
  <si>
    <t xml:space="preserve">Days in year / inventory turnover</t>
  </si>
  <si>
    <t xml:space="preserve">Payables turnover (average)</t>
  </si>
  <si>
    <t xml:space="preserve">Cost of sales / average payables</t>
  </si>
  <si>
    <t xml:space="preserve">Days payables outstanding</t>
  </si>
  <si>
    <t xml:space="preserve">Days in year / payables turnover</t>
  </si>
  <si>
    <t xml:space="preserve">Cash conversion cycle (days)</t>
  </si>
  <si>
    <t xml:space="preserve">DSO + DIO - DPO</t>
  </si>
  <si>
    <t xml:space="preserve">Total asset turnover (average)</t>
  </si>
  <si>
    <t xml:space="preserve">Net sales / average total assets</t>
  </si>
  <si>
    <t xml:space="preserve">Fixed asset turnover (average)</t>
  </si>
  <si>
    <t xml:space="preserve">Net sales / average net PPE</t>
  </si>
  <si>
    <t xml:space="preserve">CASH FLOW QUALITY</t>
  </si>
  <si>
    <t xml:space="preserve">Free cash flow (PHP '000)</t>
  </si>
  <si>
    <t xml:space="preserve">Operating cash flow - capital expenditure</t>
  </si>
  <si>
    <t xml:space="preserve">Free cash flow margin</t>
  </si>
  <si>
    <t xml:space="preserve">Free cash flow / net sales</t>
  </si>
  <si>
    <t xml:space="preserve">Cash conversion (CFO / net profit)</t>
  </si>
  <si>
    <t xml:space="preserve">Net cash from operations / net profit</t>
  </si>
  <si>
    <t xml:space="preserve">DUPONT DECOMPOSITION OF RETURN ON EQUITY</t>
  </si>
  <si>
    <t xml:space="preserve">Profitability driver</t>
  </si>
  <si>
    <t xml:space="preserve">x Asset turnover (average assets)</t>
  </si>
  <si>
    <t xml:space="preserve">Efficiency driver</t>
  </si>
  <si>
    <t xml:space="preserve">x Equity multiplier (average)</t>
  </si>
  <si>
    <t xml:space="preserve">Leverage driver</t>
  </si>
  <si>
    <t xml:space="preserve">Return on equity (product of the three drivers)</t>
  </si>
  <si>
    <t xml:space="preserve">Product of the three drivers</t>
  </si>
  <si>
    <t xml:space="preserve">Difference vs ROE above (should be 0)</t>
  </si>
  <si>
    <t xml:space="preserve">Integrity check</t>
  </si>
  <si>
    <t xml:space="preserve">Inputs &amp; Assumptions</t>
  </si>
  <si>
    <t xml:space="preserve">All hard-coded assumptions live on this sheet. Blue = input, yellow fill = key assumption. Change a value and every schedule, statement, ratio and chart updates.</t>
  </si>
  <si>
    <t xml:space="preserve">1. COMPANY PROFILE &amp; GENERAL PARAMETERS</t>
  </si>
  <si>
    <t xml:space="preserve">Company name</t>
  </si>
  <si>
    <t xml:space="preserve">Sampaguita Foods &amp; Distribution Corporation (SFDC)</t>
  </si>
  <si>
    <t xml:space="preserve">Short name</t>
  </si>
  <si>
    <t xml:space="preserve">SFDC</t>
  </si>
  <si>
    <t xml:space="preserve">Head office</t>
  </si>
  <si>
    <t xml:space="preserve">Taguig City, Metro Manila, Philippines (warehouses: Laguna, Cebu, Davao)</t>
  </si>
  <si>
    <t xml:space="preserve">Nature of business</t>
  </si>
  <si>
    <t xml:space="preserve">Wholesale distribution of packaged food, beverages, household products and fresh &amp; frozen goods</t>
  </si>
  <si>
    <t xml:space="preserve">Financial year-end</t>
  </si>
  <si>
    <t xml:space="preserve">31 December</t>
  </si>
  <si>
    <t xml:space="preserve">Presentation currency and unit</t>
  </si>
  <si>
    <t xml:space="preserve">PHP in thousands (unless otherwise stated)</t>
  </si>
  <si>
    <t xml:space="preserve">Prepared by</t>
  </si>
  <si>
    <t xml:space="preserve">Bengie Hirnani</t>
  </si>
  <si>
    <t xml:space="preserve">Regular corporate income tax (RCIT) rate</t>
  </si>
  <si>
    <t xml:space="preserve">NIRC Sec. 27(A) as amended by CREATE (RA 11534): 25% for domestic corporations. Verify against current BIR rules.</t>
  </si>
  <si>
    <t xml:space="preserve">Minimum corporate income tax (MCIT) rate</t>
  </si>
  <si>
    <t xml:space="preserve">NIRC Sec. 27(E): 2% of gross income (CREATE temporarily reduced it to 1% for Jul 2020 - Jun 2023). Verify the rate for each period.</t>
  </si>
  <si>
    <t xml:space="preserve">Final withholding tax on bank interest income</t>
  </si>
  <si>
    <t xml:space="preserve">NIRC Sec. 27(D)(1): 20% final tax on interest from Philippine bank deposits.</t>
  </si>
  <si>
    <t xml:space="preserve">Days in year (turnover and days-based ratios)</t>
  </si>
  <si>
    <t xml:space="preserve">Used for DSO, DIO, DPO and working capital balances.</t>
  </si>
  <si>
    <t xml:space="preserve">Horizontal analysis review threshold (+/- %)</t>
  </si>
  <si>
    <t xml:space="preserve">Line items moving by more than this % year-on-year are flagged for review.</t>
  </si>
  <si>
    <t xml:space="preserve">Par value per share (PHP)</t>
  </si>
  <si>
    <t xml:space="preserve">Used to derive shares outstanding and dividend per share in the Notes.</t>
  </si>
  <si>
    <t xml:space="preserve">Assumed term-loan tenor (years)</t>
  </si>
  <si>
    <t xml:space="preserve">Used for the indicative PMT amortisation memo in the Notes.</t>
  </si>
  <si>
    <t xml:space="preserve">2. ANNUAL DRIVERS AND BALANCES</t>
  </si>
  <si>
    <t xml:space="preserve">Remarks / source</t>
  </si>
  <si>
    <t xml:space="preserve">Income statement and tax drivers</t>
  </si>
  <si>
    <t xml:space="preserve">Interest rate - short-term loans</t>
  </si>
  <si>
    <t xml:space="preserve">Applied to average balance (opening + closing) / 2.</t>
  </si>
  <si>
    <t xml:space="preserve">Interest rate - long-term loans</t>
  </si>
  <si>
    <t xml:space="preserve">Applied to average balance.</t>
  </si>
  <si>
    <t xml:space="preserve">Yield on opening cash (interest income)</t>
  </si>
  <si>
    <t xml:space="preserve">Applied to prior year-end cash to avoid circularity.</t>
  </si>
  <si>
    <t xml:space="preserve">Other income (supplier rebates, rental, scrap sales)</t>
  </si>
  <si>
    <t xml:space="preserve">Non-deductible expenses (representation excess, penalties)</t>
  </si>
  <si>
    <t xml:space="preserve">Permanent difference added back in the tax computation.</t>
  </si>
  <si>
    <t xml:space="preserve">Income tax paid during the year (% of current tax)</t>
  </si>
  <si>
    <t xml:space="preserve">Quarterly payments; balance is the year-end income tax payable.</t>
  </si>
  <si>
    <t xml:space="preserve">Dividend payout ratio (% of net profit)</t>
  </si>
  <si>
    <t xml:space="preserve">Cash dividends declared and paid within the year.</t>
  </si>
  <si>
    <t xml:space="preserve">Working capital drivers</t>
  </si>
  <si>
    <t xml:space="preserve">Days sales outstanding (DSO)</t>
  </si>
  <si>
    <t xml:space="preserve">Trade receivables = DSO x net sales / days in year.</t>
  </si>
  <si>
    <t xml:space="preserve">Days inventory outstanding (DIO)</t>
  </si>
  <si>
    <t xml:space="preserve">Inventories = DIO x cost of sales / days in year.</t>
  </si>
  <si>
    <t xml:space="preserve">Days payables outstanding (DPO)</t>
  </si>
  <si>
    <t xml:space="preserve">Trade payables = DPO x cost of sales / days in year.</t>
  </si>
  <si>
    <t xml:space="preserve">Prepayments (% of operating expenses)</t>
  </si>
  <si>
    <t xml:space="preserve">Accrued expenses (% of operating expenses)</t>
  </si>
  <si>
    <t xml:space="preserve">Opening balances at FY2022 year-end (balance sheet date prior to first reporting year)</t>
  </si>
  <si>
    <t xml:space="preserve">Closing cash for FY2023-FY2025 is derived from the cash flow statement.</t>
  </si>
  <si>
    <t xml:space="preserve">Long-term loans (total, including current portion)</t>
  </si>
  <si>
    <t xml:space="preserve">Opening equity reconciles to opening assets less liabilities (see Checks).</t>
  </si>
  <si>
    <t xml:space="preserve">Balance sheet inputs by year</t>
  </si>
  <si>
    <t xml:space="preserve">Other non-current assets (deposits, software)</t>
  </si>
  <si>
    <t xml:space="preserve">Annual movement is shown as investing cash flow.</t>
  </si>
  <si>
    <t xml:space="preserve">Short-term loans - closing balance</t>
  </si>
  <si>
    <t xml:space="preserve">Revolving working capital lines.</t>
  </si>
  <si>
    <t xml:space="preserve">Long-term loans - drawdowns</t>
  </si>
  <si>
    <t xml:space="preserve">FY2024 drawdown funds the Laguna warehouse expansion.</t>
  </si>
  <si>
    <t xml:space="preserve">Long-term loans - repayments</t>
  </si>
  <si>
    <t xml:space="preserve">Current portion of long-term loans at year-end</t>
  </si>
  <si>
    <t xml:space="preserve">Principal due within 12 months of the balance sheet date.</t>
  </si>
  <si>
    <t xml:space="preserve">Issuance of share capital</t>
  </si>
  <si>
    <t xml:space="preserve">Premium on shares issued (APIC)</t>
  </si>
  <si>
    <t xml:space="preserve">Disclosure splits used in the Notes</t>
  </si>
  <si>
    <t xml:space="preserve">Cash on hand (% of cash balance)</t>
  </si>
  <si>
    <t xml:space="preserve">Short-term placements (% of cash balance)</t>
  </si>
  <si>
    <t xml:space="preserve">Cash in banks is the remainder.</t>
  </si>
  <si>
    <t xml:space="preserve">Receivables aged 31-60 days (%)</t>
  </si>
  <si>
    <t xml:space="preserve">Current bucket (0-30 days) is the remainder.</t>
  </si>
  <si>
    <t xml:space="preserve">Receivables aged 61-90 days (%)</t>
  </si>
  <si>
    <t xml:space="preserve">Receivables aged over 90 days (%)</t>
  </si>
  <si>
    <t xml:space="preserve">3. PROPERTY, PLANT AND EQUIPMENT</t>
  </si>
  <si>
    <t xml:space="preserve">Asset class</t>
  </si>
  <si>
    <t xml:space="preserve">Useful life (years)</t>
  </si>
  <si>
    <t xml:space="preserve">Cost at FY2022</t>
  </si>
  <si>
    <t xml:space="preserve">Accum. depreciation at FY2022</t>
  </si>
  <si>
    <t xml:space="preserve">Land is not depreciated (life = 0). Straight-line depreciation on other classes with half-year convention for additions and disposals.</t>
  </si>
  <si>
    <t xml:space="preserve">Movements during the year</t>
  </si>
  <si>
    <t xml:space="preserve">Additions (capital expenditure)</t>
  </si>
  <si>
    <t xml:space="preserve">Disposals - cost</t>
  </si>
  <si>
    <t xml:space="preserve">Disposals - accumulated depreciation</t>
  </si>
  <si>
    <t xml:space="preserve">Disposals - cash proceeds</t>
  </si>
  <si>
    <t xml:space="preserve">4. CHART OF ACCOUNTS MAPPING - OPERATING EXPENSES</t>
  </si>
  <si>
    <t xml:space="preserve">Account code</t>
  </si>
  <si>
    <t xml:space="preserve">Function</t>
  </si>
  <si>
    <t xml:space="preserve">Cost behaviour</t>
  </si>
  <si>
    <t xml:space="preserve">Selling &amp; Distribution</t>
  </si>
  <si>
    <t xml:space="preserve">Variable</t>
  </si>
  <si>
    <t xml:space="preserve">Function and behaviour drive the SUMIFS in Income Statement, Expense Analysis and break-even.</t>
  </si>
  <si>
    <t xml:space="preserve">Fixed</t>
  </si>
  <si>
    <t xml:space="preserve">General &amp; Administrative</t>
  </si>
  <si>
    <t xml:space="preserve">Data - Monthly Sales Ledger</t>
  </si>
  <si>
    <t xml:space="preserve">Month-end net sales and cost of sales by product category and region. Blue = ledger input (fictional data). Use the filter arrows; row 3 shows a SUBTOTAL of visible rows.</t>
  </si>
  <si>
    <t xml:space="preserve">Visible total (SUBTOTAL)</t>
  </si>
  <si>
    <t xml:space="preserve">Year</t>
  </si>
  <si>
    <t xml:space="preserve">Record ID</t>
  </si>
  <si>
    <t xml:space="preserve">Data - Monthly Operating Expense Ledger</t>
  </si>
  <si>
    <t xml:space="preserve">Month-end operating expenses by expense line. Function and behaviour are looked up from the chart of accounts mapping on the Inputs sheet (VLOOKUP).</t>
  </si>
  <si>
    <t xml:space="preserve">Amount</t>
  </si>
  <si>
    <t xml:space="preserve">Helper tables that feed the dashboard charts. All cells are formulas - do not overwrite.</t>
  </si>
  <si>
    <t xml:space="preserve">Annual performance (PHP '000)</t>
  </si>
  <si>
    <t xml:space="preserve">Margins</t>
  </si>
  <si>
    <t xml:space="preserve">Gross margin</t>
  </si>
  <si>
    <t xml:space="preserve">Net margin</t>
  </si>
  <si>
    <t xml:space="preserve">Revenue mix (selected year)</t>
  </si>
  <si>
    <t xml:space="preserve">Cash flow by activity (PHP '000)</t>
  </si>
  <si>
    <t xml:space="preserve">Operating</t>
  </si>
  <si>
    <t xml:space="preserve">Investing</t>
  </si>
  <si>
    <t xml:space="preserve">Financing</t>
  </si>
  <si>
    <t xml:space="preserve">Liquidity and leverage</t>
  </si>
  <si>
    <t xml:space="preserve">Where each peso of sales goes</t>
  </si>
  <si>
    <t xml:space="preserve">Income tax</t>
  </si>
  <si>
    <t xml:space="preserve">Other items (net other income, interest, gains)</t>
  </si>
  <si>
    <t xml:space="preserve">Dashboard KPIs (PHP '000)</t>
  </si>
  <si>
    <t xml:space="preserve">Change %</t>
  </si>
  <si>
    <t xml:space="preserve">Net debt</t>
  </si>
  <si>
    <t xml:space="preserve">Free cash flow</t>
  </si>
  <si>
    <t xml:space="preserve">Net sales: actual and projections</t>
  </si>
  <si>
    <t xml:space="preserve">Actual</t>
  </si>
  <si>
    <t xml:space="preserve">Linear projection</t>
  </si>
  <si>
    <t xml:space="preserve">CAGR projection</t>
  </si>
  <si>
    <t xml:space="preserve">Source ranges for drop-down menus and named labels. Edit with care: names must match the data ledgers.</t>
  </si>
  <si>
    <t xml:space="preserve">Fiscal years</t>
  </si>
  <si>
    <t xml:space="preserve">Categories</t>
  </si>
  <si>
    <t xml:space="preserve">Categories (All)</t>
  </si>
  <si>
    <t xml:space="preserve">Regions</t>
  </si>
  <si>
    <t xml:space="preserve">Regions (All)</t>
  </si>
  <si>
    <t xml:space="preserve">Measures</t>
  </si>
  <si>
    <t xml:space="preserve">Months</t>
  </si>
  <si>
    <t xml:space="preserve">Jan</t>
  </si>
  <si>
    <t xml:space="preserve">Cost of Sales</t>
  </si>
  <si>
    <t xml:space="preserve">Feb</t>
  </si>
  <si>
    <t xml:space="preserve">Gross Profit</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</si>
  <si>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</si>
  <si>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</si>
  <si>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</si>
  <si>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</si>
  <si>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</si>
  <si>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</si>
  <si>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</si>
  <si>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</si>
  <si>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</si>
  <si>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</si>
  <si>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Model Integrity Checks</t>
  </si>
  <si>
    <t xml:space="preserve">Overall status</t>
  </si>
  <si>
    <t xml:space="preserve">Check (difference should be zero)</t>
  </si>
  <si>
    <t xml:space="preserve">Status</t>
  </si>
  <si>
    <t xml:space="preserve">What it proves</t>
  </si>
  <si>
    <t xml:space="preserve">Balance sheet balances (assets = liabilities + equity)</t>
  </si>
  <si>
    <t xml:space="preserve">Double-entry integrity, including FY2022 opening balances</t>
  </si>
  <si>
    <t xml:space="preserve">Cash flow opening cash = prior-year balance sheet cash</t>
  </si>
  <si>
    <t xml:space="preserve">Cash continuity between years</t>
  </si>
  <si>
    <t xml:space="preserve">Cash flow closing cash = balance sheet cash</t>
  </si>
  <si>
    <t xml:space="preserve">Cash flow statement reconciles to the balance sheet</t>
  </si>
  <si>
    <t xml:space="preserve">Statement of changes in equity = balance sheet equity</t>
  </si>
  <si>
    <t xml:space="preserve">Equity roll-forward integrity</t>
  </si>
  <si>
    <t xml:space="preserve">Net sales ledger: by category = income statement</t>
  </si>
  <si>
    <t xml:space="preserve">Category disaggregation is complete</t>
  </si>
  <si>
    <t xml:space="preserve">Net sales ledger: by region = income statement</t>
  </si>
  <si>
    <t xml:space="preserve">Region disaggregation is complete</t>
  </si>
  <si>
    <t xml:space="preserve">Expense ledger total = selling + G&amp;A per income statement</t>
  </si>
  <si>
    <t xml:space="preserve">Every ledger line maps to a function (no unmapped accounts)</t>
  </si>
  <si>
    <t xml:space="preserve">Note 3 cash components = balance sheet cash</t>
  </si>
  <si>
    <t xml:space="preserve">Disclosure ties to the face of the statements</t>
  </si>
  <si>
    <t xml:space="preserve">Note 4 receivables ageing = balance sheet receivables</t>
  </si>
  <si>
    <t xml:space="preserve">Note 5 inventories by category = balance sheet inventories</t>
  </si>
  <si>
    <t xml:space="preserve">Note 6 PPE net book value = balance sheet PPE</t>
  </si>
  <si>
    <t xml:space="preserve">Note 7 borrowings = schedule total</t>
  </si>
  <si>
    <t xml:space="preserve">Debt note agrees to the borrowings schedule</t>
  </si>
  <si>
    <t xml:space="preserve">Note 10 costs by nature = income statement costs</t>
  </si>
  <si>
    <t xml:space="preserve">Expense disclosure is complete</t>
  </si>
  <si>
    <t xml:space="preserve">Note 11 tax reconciliation = income tax expense</t>
  </si>
  <si>
    <t xml:space="preserve">Tax reconciliation agrees to the income statement</t>
  </si>
  <si>
    <t xml:space="preserve">Expense analysis break-even derivation = income statement (FY selected)</t>
  </si>
  <si>
    <t xml:space="preserve">Variable + fixed cost split reproduces operating profit</t>
  </si>
  <si>
    <t xml:space="preserve">DuPont ROE = average-based ROE</t>
  </si>
  <si>
    <t xml:space="preserve">Ratio decomposition is arithmetically consistent</t>
  </si>
  <si>
    <t xml:space="preserve">No PPE class has a negative net book value</t>
  </si>
  <si>
    <t xml:space="preserve">Depreciation is capped at cost</t>
  </si>
  <si>
    <t xml:space="preserve">Cash balance is not negative</t>
  </si>
  <si>
    <t xml:space="preserve">No overdraft hidden in the cash flow</t>
  </si>
  <si>
    <t xml:space="preserve">Sales ledger row count = months x categories x regions</t>
  </si>
  <si>
    <t xml:space="preserve">No missing or duplicate ledger rows</t>
  </si>
  <si>
    <t xml:space="preserve">Expense ledger row count = months x expense lines</t>
  </si>
  <si>
    <t xml:space="preserve">Dividend payout ratio does not exceed 100%</t>
  </si>
  <si>
    <t xml:space="preserve">Input sanity</t>
  </si>
  <si>
    <t xml:space="preserve">Disclosure split percentages do not exceed 100%</t>
  </si>
  <si>
    <t xml:space="preserve">Interest cover is at least 1.0x (EBIT covers finance costs)</t>
  </si>
  <si>
    <t xml:space="preserve">Going-concern sanity flag</t>
  </si>
</sst>
</file>

<file path=xl/styles.xml><?xml version="1.0" encoding="utf-8"?>
<styleSheet xmlns="http://schemas.openxmlformats.org/spreadsheetml/2006/main">
  <numFmts count="18">
    <numFmt numFmtId="164" formatCode="General"/>
    <numFmt numFmtId="165" formatCode="&quot;FY&quot;0"/>
    <numFmt numFmtId="166" formatCode="&quot;PHP &quot;#,##0.0,\M;&quot;(PHP &quot;#,##0.0,&quot;M)&quot;"/>
    <numFmt numFmtId="167" formatCode="#,##0"/>
    <numFmt numFmtId="168" formatCode="0.0%"/>
    <numFmt numFmtId="169" formatCode="0%"/>
    <numFmt numFmtId="170" formatCode="0.0\x"/>
    <numFmt numFmtId="171" formatCode="#,##0;\(#,##0\);\-"/>
    <numFmt numFmtId="172" formatCode="0.0%;\(0.0%\);\-"/>
    <numFmt numFmtId="173" formatCode="0.0"/>
    <numFmt numFmtId="174" formatCode="0.00%;\(0.00%\);\-"/>
    <numFmt numFmtId="175" formatCode="#,##0.00"/>
    <numFmt numFmtId="176" formatCode="0.00\x"/>
    <numFmt numFmtId="177" formatCode="dd\-mmm\-yyyy"/>
    <numFmt numFmtId="178" formatCode="0"/>
    <numFmt numFmtId="179" formatCode="#,##0.0;\(#,##0.0\);\-"/>
    <numFmt numFmtId="180" formatCode="dd\-mmm\-yy"/>
    <numFmt numFmtId="181" formatCode="0.0000"/>
  </numFmts>
  <fonts count="33">
    <font>
      <sz val="11"/>
      <color theme="1"/>
      <name val="Calibri"/>
      <family val="2"/>
      <charset val="1"/>
    </font>
    <font>
      <sz val="10"/>
      <name val="Arial"/>
      <family val="0"/>
    </font>
    <font>
      <sz val="10"/>
      <name val="Arial"/>
      <family val="0"/>
    </font>
    <font>
      <sz val="10"/>
      <name val="Arial"/>
      <family val="0"/>
    </font>
    <font>
      <b val="true"/>
      <sz val="10"/>
      <color rgb="FFC9A227"/>
      <name val="Arial"/>
      <family val="0"/>
      <charset val="1"/>
    </font>
    <font>
      <b val="true"/>
      <sz val="26"/>
      <color rgb="FFFFFFFF"/>
      <name val="Arial"/>
      <family val="0"/>
      <charset val="1"/>
    </font>
    <font>
      <sz val="13"/>
      <color rgb="FFFFFFFF"/>
      <name val="Arial"/>
      <family val="0"/>
      <charset val="1"/>
    </font>
    <font>
      <sz val="10"/>
      <color rgb="FFD5DEEA"/>
      <name val="Arial"/>
      <family val="0"/>
      <charset val="1"/>
    </font>
    <font>
      <sz val="9"/>
      <color rgb="FFD5DEEA"/>
      <name val="Arial"/>
      <family val="0"/>
      <charset val="1"/>
    </font>
    <font>
      <b val="true"/>
      <sz val="10"/>
      <color rgb="FF000000"/>
      <name val="Arial"/>
      <family val="0"/>
      <charset val="1"/>
    </font>
    <font>
      <sz val="9"/>
      <color rgb="FF000000"/>
      <name val="Arial"/>
      <family val="0"/>
      <charset val="1"/>
    </font>
    <font>
      <sz val="9"/>
      <color rgb="FF595959"/>
      <name val="Arial"/>
      <family val="0"/>
      <charset val="1"/>
    </font>
    <font>
      <b val="true"/>
      <sz val="10"/>
      <color rgb="FF0B1F3A"/>
      <name val="Arial"/>
      <family val="0"/>
      <charset val="1"/>
    </font>
    <font>
      <b val="true"/>
      <u val="single"/>
      <sz val="10"/>
      <color rgb="FFFFFFFF"/>
      <name val="Arial"/>
      <family val="0"/>
      <charset val="1"/>
    </font>
    <font>
      <b val="true"/>
      <sz val="16"/>
      <color rgb="FF0B1F3A"/>
      <name val="Arial"/>
      <family val="0"/>
      <charset val="1"/>
    </font>
    <font>
      <i val="true"/>
      <sz val="9"/>
      <color rgb="FF595959"/>
      <name val="Arial"/>
      <family val="0"/>
      <charset val="1"/>
    </font>
    <font>
      <u val="single"/>
      <sz val="9"/>
      <color rgb="FF0563C1"/>
      <name val="Arial"/>
      <family val="0"/>
      <charset val="1"/>
    </font>
    <font>
      <b val="true"/>
      <sz val="9"/>
      <color rgb="FF000000"/>
      <name val="Arial"/>
      <family val="0"/>
      <charset val="1"/>
    </font>
    <font>
      <b val="true"/>
      <sz val="10"/>
      <color rgb="FF0000FF"/>
      <name val="Arial"/>
      <family val="0"/>
      <charset val="1"/>
    </font>
    <font>
      <b val="true"/>
      <sz val="10"/>
      <color rgb="FF008000"/>
      <name val="Arial"/>
      <family val="0"/>
      <charset val="1"/>
    </font>
    <font>
      <b val="true"/>
      <sz val="11"/>
      <color rgb="FF000000"/>
      <name val="Arial"/>
      <family val="0"/>
      <charset val="1"/>
    </font>
    <font>
      <b val="true"/>
      <sz val="11"/>
      <color rgb="FF0000FF"/>
      <name val="Arial"/>
      <family val="0"/>
      <charset val="1"/>
    </font>
    <font>
      <b val="true"/>
      <sz val="8"/>
      <color rgb="FF595959"/>
      <name val="Arial"/>
      <family val="0"/>
      <charset val="1"/>
    </font>
    <font>
      <sz val="10"/>
      <color rgb="FF000000"/>
      <name val="Arial"/>
      <family val="0"/>
      <charset val="1"/>
    </font>
    <font>
      <b val="true"/>
      <sz val="18"/>
      <color rgb="FF000000"/>
      <name val="Calibri"/>
      <family val="2"/>
    </font>
    <font>
      <sz val="10"/>
      <color rgb="FF000000"/>
      <name val="Calibri"/>
      <family val="2"/>
    </font>
    <font>
      <b val="true"/>
      <sz val="10"/>
      <color rgb="FFFFFFFF"/>
      <name val="Arial"/>
      <family val="0"/>
      <charset val="1"/>
    </font>
    <font>
      <i val="true"/>
      <sz val="8"/>
      <color rgb="FF595959"/>
      <name val="Arial"/>
      <family val="0"/>
      <charset val="1"/>
    </font>
    <font>
      <sz val="10"/>
      <color rgb="FF008000"/>
      <name val="Arial"/>
      <family val="0"/>
      <charset val="1"/>
    </font>
    <font>
      <b val="true"/>
      <i val="true"/>
      <sz val="10"/>
      <color rgb="FF0B1F3A"/>
      <name val="Arial"/>
      <family val="0"/>
      <charset val="1"/>
    </font>
    <font>
      <sz val="10"/>
      <color rgb="FF0000FF"/>
      <name val="Arial"/>
      <family val="0"/>
      <charset val="1"/>
    </font>
    <font>
      <i val="true"/>
      <sz val="10"/>
      <color rgb="FF595959"/>
      <name val="Arial"/>
      <family val="0"/>
      <charset val="1"/>
    </font>
    <font>
      <i val="true"/>
      <sz val="9"/>
      <color rgb="FF000000"/>
      <name val="Arial"/>
      <family val="0"/>
      <charset val="1"/>
    </font>
  </fonts>
  <fills count="8">
    <fill>
      <patternFill patternType="none"/>
    </fill>
    <fill>
      <patternFill patternType="gray125"/>
    </fill>
    <fill>
      <patternFill patternType="solid">
        <fgColor rgb="FF0B1F3A"/>
        <bgColor rgb="FF000000"/>
      </patternFill>
    </fill>
    <fill>
      <patternFill patternType="solid">
        <fgColor rgb="FFC9A227"/>
        <bgColor rgb="FFF4B183"/>
      </patternFill>
    </fill>
    <fill>
      <patternFill patternType="solid">
        <fgColor rgb="FFD5DEEA"/>
        <bgColor rgb="FFD9D9D9"/>
      </patternFill>
    </fill>
    <fill>
      <patternFill patternType="solid">
        <fgColor rgb="FFFFF4CC"/>
        <bgColor rgb="FFFCE4C4"/>
      </patternFill>
    </fill>
    <fill>
      <patternFill patternType="solid">
        <fgColor rgb="FFEEF2F7"/>
        <bgColor rgb="FFF5F6F8"/>
      </patternFill>
    </fill>
    <fill>
      <patternFill patternType="solid">
        <fgColor rgb="FFF5F6F8"/>
        <bgColor rgb="FFEEF2F7"/>
      </patternFill>
    </fill>
  </fills>
  <borders count="6">
    <border diagonalUp="false" diagonalDown="false">
      <left/>
      <right/>
      <top/>
      <bottom/>
      <diagonal/>
    </border>
    <border diagonalUp="false" diagonalDown="false">
      <left style="thin">
        <color rgb="FFB7C2D0"/>
      </left>
      <right style="thin">
        <color rgb="FFB7C2D0"/>
      </right>
      <top style="thin">
        <color rgb="FFB7C2D0"/>
      </top>
      <bottom/>
      <diagonal/>
    </border>
    <border diagonalUp="false" diagonalDown="false">
      <left style="thin">
        <color rgb="FFB7C2D0"/>
      </left>
      <right style="thin">
        <color rgb="FFB7C2D0"/>
      </right>
      <top/>
      <bottom/>
      <diagonal/>
    </border>
    <border diagonalUp="false" diagonalDown="false">
      <left style="thin">
        <color rgb="FFB7C2D0"/>
      </left>
      <right style="thin">
        <color rgb="FFB7C2D0"/>
      </right>
      <top/>
      <bottom style="thin">
        <color rgb="FFB7C2D0"/>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1"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5" fontId="21" fillId="5"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6" fontId="14" fillId="6" borderId="2" xfId="0" applyFont="true" applyBorder="true" applyAlignment="true" applyProtection="false">
      <alignment horizontal="center" vertical="center" textRotation="0" wrapText="false" indent="0" shrinkToFit="false"/>
      <protection locked="true" hidden="false"/>
    </xf>
    <xf numFmtId="164" fontId="10" fillId="6" borderId="3"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general" vertical="center" textRotation="0" wrapText="false" indent="0" shrinkToFit="false"/>
      <protection locked="true" hidden="false"/>
    </xf>
    <xf numFmtId="164" fontId="26" fillId="2" borderId="0" xfId="0" applyFont="true" applyBorder="false" applyAlignment="true" applyProtection="false">
      <alignment horizontal="left" vertical="center" textRotation="0" wrapText="false" indent="0" shrinkToFit="false"/>
      <protection locked="true" hidden="false"/>
    </xf>
    <xf numFmtId="164" fontId="26" fillId="2" borderId="0" xfId="0" applyFont="true" applyBorder="false" applyAlignment="true" applyProtection="false">
      <alignment horizontal="general" vertical="center" textRotation="0" wrapText="false" indent="0" shrinkToFit="false"/>
      <protection locked="true" hidden="false"/>
    </xf>
    <xf numFmtId="165" fontId="26" fillId="2" borderId="0" xfId="0" applyFont="true" applyBorder="false" applyAlignment="true" applyProtection="false">
      <alignment horizontal="center" vertical="center" textRotation="0" wrapText="false" indent="0" shrinkToFit="false"/>
      <protection locked="true" hidden="false"/>
    </xf>
    <xf numFmtId="164" fontId="26" fillId="2" borderId="0" xfId="0" applyFont="true" applyBorder="false" applyAlignment="true" applyProtection="false">
      <alignment horizontal="center" vertical="center" textRotation="0" wrapText="true" indent="0" shrinkToFit="false"/>
      <protection locked="true" hidden="false"/>
    </xf>
    <xf numFmtId="171" fontId="9"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left" vertical="center" textRotation="0" wrapText="false" indent="1" shrinkToFit="false"/>
      <protection locked="true" hidden="false"/>
    </xf>
    <xf numFmtId="164" fontId="23" fillId="0" borderId="0" xfId="0" applyFont="true" applyBorder="false" applyAlignment="true" applyProtection="false">
      <alignment horizontal="general" vertical="center" textRotation="0" wrapText="false" indent="1" shrinkToFit="false"/>
      <protection locked="true" hidden="false"/>
    </xf>
    <xf numFmtId="171" fontId="23" fillId="0" borderId="0" xfId="0" applyFont="true" applyBorder="false" applyAlignment="true" applyProtection="false">
      <alignment horizontal="general" vertical="center" textRotation="0" wrapText="false" indent="0" shrinkToFit="false"/>
      <protection locked="true" hidden="false"/>
    </xf>
    <xf numFmtId="164" fontId="9" fillId="0" borderId="4" xfId="0" applyFont="tru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center" textRotation="0" wrapText="false" indent="0" shrinkToFit="false"/>
      <protection locked="true" hidden="false"/>
    </xf>
    <xf numFmtId="171" fontId="28" fillId="0" borderId="0" xfId="0" applyFont="true" applyBorder="false" applyAlignment="true" applyProtection="false">
      <alignment horizontal="general" vertical="center" textRotation="0" wrapText="false" indent="0" shrinkToFit="false"/>
      <protection locked="true" hidden="false"/>
    </xf>
    <xf numFmtId="164" fontId="9" fillId="0" borderId="5" xfId="0" applyFont="tru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71" fontId="9" fillId="0" borderId="5" xfId="0" applyFont="true" applyBorder="tru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26" fillId="2" borderId="0" xfId="0" applyFont="true" applyBorder="false" applyAlignment="true" applyProtection="false">
      <alignment horizontal="left" vertical="center" textRotation="0" wrapText="true" indent="0" shrinkToFit="false"/>
      <protection locked="true" hidden="false"/>
    </xf>
    <xf numFmtId="172" fontId="23" fillId="0" borderId="0" xfId="0" applyFont="true" applyBorder="false" applyAlignment="true" applyProtection="false">
      <alignment horizontal="general" vertical="center" textRotation="0" wrapText="false" indent="0" shrinkToFit="false"/>
      <protection locked="true" hidden="false"/>
    </xf>
    <xf numFmtId="173" fontId="23"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71" fontId="19" fillId="0" borderId="4" xfId="0" applyFont="true" applyBorder="true" applyAlignment="true" applyProtection="false">
      <alignment horizontal="general" vertical="center" textRotation="0" wrapText="false" indent="0" shrinkToFit="false"/>
      <protection locked="true" hidden="false"/>
    </xf>
    <xf numFmtId="174" fontId="23" fillId="0" borderId="0" xfId="0" applyFont="true" applyBorder="false" applyAlignment="true" applyProtection="false">
      <alignment horizontal="general" vertical="center" textRotation="0" wrapText="false" indent="0" shrinkToFit="false"/>
      <protection locked="true" hidden="false"/>
    </xf>
    <xf numFmtId="167" fontId="23" fillId="0" borderId="0" xfId="0" applyFont="true" applyBorder="false" applyAlignment="true" applyProtection="false">
      <alignment horizontal="general" vertical="center" textRotation="0" wrapText="false" indent="0" shrinkToFit="false"/>
      <protection locked="true" hidden="false"/>
    </xf>
    <xf numFmtId="175" fontId="23" fillId="0" borderId="0" xfId="0" applyFont="true" applyBorder="false" applyAlignment="true" applyProtection="false">
      <alignment horizontal="general" vertical="center" textRotation="0" wrapText="false" indent="0" shrinkToFit="false"/>
      <protection locked="true" hidden="false"/>
    </xf>
    <xf numFmtId="176" fontId="23" fillId="0" borderId="0" xfId="0" applyFont="true" applyBorder="false" applyAlignment="true" applyProtection="false">
      <alignment horizontal="general" vertical="center" textRotation="0" wrapText="false" indent="0" shrinkToFit="false"/>
      <protection locked="true" hidden="false"/>
    </xf>
    <xf numFmtId="171" fontId="19" fillId="0" borderId="0" xfId="0" applyFont="true" applyBorder="false" applyAlignment="true" applyProtection="false">
      <alignment horizontal="general" vertical="center" textRotation="0" wrapText="false" indent="0" shrinkToFit="false"/>
      <protection locked="true" hidden="false"/>
    </xf>
    <xf numFmtId="177" fontId="23" fillId="0" borderId="0" xfId="0" applyFont="true" applyBorder="false" applyAlignment="true" applyProtection="false">
      <alignment horizontal="general" vertical="center" textRotation="0" wrapText="false" indent="0" shrinkToFit="false"/>
      <protection locked="true" hidden="false"/>
    </xf>
    <xf numFmtId="172" fontId="9"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6" fillId="2" borderId="0" xfId="0" applyFont="true" applyBorder="false" applyAlignment="true" applyProtection="false">
      <alignment horizontal="center" vertical="center" textRotation="0" wrapText="false" indent="0" shrinkToFit="false"/>
      <protection locked="true" hidden="false"/>
    </xf>
    <xf numFmtId="165" fontId="30" fillId="5" borderId="0" xfId="0" applyFont="true" applyBorder="false" applyAlignment="true" applyProtection="false">
      <alignment horizontal="center" vertical="center" textRotation="0" wrapText="false" indent="0" shrinkToFit="false"/>
      <protection locked="true" hidden="false"/>
    </xf>
    <xf numFmtId="172" fontId="19" fillId="0" borderId="0" xfId="0" applyFont="true" applyBorder="false" applyAlignment="true" applyProtection="false">
      <alignment horizontal="general" vertical="center" textRotation="0" wrapText="false" indent="0" shrinkToFit="false"/>
      <protection locked="true" hidden="false"/>
    </xf>
    <xf numFmtId="172" fontId="28" fillId="0" borderId="0" xfId="0" applyFont="true" applyBorder="false" applyAlignment="true" applyProtection="false">
      <alignment horizontal="general" vertical="center" textRotation="0" wrapText="false" indent="0" shrinkToFit="false"/>
      <protection locked="true" hidden="false"/>
    </xf>
    <xf numFmtId="171" fontId="9" fillId="0" borderId="0" xfId="0" applyFont="true" applyBorder="false" applyAlignment="true" applyProtection="false">
      <alignment horizontal="right" vertical="center" textRotation="0" wrapText="false" indent="0" shrinkToFit="false"/>
      <protection locked="true" hidden="false"/>
    </xf>
    <xf numFmtId="164" fontId="30"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71" fontId="23" fillId="0" borderId="0" xfId="0" applyFont="true" applyBorder="false" applyAlignment="true" applyProtection="false">
      <alignment horizontal="right" vertical="center" textRotation="0" wrapText="false" indent="0" shrinkToFit="false"/>
      <protection locked="true" hidden="false"/>
    </xf>
    <xf numFmtId="172" fontId="23" fillId="0" borderId="0" xfId="0" applyFont="true" applyBorder="false" applyAlignment="true" applyProtection="false">
      <alignment horizontal="right" vertical="center" textRotation="0" wrapText="false" indent="0" shrinkToFit="false"/>
      <protection locked="true" hidden="false"/>
    </xf>
    <xf numFmtId="178" fontId="23" fillId="0" borderId="0" xfId="0" applyFont="true" applyBorder="false" applyAlignment="true" applyProtection="false">
      <alignment horizontal="center" vertical="center" textRotation="0" wrapText="false" indent="0" shrinkToFit="false"/>
      <protection locked="true" hidden="false"/>
    </xf>
    <xf numFmtId="179" fontId="23" fillId="0" borderId="0" xfId="0" applyFont="true" applyBorder="false" applyAlignment="true" applyProtection="false">
      <alignment horizontal="right" vertical="center" textRotation="0" wrapText="false" indent="0" shrinkToFit="false"/>
      <protection locked="true" hidden="false"/>
    </xf>
    <xf numFmtId="180" fontId="23"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right" vertical="center" textRotation="0" wrapText="false" indent="0" shrinkToFit="false"/>
      <protection locked="true" hidden="false"/>
    </xf>
    <xf numFmtId="164" fontId="23" fillId="0" borderId="5" xfId="0" applyFont="true" applyBorder="true" applyAlignment="true" applyProtection="false">
      <alignment horizontal="general" vertical="center" textRotation="0" wrapText="false" indent="0" shrinkToFit="false"/>
      <protection locked="true" hidden="false"/>
    </xf>
    <xf numFmtId="172" fontId="9" fillId="0" borderId="5"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1" shrinkToFit="false"/>
      <protection locked="true" hidden="false"/>
    </xf>
    <xf numFmtId="172" fontId="9" fillId="0" borderId="5" xfId="0" applyFont="true" applyBorder="true" applyAlignment="true" applyProtection="false">
      <alignment horizontal="general"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30"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2" fillId="7" borderId="0" xfId="0" applyFont="true" applyBorder="true" applyAlignment="true" applyProtection="false">
      <alignment horizontal="general" vertical="top" textRotation="0" wrapText="true" indent="0" shrinkToFit="false"/>
      <protection locked="true" hidden="false"/>
    </xf>
    <xf numFmtId="176" fontId="30"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73" fontId="30"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1" shrinkToFit="false"/>
      <protection locked="true" hidden="false"/>
    </xf>
    <xf numFmtId="181" fontId="23"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8" fontId="30" fillId="5" borderId="0" xfId="0" applyFont="true" applyBorder="false" applyAlignment="true" applyProtection="false">
      <alignment horizontal="right" vertical="center" textRotation="0" wrapText="false" indent="0" shrinkToFit="false"/>
      <protection locked="true" hidden="false"/>
    </xf>
    <xf numFmtId="178" fontId="30" fillId="5" borderId="0" xfId="0" applyFont="true" applyBorder="false" applyAlignment="true" applyProtection="false">
      <alignment horizontal="right" vertical="center" textRotation="0" wrapText="false" indent="0" shrinkToFit="false"/>
      <protection locked="true" hidden="false"/>
    </xf>
    <xf numFmtId="169" fontId="30" fillId="5" borderId="0" xfId="0" applyFont="true" applyBorder="false" applyAlignment="true" applyProtection="false">
      <alignment horizontal="right" vertical="center" textRotation="0" wrapText="false" indent="0" shrinkToFit="false"/>
      <protection locked="true" hidden="false"/>
    </xf>
    <xf numFmtId="167" fontId="30" fillId="0" borderId="0" xfId="0" applyFont="true" applyBorder="false" applyAlignment="true" applyProtection="false">
      <alignment horizontal="right" vertical="center" textRotation="0" wrapText="false" indent="0" shrinkToFit="false"/>
      <protection locked="true" hidden="false"/>
    </xf>
    <xf numFmtId="178" fontId="30" fillId="0" borderId="0" xfId="0" applyFont="true" applyBorder="false" applyAlignment="true" applyProtection="false">
      <alignment horizontal="right" vertical="center" textRotation="0" wrapText="false" indent="0" shrinkToFit="false"/>
      <protection locked="true" hidden="false"/>
    </xf>
    <xf numFmtId="174" fontId="30" fillId="0" borderId="0" xfId="0" applyFont="true" applyBorder="false" applyAlignment="true" applyProtection="false">
      <alignment horizontal="general" vertical="center" textRotation="0" wrapText="false" indent="0" shrinkToFit="false"/>
      <protection locked="true" hidden="false"/>
    </xf>
    <xf numFmtId="171" fontId="30" fillId="0" borderId="0" xfId="0" applyFont="true" applyBorder="false" applyAlignment="true" applyProtection="false">
      <alignment horizontal="general" vertical="center" textRotation="0" wrapText="false" indent="0" shrinkToFit="false"/>
      <protection locked="true" hidden="false"/>
    </xf>
    <xf numFmtId="178" fontId="30"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1" shrinkToFit="false"/>
      <protection locked="true" hidden="false"/>
    </xf>
    <xf numFmtId="178"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7" fontId="30" fillId="0" borderId="0" xfId="0" applyFont="true" applyBorder="false" applyAlignment="true" applyProtection="false">
      <alignment horizontal="general" vertical="center" textRotation="0" wrapText="false" indent="0" shrinkToFit="false"/>
      <protection locked="true" hidden="false"/>
    </xf>
    <xf numFmtId="178" fontId="23" fillId="0" borderId="0" xfId="0" applyFont="true" applyBorder="false" applyAlignment="true" applyProtection="false">
      <alignment horizontal="general" vertical="center" textRotation="0" wrapText="false" indent="0" shrinkToFit="false"/>
      <protection locked="true" hidden="false"/>
    </xf>
    <xf numFmtId="176" fontId="28" fillId="0" borderId="0" xfId="0" applyFont="true" applyBorder="false" applyAlignment="true" applyProtection="false">
      <alignment horizontal="general" vertical="center" textRotation="0" wrapText="false" indent="0" shrinkToFit="false"/>
      <protection locked="true" hidden="false"/>
    </xf>
    <xf numFmtId="178" fontId="28"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b val="1"/>
        <color rgb="FF006100"/>
      </font>
      <fill>
        <patternFill>
          <bgColor rgb="FFC6EFCE"/>
        </patternFill>
      </fill>
    </dxf>
    <dxf>
      <font>
        <b val="1"/>
        <color rgb="FF9C0006"/>
      </font>
      <fill>
        <patternFill>
          <bgColor rgb="FFFFC7CE"/>
        </patternFill>
      </fill>
    </dxf>
    <dxf>
      <font>
        <b val="1"/>
        <color rgb="FF006100"/>
      </font>
    </dxf>
    <dxf>
      <font>
        <b val="1"/>
        <color rgb="FFC00000"/>
      </font>
    </dxf>
    <dxf>
      <font>
        <b val="1"/>
        <color rgb="FF7F4B00"/>
      </font>
      <fill>
        <patternFill>
          <bgColor rgb="FFFCE4C4"/>
        </patternFill>
      </fill>
    </dxf>
    <dxf>
      <font>
        <color rgb="FFC00000"/>
      </font>
    </dxf>
    <dxf>
      <font>
        <b val="1"/>
      </font>
      <fill>
        <patternFill>
          <bgColor rgb="FFFCE4C4"/>
        </patternFill>
      </fill>
    </dxf>
    <dxf>
      <fill>
        <patternFill patternType="solid">
          <fgColor rgb="FF0B1F3A"/>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7C2D0"/>
      <rgbColor rgb="FF7F7F7F"/>
      <rgbColor rgb="FF878787"/>
      <rgbColor rgb="FF993366"/>
      <rgbColor rgb="FFFFF4CC"/>
      <rgbColor rgb="FFEEF2F7"/>
      <rgbColor rgb="FF660066"/>
      <rgbColor rgb="FFFF8080"/>
      <rgbColor rgb="FF0563C1"/>
      <rgbColor rgb="FFD5DEEA"/>
      <rgbColor rgb="FF000080"/>
      <rgbColor rgb="FFFF00FF"/>
      <rgbColor rgb="FFFFFF00"/>
      <rgbColor rgb="FF00FFFF"/>
      <rgbColor rgb="FF800080"/>
      <rgbColor rgb="FF800000"/>
      <rgbColor rgb="FF008080"/>
      <rgbColor rgb="FF0000FF"/>
      <rgbColor rgb="FF00CCFF"/>
      <rgbColor rgb="FFF5F6F8"/>
      <rgbColor rgb="FFC6EFCE"/>
      <rgbColor rgb="FFFCE4C4"/>
      <rgbColor rgb="FFA9D08E"/>
      <rgbColor rgb="FFF4B183"/>
      <rgbColor rgb="FFD9D9D9"/>
      <rgbColor rgb="FFFFC7CE"/>
      <rgbColor rgb="FF4F81BD"/>
      <rgbColor rgb="FF33CCCC"/>
      <rgbColor rgb="FF99CC00"/>
      <rgbColor rgb="FFFFCC00"/>
      <rgbColor rgb="FFC9A227"/>
      <rgbColor rgb="FFFF6600"/>
      <rgbColor rgb="FF5B7DB1"/>
      <rgbColor rgb="FF8C9BB0"/>
      <rgbColor rgb="FF0B1F3A"/>
      <rgbColor rgb="FF339966"/>
      <rgbColor rgb="FF006100"/>
      <rgbColor rgb="FF333300"/>
      <rgbColor rgb="FF7F4B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and gross profit (PHP '000)</a:t>
            </a:r>
          </a:p>
        </c:rich>
      </c:tx>
      <c:overlay val="0"/>
      <c:spPr>
        <a:noFill/>
        <a:ln w="0">
          <a:noFill/>
        </a:ln>
      </c:spPr>
    </c:title>
    <c:autoTitleDeleted val="0"/>
    <c:plotArea>
      <c:barChart>
        <c:barDir val="col"/>
        <c:grouping val="clustered"/>
        <c:varyColors val="0"/>
        <c:ser>
          <c:idx val="0"/>
          <c:order val="0"/>
          <c:tx>
            <c:strRef>
              <c:f>Chart_Data!B6</c:f>
              <c:strCache>
                <c:ptCount val="1"/>
                <c:pt idx="0">
                  <c:v>Net sales</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Chart_Data!$C$5:$E$5</c:f>
              <c:strCache>
                <c:ptCount val="3"/>
                <c:pt idx="0">
                  <c:v>FY2023</c:v>
                </c:pt>
                <c:pt idx="1">
                  <c:v>FY2024</c:v>
                </c:pt>
                <c:pt idx="2">
                  <c:v>FY2025</c:v>
                </c:pt>
              </c:strCache>
            </c:strRef>
          </c:cat>
          <c:val>
            <c:numRef>
              <c:f>Chart_Data!$C$6:$E$6</c:f>
              <c:numCache>
                <c:formatCode>#,##0;\(#,##0\);\-</c:formatCode>
                <c:ptCount val="3"/>
                <c:pt idx="0">
                  <c:v>821118</c:v>
                </c:pt>
                <c:pt idx="1">
                  <c:v>897238</c:v>
                </c:pt>
                <c:pt idx="2">
                  <c:v>972442</c:v>
                </c:pt>
              </c:numCache>
            </c:numRef>
          </c:val>
        </c:ser>
        <c:ser>
          <c:idx val="1"/>
          <c:order val="1"/>
          <c:tx>
            <c:strRef>
              <c:f>Chart_Data!B7</c:f>
              <c:strCache>
                <c:ptCount val="1"/>
                <c:pt idx="0">
                  <c:v>Gross profit</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Chart_Data!$C$5:$E$5</c:f>
              <c:strCache>
                <c:ptCount val="3"/>
                <c:pt idx="0">
                  <c:v>FY2023</c:v>
                </c:pt>
                <c:pt idx="1">
                  <c:v>FY2024</c:v>
                </c:pt>
                <c:pt idx="2">
                  <c:v>FY2025</c:v>
                </c:pt>
              </c:strCache>
            </c:strRef>
          </c:cat>
          <c:val>
            <c:numRef>
              <c:f>Chart_Data!$C$7:$E$7</c:f>
              <c:numCache>
                <c:formatCode>#,##0;\(#,##0\);\-</c:formatCode>
                <c:ptCount val="3"/>
                <c:pt idx="0">
                  <c:v>207141</c:v>
                </c:pt>
                <c:pt idx="1">
                  <c:v>228680</c:v>
                </c:pt>
                <c:pt idx="2">
                  <c:v>249894</c:v>
                </c:pt>
              </c:numCache>
            </c:numRef>
          </c:val>
        </c:ser>
        <c:gapWidth val="150"/>
        <c:overlap val="0"/>
        <c:axId val="51215947"/>
        <c:axId val="95106699"/>
      </c:barChart>
      <c:catAx>
        <c:axId val="512159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106699"/>
        <c:crosses val="autoZero"/>
        <c:auto val="1"/>
        <c:lblAlgn val="ctr"/>
        <c:lblOffset val="100"/>
        <c:noMultiLvlLbl val="0"/>
      </c:catAx>
      <c:valAx>
        <c:axId val="9510669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159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and net profit (PHP '000)</a:t>
            </a:r>
          </a:p>
        </c:rich>
      </c:tx>
      <c:overlay val="0"/>
      <c:spPr>
        <a:noFill/>
        <a:ln w="0">
          <a:noFill/>
        </a:ln>
      </c:spPr>
    </c:title>
    <c:autoTitleDeleted val="0"/>
    <c:plotArea>
      <c:barChart>
        <c:barDir val="col"/>
        <c:grouping val="clustered"/>
        <c:varyColors val="0"/>
        <c:ser>
          <c:idx val="0"/>
          <c:order val="0"/>
          <c:tx>
            <c:strRef>
              <c:f>Chart_Data!B8</c:f>
              <c:strCache>
                <c:ptCount val="1"/>
                <c:pt idx="0">
                  <c:v>EBITDA</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Chart_Data!$C$5:$E$5</c:f>
              <c:strCache>
                <c:ptCount val="3"/>
                <c:pt idx="0">
                  <c:v>FY2023</c:v>
                </c:pt>
                <c:pt idx="1">
                  <c:v>FY2024</c:v>
                </c:pt>
                <c:pt idx="2">
                  <c:v>FY2025</c:v>
                </c:pt>
              </c:strCache>
            </c:strRef>
          </c:cat>
          <c:val>
            <c:numRef>
              <c:f>Chart_Data!$C$8:$E$8</c:f>
              <c:numCache>
                <c:formatCode>#,##0;\(#,##0\);\-</c:formatCode>
                <c:ptCount val="3"/>
                <c:pt idx="0">
                  <c:v>57360</c:v>
                </c:pt>
                <c:pt idx="1">
                  <c:v>68923</c:v>
                </c:pt>
                <c:pt idx="2">
                  <c:v>82040</c:v>
                </c:pt>
              </c:numCache>
            </c:numRef>
          </c:val>
        </c:ser>
        <c:ser>
          <c:idx val="1"/>
          <c:order val="1"/>
          <c:tx>
            <c:strRef>
              <c:f>Chart_Data!B9</c:f>
              <c:strCache>
                <c:ptCount val="1"/>
                <c:pt idx="0">
                  <c:v>Net profit</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Chart_Data!$C$5:$E$5</c:f>
              <c:strCache>
                <c:ptCount val="3"/>
                <c:pt idx="0">
                  <c:v>FY2023</c:v>
                </c:pt>
                <c:pt idx="1">
                  <c:v>FY2024</c:v>
                </c:pt>
                <c:pt idx="2">
                  <c:v>FY2025</c:v>
                </c:pt>
              </c:strCache>
            </c:strRef>
          </c:cat>
          <c:val>
            <c:numRef>
              <c:f>Chart_Data!$C$9:$E$9</c:f>
              <c:numCache>
                <c:formatCode>#,##0;\(#,##0\);\-</c:formatCode>
                <c:ptCount val="3"/>
                <c:pt idx="0">
                  <c:v>22482</c:v>
                </c:pt>
                <c:pt idx="1">
                  <c:v>29009</c:v>
                </c:pt>
                <c:pt idx="2">
                  <c:v>37406</c:v>
                </c:pt>
              </c:numCache>
            </c:numRef>
          </c:val>
        </c:ser>
        <c:gapWidth val="150"/>
        <c:overlap val="0"/>
        <c:axId val="97409178"/>
        <c:axId val="54971234"/>
      </c:barChart>
      <c:catAx>
        <c:axId val="974091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971234"/>
        <c:crosses val="autoZero"/>
        <c:auto val="1"/>
        <c:lblAlgn val="ctr"/>
        <c:lblOffset val="100"/>
        <c:noMultiLvlLbl val="0"/>
      </c:catAx>
      <c:valAx>
        <c:axId val="5497123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40917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Margin trends</a:t>
            </a:r>
          </a:p>
        </c:rich>
      </c:tx>
      <c:overlay val="0"/>
      <c:spPr>
        <a:noFill/>
        <a:ln w="0">
          <a:noFill/>
        </a:ln>
      </c:spPr>
    </c:title>
    <c:autoTitleDeleted val="0"/>
    <c:plotArea>
      <c:lineChart>
        <c:grouping val="standard"/>
        <c:varyColors val="0"/>
        <c:ser>
          <c:idx val="0"/>
          <c:order val="0"/>
          <c:tx>
            <c:strRef>
              <c:f>Chart_Data!B13</c:f>
              <c:strCache>
                <c:ptCount val="1"/>
                <c:pt idx="0">
                  <c:v>Gross margin</c:v>
                </c:pt>
              </c:strCache>
            </c:strRef>
          </c:tx>
          <c:spPr>
            <a:solidFill>
              <a:srgbClr val="0b1f3a"/>
            </a:solidFill>
            <a:ln w="28080">
              <a:solidFill>
                <a:srgbClr val="0b1f3a"/>
              </a:solidFill>
              <a:round/>
            </a:ln>
          </c:spPr>
          <c:marker>
            <c:symbol val="circle"/>
            <c:size val="6"/>
            <c:spPr>
              <a:solidFill>
                <a:srgbClr val="0b1f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Chart_Data!$C$12:$E$12</c:f>
              <c:strCache>
                <c:ptCount val="3"/>
                <c:pt idx="0">
                  <c:v>FY2023</c:v>
                </c:pt>
                <c:pt idx="1">
                  <c:v>FY2024</c:v>
                </c:pt>
                <c:pt idx="2">
                  <c:v>FY2025</c:v>
                </c:pt>
              </c:strCache>
            </c:strRef>
          </c:cat>
          <c:val>
            <c:numRef>
              <c:f>Chart_Data!$C$13:$E$13</c:f>
              <c:numCache>
                <c:formatCode>0.0%;\(0.0%\);\-</c:formatCode>
                <c:ptCount val="3"/>
                <c:pt idx="0">
                  <c:v>0.252267031047913</c:v>
                </c:pt>
                <c:pt idx="1">
                  <c:v>0.25487105985257</c:v>
                </c:pt>
                <c:pt idx="2">
                  <c:v>0.256975737370455</c:v>
                </c:pt>
              </c:numCache>
            </c:numRef>
          </c:val>
          <c:smooth val="0"/>
        </c:ser>
        <c:ser>
          <c:idx val="1"/>
          <c:order val="1"/>
          <c:tx>
            <c:strRef>
              <c:f>Chart_Data!B14</c:f>
              <c:strCache>
                <c:ptCount val="1"/>
                <c:pt idx="0">
                  <c:v>EBITDA margin</c:v>
                </c:pt>
              </c:strCache>
            </c:strRef>
          </c:tx>
          <c:spPr>
            <a:solidFill>
              <a:srgbClr val="c9a227"/>
            </a:solidFill>
            <a:ln w="28080">
              <a:solidFill>
                <a:srgbClr val="c9a227"/>
              </a:solidFill>
              <a:round/>
            </a:ln>
          </c:spPr>
          <c:marker>
            <c:symbol val="circle"/>
            <c:size val="6"/>
            <c:spPr>
              <a:solidFill>
                <a:srgbClr val="c9a22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Chart_Data!$C$12:$E$12</c:f>
              <c:strCache>
                <c:ptCount val="3"/>
                <c:pt idx="0">
                  <c:v>FY2023</c:v>
                </c:pt>
                <c:pt idx="1">
                  <c:v>FY2024</c:v>
                </c:pt>
                <c:pt idx="2">
                  <c:v>FY2025</c:v>
                </c:pt>
              </c:strCache>
            </c:strRef>
          </c:cat>
          <c:val>
            <c:numRef>
              <c:f>Chart_Data!$C$14:$E$14</c:f>
              <c:numCache>
                <c:formatCode>0.0%;\(0.0%\);\-</c:formatCode>
                <c:ptCount val="3"/>
                <c:pt idx="0">
                  <c:v>0.0698559768510738</c:v>
                </c:pt>
                <c:pt idx="1">
                  <c:v>0.0768168534992945</c:v>
                </c:pt>
                <c:pt idx="2">
                  <c:v>0.0843649287052595</c:v>
                </c:pt>
              </c:numCache>
            </c:numRef>
          </c:val>
          <c:smooth val="0"/>
        </c:ser>
        <c:ser>
          <c:idx val="2"/>
          <c:order val="2"/>
          <c:tx>
            <c:strRef>
              <c:f>Chart_Data!B15</c:f>
              <c:strCache>
                <c:ptCount val="1"/>
                <c:pt idx="0">
                  <c:v>Net margin</c:v>
                </c:pt>
              </c:strCache>
            </c:strRef>
          </c:tx>
          <c:spPr>
            <a:solidFill>
              <a:srgbClr val="5b7db1"/>
            </a:solidFill>
            <a:ln w="28080">
              <a:solidFill>
                <a:srgbClr val="5b7db1"/>
              </a:solidFill>
              <a:round/>
            </a:ln>
          </c:spPr>
          <c:marker>
            <c:symbol val="circle"/>
            <c:size val="6"/>
            <c:spPr>
              <a:solidFill>
                <a:srgbClr val="5b7db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Chart_Data!$C$12:$E$12</c:f>
              <c:strCache>
                <c:ptCount val="3"/>
                <c:pt idx="0">
                  <c:v>FY2023</c:v>
                </c:pt>
                <c:pt idx="1">
                  <c:v>FY2024</c:v>
                </c:pt>
                <c:pt idx="2">
                  <c:v>FY2025</c:v>
                </c:pt>
              </c:strCache>
            </c:strRef>
          </c:cat>
          <c:val>
            <c:numRef>
              <c:f>Chart_Data!$C$15:$E$15</c:f>
              <c:numCache>
                <c:formatCode>0.0%;\(0.0%\);\-</c:formatCode>
                <c:ptCount val="3"/>
                <c:pt idx="0">
                  <c:v>0.0273797432281353</c:v>
                </c:pt>
                <c:pt idx="1">
                  <c:v>0.0323314438309568</c:v>
                </c:pt>
                <c:pt idx="2">
                  <c:v>0.0384660473323859</c:v>
                </c:pt>
              </c:numCache>
            </c:numRef>
          </c:val>
          <c:smooth val="0"/>
        </c:ser>
        <c:hiLowLines>
          <c:spPr>
            <a:ln w="0">
              <a:noFill/>
            </a:ln>
          </c:spPr>
        </c:hiLowLines>
        <c:marker val="1"/>
        <c:axId val="12820258"/>
        <c:axId val="13216330"/>
      </c:lineChart>
      <c:catAx>
        <c:axId val="128202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16330"/>
        <c:crosses val="autoZero"/>
        <c:auto val="1"/>
        <c:lblAlgn val="ctr"/>
        <c:lblOffset val="100"/>
        <c:noMultiLvlLbl val="0"/>
      </c:catAx>
      <c:valAx>
        <c:axId val="1321633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8202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mix by category (selected year)</a:t>
            </a:r>
          </a:p>
        </c:rich>
      </c:tx>
      <c:overlay val="0"/>
      <c:spPr>
        <a:noFill/>
        <a:ln w="0">
          <a:noFill/>
        </a:ln>
      </c:spPr>
    </c:title>
    <c:autoTitleDeleted val="0"/>
    <c:plotArea>
      <c:doughnutChart>
        <c:varyColors val="1"/>
        <c:ser>
          <c:idx val="0"/>
          <c:order val="0"/>
          <c:tx>
            <c:strRef>
              <c:f>Chart_Data!C18</c:f>
              <c:strCache>
                <c:ptCount val="1"/>
                <c:pt idx="0">
                  <c:v>FY2025</c:v>
                </c:pt>
              </c:strCache>
            </c:strRef>
          </c:tx>
          <c:spPr>
            <a:solidFill>
              <a:srgbClr val="4f81bd"/>
            </a:solidFill>
            <a:ln w="0">
              <a:noFill/>
            </a:ln>
          </c:spPr>
          <c:explosion val="0"/>
          <c:dPt>
            <c:idx val="0"/>
            <c:spPr>
              <a:solidFill>
                <a:srgbClr val="0b1f3a"/>
              </a:solidFill>
              <a:ln w="0">
                <a:noFill/>
              </a:ln>
            </c:spPr>
          </c:dPt>
          <c:dPt>
            <c:idx val="1"/>
            <c:spPr>
              <a:solidFill>
                <a:srgbClr val="c9a227"/>
              </a:solidFill>
              <a:ln w="0">
                <a:noFill/>
              </a:ln>
            </c:spPr>
          </c:dPt>
          <c:dPt>
            <c:idx val="2"/>
            <c:spPr>
              <a:solidFill>
                <a:srgbClr val="5b7db1"/>
              </a:solidFill>
              <a:ln w="0">
                <a:noFill/>
              </a:ln>
            </c:spPr>
          </c:dPt>
          <c:dPt>
            <c:idx val="3"/>
            <c:spPr>
              <a:solidFill>
                <a:srgbClr val="8c9bb0"/>
              </a:solidFill>
              <a:ln w="0">
                <a:noFill/>
              </a:ln>
            </c:spPr>
          </c:dPt>
          <c:dLbls>
            <c:dLbl>
              <c:idx val="0"/>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1"/>
            <c:showVal val="0"/>
            <c:showCatName val="0"/>
            <c:showSerName val="0"/>
            <c:showPercent val="1"/>
            <c:separator>
</c:separator>
            <c:showLeaderLines val="0"/>
          </c:dLbls>
          <c:cat>
            <c:strRef>
              <c:f>Chart_Data!$B$19:$B$22</c:f>
              <c:strCache>
                <c:ptCount val="4"/>
                <c:pt idx="0">
                  <c:v>Packaged Food</c:v>
                </c:pt>
                <c:pt idx="1">
                  <c:v>Beverages</c:v>
                </c:pt>
                <c:pt idx="2">
                  <c:v>Household &amp; Personal Care</c:v>
                </c:pt>
                <c:pt idx="3">
                  <c:v>Fresh &amp; Frozen</c:v>
                </c:pt>
              </c:strCache>
            </c:strRef>
          </c:cat>
          <c:val>
            <c:numRef>
              <c:f>Chart_Data!$C$19:$C$22</c:f>
              <c:numCache>
                <c:formatCode>#,##0;\(#,##0\);\-</c:formatCode>
                <c:ptCount val="4"/>
                <c:pt idx="0">
                  <c:v>382510</c:v>
                </c:pt>
                <c:pt idx="1">
                  <c:v>292182</c:v>
                </c:pt>
                <c:pt idx="2">
                  <c:v>170561</c:v>
                </c:pt>
                <c:pt idx="3">
                  <c:v>127189</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flow by activity (PHP '000)</a:t>
            </a:r>
          </a:p>
        </c:rich>
      </c:tx>
      <c:overlay val="0"/>
      <c:spPr>
        <a:noFill/>
        <a:ln w="0">
          <a:noFill/>
        </a:ln>
      </c:spPr>
    </c:title>
    <c:autoTitleDeleted val="0"/>
    <c:plotArea>
      <c:barChart>
        <c:barDir val="col"/>
        <c:grouping val="clustered"/>
        <c:varyColors val="0"/>
        <c:ser>
          <c:idx val="0"/>
          <c:order val="0"/>
          <c:tx>
            <c:strRef>
              <c:f>Chart_Data!B26</c:f>
              <c:strCache>
                <c:ptCount val="1"/>
                <c:pt idx="0">
                  <c:v>Operating</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Chart_Data!$C$25:$E$25</c:f>
              <c:strCache>
                <c:ptCount val="3"/>
                <c:pt idx="0">
                  <c:v>FY2023</c:v>
                </c:pt>
                <c:pt idx="1">
                  <c:v>FY2024</c:v>
                </c:pt>
                <c:pt idx="2">
                  <c:v>FY2025</c:v>
                </c:pt>
              </c:strCache>
            </c:strRef>
          </c:cat>
          <c:val>
            <c:numRef>
              <c:f>Chart_Data!$C$26:$E$26</c:f>
              <c:numCache>
                <c:formatCode>#,##0;\(#,##0\);\-</c:formatCode>
                <c:ptCount val="3"/>
                <c:pt idx="0">
                  <c:v>32237</c:v>
                </c:pt>
                <c:pt idx="1">
                  <c:v>44246</c:v>
                </c:pt>
                <c:pt idx="2">
                  <c:v>57760</c:v>
                </c:pt>
              </c:numCache>
            </c:numRef>
          </c:val>
        </c:ser>
        <c:ser>
          <c:idx val="1"/>
          <c:order val="1"/>
          <c:tx>
            <c:strRef>
              <c:f>Chart_Data!B27</c:f>
              <c:strCache>
                <c:ptCount val="1"/>
                <c:pt idx="0">
                  <c:v>Investing</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Chart_Data!$C$25:$E$25</c:f>
              <c:strCache>
                <c:ptCount val="3"/>
                <c:pt idx="0">
                  <c:v>FY2023</c:v>
                </c:pt>
                <c:pt idx="1">
                  <c:v>FY2024</c:v>
                </c:pt>
                <c:pt idx="2">
                  <c:v>FY2025</c:v>
                </c:pt>
              </c:strCache>
            </c:strRef>
          </c:cat>
          <c:val>
            <c:numRef>
              <c:f>Chart_Data!$C$27:$E$27</c:f>
              <c:numCache>
                <c:formatCode>#,##0;\(#,##0\);\-</c:formatCode>
                <c:ptCount val="3"/>
                <c:pt idx="0">
                  <c:v>-21400</c:v>
                </c:pt>
                <c:pt idx="1">
                  <c:v>-30750</c:v>
                </c:pt>
                <c:pt idx="2">
                  <c:v>-26250</c:v>
                </c:pt>
              </c:numCache>
            </c:numRef>
          </c:val>
        </c:ser>
        <c:ser>
          <c:idx val="2"/>
          <c:order val="2"/>
          <c:tx>
            <c:strRef>
              <c:f>Chart_Data!B28</c:f>
              <c:strCache>
                <c:ptCount val="1"/>
                <c:pt idx="0">
                  <c:v>Financing</c:v>
                </c:pt>
              </c:strCache>
            </c:strRef>
          </c:tx>
          <c:spPr>
            <a:solidFill>
              <a:srgbClr val="5b7d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Chart_Data!$C$25:$E$25</c:f>
              <c:strCache>
                <c:ptCount val="3"/>
                <c:pt idx="0">
                  <c:v>FY2023</c:v>
                </c:pt>
                <c:pt idx="1">
                  <c:v>FY2024</c:v>
                </c:pt>
                <c:pt idx="2">
                  <c:v>FY2025</c:v>
                </c:pt>
              </c:strCache>
            </c:strRef>
          </c:cat>
          <c:val>
            <c:numRef>
              <c:f>Chart_Data!$C$28:$E$28</c:f>
              <c:numCache>
                <c:formatCode>#,##0;\(#,##0\);\-</c:formatCode>
                <c:ptCount val="3"/>
                <c:pt idx="0">
                  <c:v>-14621</c:v>
                </c:pt>
                <c:pt idx="1">
                  <c:v>8748</c:v>
                </c:pt>
                <c:pt idx="2">
                  <c:v>-30222</c:v>
                </c:pt>
              </c:numCache>
            </c:numRef>
          </c:val>
        </c:ser>
        <c:gapWidth val="150"/>
        <c:overlap val="0"/>
        <c:axId val="96275051"/>
        <c:axId val="29548717"/>
      </c:barChart>
      <c:catAx>
        <c:axId val="962750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48717"/>
        <c:crosses val="autoZero"/>
        <c:auto val="1"/>
        <c:lblAlgn val="ctr"/>
        <c:lblOffset val="100"/>
        <c:noMultiLvlLbl val="0"/>
      </c:catAx>
      <c:valAx>
        <c:axId val="2954871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7505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each peso of net sales goes (selected year)</a:t>
            </a:r>
          </a:p>
        </c:rich>
      </c:tx>
      <c:overlay val="0"/>
      <c:spPr>
        <a:noFill/>
        <a:ln w="0">
          <a:noFill/>
        </a:ln>
      </c:spPr>
    </c:title>
    <c:autoTitleDeleted val="0"/>
    <c:plotArea>
      <c:doughnutChart>
        <c:varyColors val="1"/>
        <c:ser>
          <c:idx val="0"/>
          <c:order val="0"/>
          <c:tx>
            <c:strRef>
              <c:f>Chart_Data!C36</c:f>
              <c:strCache>
                <c:ptCount val="1"/>
                <c:pt idx="0">
                  <c:v>FY2025</c:v>
                </c:pt>
              </c:strCache>
            </c:strRef>
          </c:tx>
          <c:spPr>
            <a:solidFill>
              <a:srgbClr val="4f81bd"/>
            </a:solidFill>
            <a:ln w="0">
              <a:noFill/>
            </a:ln>
          </c:spPr>
          <c:explosion val="0"/>
          <c:dPt>
            <c:idx val="0"/>
            <c:spPr>
              <a:solidFill>
                <a:srgbClr val="0b1f3a"/>
              </a:solidFill>
              <a:ln w="0">
                <a:noFill/>
              </a:ln>
            </c:spPr>
          </c:dPt>
          <c:dPt>
            <c:idx val="1"/>
            <c:spPr>
              <a:solidFill>
                <a:srgbClr val="c9a227"/>
              </a:solidFill>
              <a:ln w="0">
                <a:noFill/>
              </a:ln>
            </c:spPr>
          </c:dPt>
          <c:dPt>
            <c:idx val="2"/>
            <c:spPr>
              <a:solidFill>
                <a:srgbClr val="5b7db1"/>
              </a:solidFill>
              <a:ln w="0">
                <a:noFill/>
              </a:ln>
            </c:spPr>
          </c:dPt>
          <c:dPt>
            <c:idx val="3"/>
            <c:spPr>
              <a:solidFill>
                <a:srgbClr val="8c9bb0"/>
              </a:solidFill>
              <a:ln w="0">
                <a:noFill/>
              </a:ln>
            </c:spPr>
          </c:dPt>
          <c:dPt>
            <c:idx val="4"/>
            <c:spPr>
              <a:solidFill>
                <a:srgbClr val="a9d08e"/>
              </a:solidFill>
              <a:ln w="0">
                <a:noFill/>
              </a:ln>
            </c:spPr>
          </c:dPt>
          <c:dPt>
            <c:idx val="5"/>
            <c:spPr>
              <a:solidFill>
                <a:srgbClr val="f4b183"/>
              </a:solidFill>
              <a:ln w="0">
                <a:noFill/>
              </a:ln>
            </c:spPr>
          </c:dPt>
          <c:dPt>
            <c:idx val="6"/>
            <c:spPr>
              <a:solidFill>
                <a:srgbClr val="7f7f7f"/>
              </a:solidFill>
              <a:ln w="0">
                <a:noFill/>
              </a:ln>
            </c:spPr>
          </c:dPt>
          <c:dPt>
            <c:idx val="7"/>
            <c:spPr>
              <a:solidFill>
                <a:srgbClr val="d9d9d9"/>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5"/>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6"/>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dLbl>
              <c:idx val="7"/>
              <c:numFmt formatCode="0%" sourceLinked="1"/>
              <c:txPr>
                <a:bodyPr wrap="square"/>
                <a:lstStyle/>
                <a:p>
                  <a:pPr>
                    <a:defRPr b="0" sz="1000" spc="-1" strike="noStrike">
                      <a:solidFill>
                        <a:srgbClr val="000000"/>
                      </a:solidFill>
                      <a:latin typeface="Calibri"/>
                    </a:defRPr>
                  </a:pPr>
                </a:p>
              </c:txPr>
              <c:showLegendKey val="1"/>
              <c:showVal val="1"/>
              <c:showCatName val="0"/>
              <c:showSerName val="0"/>
              <c:showPercent val="0"/>
              <c:separator>; </c:separator>
            </c:dLbl>
            <c:txPr>
              <a:bodyPr wrap="square"/>
              <a:lstStyle/>
              <a:p>
                <a:pPr>
                  <a:defRPr b="0" sz="1000" spc="-1" strike="noStrike">
                    <a:solidFill>
                      <a:srgbClr val="000000"/>
                    </a:solidFill>
                    <a:latin typeface="Calibri"/>
                  </a:defRPr>
                </a:pPr>
              </a:p>
            </c:txPr>
            <c:showLegendKey val="1"/>
            <c:showVal val="1"/>
            <c:showCatName val="0"/>
            <c:showSerName val="0"/>
            <c:showPercent val="0"/>
            <c:separator>; </c:separator>
            <c:showLeaderLines val="0"/>
          </c:dLbls>
          <c:cat>
            <c:strRef>
              <c:f>Chart_Data!$B$37:$B$44</c:f>
              <c:strCache>
                <c:ptCount val="8"/>
                <c:pt idx="0">
                  <c:v>Cost of sales</c:v>
                </c:pt>
                <c:pt idx="1">
                  <c:v>Selling &amp; distribution</c:v>
                </c:pt>
                <c:pt idx="2">
                  <c:v>General &amp; administrative</c:v>
                </c:pt>
                <c:pt idx="3">
                  <c:v>Depreciation</c:v>
                </c:pt>
                <c:pt idx="4">
                  <c:v>Finance costs</c:v>
                </c:pt>
                <c:pt idx="5">
                  <c:v>Income tax</c:v>
                </c:pt>
                <c:pt idx="6">
                  <c:v>Net profit</c:v>
                </c:pt>
                <c:pt idx="7">
                  <c:v>Other items (net other income, interest, gains)</c:v>
                </c:pt>
              </c:strCache>
            </c:strRef>
          </c:cat>
          <c:val>
            <c:numRef>
              <c:f>Chart_Data!$C$37:$C$44</c:f>
              <c:numCache>
                <c:formatCode>0.0%;\(0.0%\);\-</c:formatCode>
                <c:ptCount val="8"/>
                <c:pt idx="0">
                  <c:v>0.743024262629545</c:v>
                </c:pt>
                <c:pt idx="1">
                  <c:v>0.109083112411846</c:v>
                </c:pt>
                <c:pt idx="2">
                  <c:v>0.0656357911320161</c:v>
                </c:pt>
                <c:pt idx="3">
                  <c:v>0.0218594013833216</c:v>
                </c:pt>
                <c:pt idx="4">
                  <c:v>0.0120274525370151</c:v>
                </c:pt>
                <c:pt idx="5">
                  <c:v>0.0132532325835371</c:v>
                </c:pt>
                <c:pt idx="6">
                  <c:v>0.0384660473323859</c:v>
                </c:pt>
                <c:pt idx="7">
                  <c:v>-0.00334930000966627</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Liquidity and leverage</a:t>
            </a:r>
          </a:p>
        </c:rich>
      </c:tx>
      <c:overlay val="0"/>
      <c:spPr>
        <a:noFill/>
        <a:ln w="0">
          <a:noFill/>
        </a:ln>
      </c:spPr>
    </c:title>
    <c:autoTitleDeleted val="0"/>
    <c:plotArea>
      <c:lineChart>
        <c:grouping val="standard"/>
        <c:varyColors val="0"/>
        <c:ser>
          <c:idx val="0"/>
          <c:order val="0"/>
          <c:tx>
            <c:strRef>
              <c:f>Chart_Data!B31</c:f>
              <c:strCache>
                <c:ptCount val="1"/>
                <c:pt idx="0">
                  <c:v>Current ratio</c:v>
                </c:pt>
              </c:strCache>
            </c:strRef>
          </c:tx>
          <c:spPr>
            <a:solidFill>
              <a:srgbClr val="0b1f3a"/>
            </a:solidFill>
            <a:ln w="28080">
              <a:solidFill>
                <a:srgbClr val="0b1f3a"/>
              </a:solidFill>
              <a:round/>
            </a:ln>
          </c:spPr>
          <c:marker>
            <c:symbol val="circle"/>
            <c:size val="6"/>
            <c:spPr>
              <a:solidFill>
                <a:srgbClr val="0b1f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Chart_Data!$C$30:$E$30</c:f>
              <c:strCache>
                <c:ptCount val="3"/>
                <c:pt idx="0">
                  <c:v>FY2023</c:v>
                </c:pt>
                <c:pt idx="1">
                  <c:v>FY2024</c:v>
                </c:pt>
                <c:pt idx="2">
                  <c:v>FY2025</c:v>
                </c:pt>
              </c:strCache>
            </c:strRef>
          </c:cat>
          <c:val>
            <c:numRef>
              <c:f>Chart_Data!$C$31:$E$31</c:f>
              <c:numCache>
                <c:formatCode>0.00\x</c:formatCode>
                <c:ptCount val="3"/>
                <c:pt idx="0">
                  <c:v>1.57550099572465</c:v>
                </c:pt>
                <c:pt idx="1">
                  <c:v>1.76093716347189</c:v>
                </c:pt>
                <c:pt idx="2">
                  <c:v>1.75515074326367</c:v>
                </c:pt>
              </c:numCache>
            </c:numRef>
          </c:val>
          <c:smooth val="0"/>
        </c:ser>
        <c:ser>
          <c:idx val="1"/>
          <c:order val="1"/>
          <c:tx>
            <c:strRef>
              <c:f>Chart_Data!B32</c:f>
              <c:strCache>
                <c:ptCount val="1"/>
                <c:pt idx="0">
                  <c:v>Quick ratio</c:v>
                </c:pt>
              </c:strCache>
            </c:strRef>
          </c:tx>
          <c:spPr>
            <a:solidFill>
              <a:srgbClr val="c9a227"/>
            </a:solidFill>
            <a:ln w="28080">
              <a:solidFill>
                <a:srgbClr val="c9a227"/>
              </a:solidFill>
              <a:round/>
            </a:ln>
          </c:spPr>
          <c:marker>
            <c:symbol val="circle"/>
            <c:size val="6"/>
            <c:spPr>
              <a:solidFill>
                <a:srgbClr val="c9a22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Chart_Data!$C$30:$E$30</c:f>
              <c:strCache>
                <c:ptCount val="3"/>
                <c:pt idx="0">
                  <c:v>FY2023</c:v>
                </c:pt>
                <c:pt idx="1">
                  <c:v>FY2024</c:v>
                </c:pt>
                <c:pt idx="2">
                  <c:v>FY2025</c:v>
                </c:pt>
              </c:strCache>
            </c:strRef>
          </c:cat>
          <c:val>
            <c:numRef>
              <c:f>Chart_Data!$C$32:$E$32</c:f>
              <c:numCache>
                <c:formatCode>0.00\x</c:formatCode>
                <c:ptCount val="3"/>
                <c:pt idx="0">
                  <c:v>0.969285724233014</c:v>
                </c:pt>
                <c:pt idx="1">
                  <c:v>1.13716212578075</c:v>
                </c:pt>
                <c:pt idx="2">
                  <c:v>1.12564404392042</c:v>
                </c:pt>
              </c:numCache>
            </c:numRef>
          </c:val>
          <c:smooth val="0"/>
        </c:ser>
        <c:ser>
          <c:idx val="2"/>
          <c:order val="2"/>
          <c:tx>
            <c:strRef>
              <c:f>Chart_Data!B33</c:f>
              <c:strCache>
                <c:ptCount val="1"/>
                <c:pt idx="0">
                  <c:v>Borrowings-to-equity</c:v>
                </c:pt>
              </c:strCache>
            </c:strRef>
          </c:tx>
          <c:spPr>
            <a:solidFill>
              <a:srgbClr val="5b7db1"/>
            </a:solidFill>
            <a:ln w="28080">
              <a:solidFill>
                <a:srgbClr val="5b7db1"/>
              </a:solidFill>
              <a:round/>
            </a:ln>
          </c:spPr>
          <c:marker>
            <c:symbol val="circle"/>
            <c:size val="6"/>
            <c:spPr>
              <a:solidFill>
                <a:srgbClr val="5b7db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Chart_Data!$C$30:$E$30</c:f>
              <c:strCache>
                <c:ptCount val="3"/>
                <c:pt idx="0">
                  <c:v>FY2023</c:v>
                </c:pt>
                <c:pt idx="1">
                  <c:v>FY2024</c:v>
                </c:pt>
                <c:pt idx="2">
                  <c:v>FY2025</c:v>
                </c:pt>
              </c:strCache>
            </c:strRef>
          </c:cat>
          <c:val>
            <c:numRef>
              <c:f>Chart_Data!$C$33:$E$33</c:f>
              <c:numCache>
                <c:formatCode>0.00\x</c:formatCode>
                <c:ptCount val="3"/>
                <c:pt idx="0">
                  <c:v>0.69189717187031</c:v>
                </c:pt>
                <c:pt idx="1">
                  <c:v>0.696232101796462</c:v>
                </c:pt>
                <c:pt idx="2">
                  <c:v>0.543962830569893</c:v>
                </c:pt>
              </c:numCache>
            </c:numRef>
          </c:val>
          <c:smooth val="0"/>
        </c:ser>
        <c:ser>
          <c:idx val="3"/>
          <c:order val="3"/>
          <c:tx>
            <c:strRef>
              <c:f>Chart_Data!B34</c:f>
              <c:strCache>
                <c:ptCount val="1"/>
                <c:pt idx="0">
                  <c:v>Net debt / EBITDA</c:v>
                </c:pt>
              </c:strCache>
            </c:strRef>
          </c:tx>
          <c:spPr>
            <a:solidFill>
              <a:srgbClr val="8c9bb0"/>
            </a:solidFill>
            <a:ln w="28080">
              <a:solidFill>
                <a:srgbClr val="8c9bb0"/>
              </a:solidFill>
              <a:round/>
            </a:ln>
          </c:spPr>
          <c:marker>
            <c:symbol val="circle"/>
            <c:size val="6"/>
            <c:spPr>
              <a:solidFill>
                <a:srgbClr val="8c9bb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Chart_Data!$C$30:$E$30</c:f>
              <c:strCache>
                <c:ptCount val="3"/>
                <c:pt idx="0">
                  <c:v>FY2023</c:v>
                </c:pt>
                <c:pt idx="1">
                  <c:v>FY2024</c:v>
                </c:pt>
                <c:pt idx="2">
                  <c:v>FY2025</c:v>
                </c:pt>
              </c:strCache>
            </c:strRef>
          </c:cat>
          <c:val>
            <c:numRef>
              <c:f>Chart_Data!$C$34:$E$34</c:f>
              <c:numCache>
                <c:formatCode>0.00\x</c:formatCode>
                <c:ptCount val="3"/>
                <c:pt idx="0">
                  <c:v>1.35606694560669</c:v>
                </c:pt>
                <c:pt idx="1">
                  <c:v>1.03796990844856</c:v>
                </c:pt>
                <c:pt idx="2">
                  <c:v>0.624719648951731</c:v>
                </c:pt>
              </c:numCache>
            </c:numRef>
          </c:val>
          <c:smooth val="0"/>
        </c:ser>
        <c:hiLowLines>
          <c:spPr>
            <a:ln w="0">
              <a:noFill/>
            </a:ln>
          </c:spPr>
        </c:hiLowLines>
        <c:marker val="1"/>
        <c:axId val="58982043"/>
        <c:axId val="36850008"/>
      </c:lineChart>
      <c:catAx>
        <c:axId val="589820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850008"/>
        <c:crosses val="autoZero"/>
        <c:auto val="1"/>
        <c:lblAlgn val="ctr"/>
        <c:lblOffset val="100"/>
        <c:noMultiLvlLbl val="0"/>
      </c:catAx>
      <c:valAx>
        <c:axId val="36850008"/>
        <c:scaling>
          <c:orientation val="minMax"/>
        </c:scaling>
        <c:delete val="0"/>
        <c:axPos val="l"/>
        <c:majorGridlines>
          <c:spPr>
            <a:ln w="9360">
              <a:solidFill>
                <a:srgbClr val="878787"/>
              </a:solidFill>
              <a:round/>
            </a:ln>
          </c:spPr>
        </c:majorGridlines>
        <c:numFmt formatCode="0.0\x"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98204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actual and projected (PHP '000)</a:t>
            </a:r>
          </a:p>
        </c:rich>
      </c:tx>
      <c:overlay val="0"/>
      <c:spPr>
        <a:noFill/>
        <a:ln w="0">
          <a:noFill/>
        </a:ln>
      </c:spPr>
    </c:title>
    <c:autoTitleDeleted val="0"/>
    <c:plotArea>
      <c:lineChart>
        <c:grouping val="standard"/>
        <c:varyColors val="0"/>
        <c:ser>
          <c:idx val="0"/>
          <c:order val="0"/>
          <c:tx>
            <c:strRef>
              <c:f>Chart_Data!B60</c:f>
              <c:strCache>
                <c:ptCount val="1"/>
                <c:pt idx="0">
                  <c:v>Actual</c:v>
                </c:pt>
              </c:strCache>
            </c:strRef>
          </c:tx>
          <c:spPr>
            <a:solidFill>
              <a:srgbClr val="0b1f3a"/>
            </a:solidFill>
            <a:ln w="28080">
              <a:solidFill>
                <a:srgbClr val="0b1f3a"/>
              </a:solidFill>
              <a:round/>
            </a:ln>
          </c:spPr>
          <c:marker>
            <c:symbol val="circle"/>
            <c:size val="6"/>
            <c:spPr>
              <a:solidFill>
                <a:srgbClr val="0b1f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Chart_Data!$C$60:$G$60</c:f>
              <c:numCache>
                <c:formatCode>#,##0;\(#,##0\);\-</c:formatCode>
                <c:ptCount val="5"/>
                <c:pt idx="0">
                  <c:v>821118</c:v>
                </c:pt>
                <c:pt idx="1">
                  <c:v>897238</c:v>
                </c:pt>
                <c:pt idx="2">
                  <c:v>972442</c:v>
                </c:pt>
              </c:numCache>
            </c:numRef>
          </c:val>
          <c:smooth val="0"/>
        </c:ser>
        <c:ser>
          <c:idx val="1"/>
          <c:order val="1"/>
          <c:tx>
            <c:strRef>
              <c:f>Chart_Data!B61</c:f>
              <c:strCache>
                <c:ptCount val="1"/>
                <c:pt idx="0">
                  <c:v>Linear projection</c:v>
                </c:pt>
              </c:strCache>
            </c:strRef>
          </c:tx>
          <c:spPr>
            <a:solidFill>
              <a:srgbClr val="c9a227"/>
            </a:solidFill>
            <a:ln w="28080">
              <a:solidFill>
                <a:srgbClr val="c9a227"/>
              </a:solidFill>
              <a:prstDash val="dash"/>
              <a:round/>
            </a:ln>
          </c:spPr>
          <c:marker>
            <c:symbol val="circle"/>
            <c:size val="6"/>
            <c:spPr>
              <a:solidFill>
                <a:srgbClr val="c9a22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Chart_Data!$C$61:$G$61</c:f>
              <c:numCache>
                <c:formatCode>#,##0;\(#,##0\);\-</c:formatCode>
                <c:ptCount val="5"/>
                <c:pt idx="2">
                  <c:v>972442</c:v>
                </c:pt>
                <c:pt idx="3">
                  <c:v>1048256.66666667</c:v>
                </c:pt>
                <c:pt idx="4">
                  <c:v>1123918.66666667</c:v>
                </c:pt>
              </c:numCache>
            </c:numRef>
          </c:val>
          <c:smooth val="0"/>
        </c:ser>
        <c:ser>
          <c:idx val="2"/>
          <c:order val="2"/>
          <c:tx>
            <c:strRef>
              <c:f>Chart_Data!B62</c:f>
              <c:strCache>
                <c:ptCount val="1"/>
                <c:pt idx="0">
                  <c:v>CAGR projection</c:v>
                </c:pt>
              </c:strCache>
            </c:strRef>
          </c:tx>
          <c:spPr>
            <a:solidFill>
              <a:srgbClr val="5b7db1"/>
            </a:solidFill>
            <a:ln w="28080">
              <a:solidFill>
                <a:srgbClr val="5b7db1"/>
              </a:solidFill>
              <a:prstDash val="dash"/>
              <a:round/>
            </a:ln>
          </c:spPr>
          <c:marker>
            <c:symbol val="circle"/>
            <c:size val="6"/>
            <c:spPr>
              <a:solidFill>
                <a:srgbClr val="5b7db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Chart_Data!$C$62:$G$62</c:f>
              <c:numCache>
                <c:formatCode>#,##0;\(#,##0\);\-</c:formatCode>
                <c:ptCount val="5"/>
                <c:pt idx="2">
                  <c:v>972442</c:v>
                </c:pt>
                <c:pt idx="3">
                  <c:v>1058260.96127532</c:v>
                </c:pt>
                <c:pt idx="4">
                  <c:v>1151653.53014305</c:v>
                </c:pt>
              </c:numCache>
            </c:numRef>
          </c:val>
          <c:smooth val="0"/>
        </c:ser>
        <c:hiLowLines>
          <c:spPr>
            <a:ln w="0">
              <a:noFill/>
            </a:ln>
          </c:spPr>
        </c:hiLowLines>
        <c:marker val="1"/>
        <c:axId val="93256095"/>
        <c:axId val="98952281"/>
      </c:lineChart>
      <c:catAx>
        <c:axId val="932560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52281"/>
        <c:crosses val="autoZero"/>
        <c:auto val="1"/>
        <c:lblAlgn val="ctr"/>
        <c:lblOffset val="100"/>
        <c:noMultiLvlLbl val="0"/>
      </c:catAx>
      <c:valAx>
        <c:axId val="9895228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25609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actual and projected</a:t>
            </a:r>
          </a:p>
        </c:rich>
      </c:tx>
      <c:overlay val="0"/>
      <c:spPr>
        <a:noFill/>
        <a:ln w="0">
          <a:noFill/>
        </a:ln>
      </c:spPr>
    </c:title>
    <c:autoTitleDeleted val="0"/>
    <c:plotArea>
      <c:lineChart>
        <c:grouping val="standard"/>
        <c:varyColors val="0"/>
        <c:ser>
          <c:idx val="0"/>
          <c:order val="0"/>
          <c:tx>
            <c:strRef>
              <c:f>Chart_Data!B60</c:f>
              <c:strCache>
                <c:ptCount val="1"/>
                <c:pt idx="0">
                  <c:v>Actual</c:v>
                </c:pt>
              </c:strCache>
            </c:strRef>
          </c:tx>
          <c:spPr>
            <a:solidFill>
              <a:srgbClr val="0b1f3a"/>
            </a:solidFill>
            <a:ln w="28080">
              <a:solidFill>
                <a:srgbClr val="0b1f3a"/>
              </a:solidFill>
              <a:round/>
            </a:ln>
          </c:spPr>
          <c:marker>
            <c:symbol val="circle"/>
            <c:size val="6"/>
            <c:spPr>
              <a:solidFill>
                <a:srgbClr val="0b1f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Chart_Data!$C$60:$G$60</c:f>
              <c:numCache>
                <c:formatCode>#,##0;\(#,##0\);\-</c:formatCode>
                <c:ptCount val="5"/>
                <c:pt idx="0">
                  <c:v>821118</c:v>
                </c:pt>
                <c:pt idx="1">
                  <c:v>897238</c:v>
                </c:pt>
                <c:pt idx="2">
                  <c:v>972442</c:v>
                </c:pt>
              </c:numCache>
            </c:numRef>
          </c:val>
          <c:smooth val="0"/>
        </c:ser>
        <c:ser>
          <c:idx val="1"/>
          <c:order val="1"/>
          <c:tx>
            <c:strRef>
              <c:f>Chart_Data!B61</c:f>
              <c:strCache>
                <c:ptCount val="1"/>
                <c:pt idx="0">
                  <c:v>Linear projection</c:v>
                </c:pt>
              </c:strCache>
            </c:strRef>
          </c:tx>
          <c:spPr>
            <a:solidFill>
              <a:srgbClr val="c9a227"/>
            </a:solidFill>
            <a:ln w="28080">
              <a:solidFill>
                <a:srgbClr val="c9a227"/>
              </a:solidFill>
              <a:prstDash val="dash"/>
              <a:round/>
            </a:ln>
          </c:spPr>
          <c:marker>
            <c:symbol val="circle"/>
            <c:size val="6"/>
            <c:spPr>
              <a:solidFill>
                <a:srgbClr val="c9a22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Chart_Data!$C$61:$G$61</c:f>
              <c:numCache>
                <c:formatCode>#,##0;\(#,##0\);\-</c:formatCode>
                <c:ptCount val="5"/>
                <c:pt idx="2">
                  <c:v>972442</c:v>
                </c:pt>
                <c:pt idx="3">
                  <c:v>1048256.66666667</c:v>
                </c:pt>
                <c:pt idx="4">
                  <c:v>1123918.66666667</c:v>
                </c:pt>
              </c:numCache>
            </c:numRef>
          </c:val>
          <c:smooth val="0"/>
        </c:ser>
        <c:ser>
          <c:idx val="2"/>
          <c:order val="2"/>
          <c:tx>
            <c:strRef>
              <c:f>Chart_Data!B62</c:f>
              <c:strCache>
                <c:ptCount val="1"/>
                <c:pt idx="0">
                  <c:v>CAGR projection</c:v>
                </c:pt>
              </c:strCache>
            </c:strRef>
          </c:tx>
          <c:spPr>
            <a:solidFill>
              <a:srgbClr val="5b7db1"/>
            </a:solidFill>
            <a:ln w="28080">
              <a:solidFill>
                <a:srgbClr val="5b7db1"/>
              </a:solidFill>
              <a:prstDash val="dash"/>
              <a:round/>
            </a:ln>
          </c:spPr>
          <c:marker>
            <c:symbol val="circle"/>
            <c:size val="6"/>
            <c:spPr>
              <a:solidFill>
                <a:srgbClr val="5b7db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Chart_Data!$C$59:$G$59</c:f>
              <c:strCache>
                <c:ptCount val="5"/>
                <c:pt idx="0">
                  <c:v>FY2023</c:v>
                </c:pt>
                <c:pt idx="1">
                  <c:v>FY2024</c:v>
                </c:pt>
                <c:pt idx="2">
                  <c:v>FY2025</c:v>
                </c:pt>
                <c:pt idx="3">
                  <c:v>FY2026F</c:v>
                </c:pt>
                <c:pt idx="4">
                  <c:v>FY2027F</c:v>
                </c:pt>
              </c:strCache>
            </c:strRef>
          </c:cat>
          <c:val>
            <c:numRef>
              <c:f>Chart_Data!$C$62:$G$62</c:f>
              <c:numCache>
                <c:formatCode>#,##0;\(#,##0\);\-</c:formatCode>
                <c:ptCount val="5"/>
                <c:pt idx="2">
                  <c:v>972442</c:v>
                </c:pt>
                <c:pt idx="3">
                  <c:v>1058260.96127532</c:v>
                </c:pt>
                <c:pt idx="4">
                  <c:v>1151653.53014305</c:v>
                </c:pt>
              </c:numCache>
            </c:numRef>
          </c:val>
          <c:smooth val="0"/>
        </c:ser>
        <c:hiLowLines>
          <c:spPr>
            <a:ln w="0">
              <a:noFill/>
            </a:ln>
          </c:spPr>
        </c:hiLowLines>
        <c:marker val="1"/>
        <c:axId val="69609994"/>
        <c:axId val="87730385"/>
      </c:lineChart>
      <c:catAx>
        <c:axId val="696099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30385"/>
        <c:crosses val="autoZero"/>
        <c:auto val="1"/>
        <c:lblAlgn val="ctr"/>
        <c:lblOffset val="100"/>
        <c:noMultiLvlLbl val="0"/>
      </c:catAx>
      <c:valAx>
        <c:axId val="8773038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0999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trend: selected vs prior year</a:t>
            </a:r>
          </a:p>
        </c:rich>
      </c:tx>
      <c:overlay val="0"/>
      <c:spPr>
        <a:noFill/>
        <a:ln w="0">
          <a:noFill/>
        </a:ln>
      </c:spPr>
    </c:title>
    <c:autoTitleDeleted val="0"/>
    <c:plotArea>
      <c:barChart>
        <c:barDir val="col"/>
        <c:grouping val="clustered"/>
        <c:varyColors val="0"/>
        <c:ser>
          <c:idx val="0"/>
          <c:order val="0"/>
          <c:tx>
            <c:strRef>
              <c:f>Revenue_Analysis!D12</c:f>
              <c:strCache>
                <c:ptCount val="1"/>
                <c:pt idx="0">
                  <c:v>Selected year</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Revenue_Analysis!$B$13:$B$24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Revenue_Analysis!$D$13:$D$24</c:f>
              <c:numCache>
                <c:formatCode>#,##0;\(#,##0\);\-</c:formatCode>
                <c:ptCount val="12"/>
                <c:pt idx="0">
                  <c:v>74463</c:v>
                </c:pt>
                <c:pt idx="1">
                  <c:v>71689</c:v>
                </c:pt>
                <c:pt idx="2">
                  <c:v>77757</c:v>
                </c:pt>
                <c:pt idx="3">
                  <c:v>79023</c:v>
                </c:pt>
                <c:pt idx="4">
                  <c:v>81946</c:v>
                </c:pt>
                <c:pt idx="5">
                  <c:v>79418</c:v>
                </c:pt>
                <c:pt idx="6">
                  <c:v>81667</c:v>
                </c:pt>
                <c:pt idx="7">
                  <c:v>81105</c:v>
                </c:pt>
                <c:pt idx="8">
                  <c:v>82028</c:v>
                </c:pt>
                <c:pt idx="9">
                  <c:v>83643</c:v>
                </c:pt>
                <c:pt idx="10">
                  <c:v>85801</c:v>
                </c:pt>
                <c:pt idx="11">
                  <c:v>93902</c:v>
                </c:pt>
              </c:numCache>
            </c:numRef>
          </c:val>
        </c:ser>
        <c:ser>
          <c:idx val="1"/>
          <c:order val="1"/>
          <c:tx>
            <c:strRef>
              <c:f>Revenue_Analysis!E12</c:f>
              <c:strCache>
                <c:ptCount val="1"/>
                <c:pt idx="0">
                  <c:v>Prior year</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Revenue_Analysis!$B$13:$B$24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Revenue_Analysis!$E$13:$E$24</c:f>
              <c:numCache>
                <c:formatCode>#,##0;\(#,##0\);\-</c:formatCode>
                <c:ptCount val="12"/>
                <c:pt idx="0">
                  <c:v>68174</c:v>
                </c:pt>
                <c:pt idx="1">
                  <c:v>66369</c:v>
                </c:pt>
                <c:pt idx="2">
                  <c:v>72523</c:v>
                </c:pt>
                <c:pt idx="3">
                  <c:v>72983</c:v>
                </c:pt>
                <c:pt idx="4">
                  <c:v>74055</c:v>
                </c:pt>
                <c:pt idx="5">
                  <c:v>74488</c:v>
                </c:pt>
                <c:pt idx="6">
                  <c:v>75320</c:v>
                </c:pt>
                <c:pt idx="7">
                  <c:v>75658</c:v>
                </c:pt>
                <c:pt idx="8">
                  <c:v>75947</c:v>
                </c:pt>
                <c:pt idx="9">
                  <c:v>75853</c:v>
                </c:pt>
                <c:pt idx="10">
                  <c:v>79142</c:v>
                </c:pt>
                <c:pt idx="11">
                  <c:v>86726</c:v>
                </c:pt>
              </c:numCache>
            </c:numRef>
          </c:val>
        </c:ser>
        <c:gapWidth val="150"/>
        <c:overlap val="0"/>
        <c:axId val="47323849"/>
        <c:axId val="4846524"/>
      </c:barChart>
      <c:catAx>
        <c:axId val="473238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46524"/>
        <c:crosses val="autoZero"/>
        <c:auto val="1"/>
        <c:lblAlgn val="ctr"/>
        <c:lblOffset val="100"/>
        <c:noMultiLvlLbl val="0"/>
      </c:catAx>
      <c:valAx>
        <c:axId val="484652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3238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Category share (selected year)</a:t>
            </a:r>
          </a:p>
        </c:rich>
      </c:tx>
      <c:overlay val="0"/>
      <c:spPr>
        <a:noFill/>
        <a:ln w="0">
          <a:noFill/>
        </a:ln>
      </c:spPr>
    </c:title>
    <c:autoTitleDeleted val="0"/>
    <c:plotArea>
      <c:doughnutChart>
        <c:varyColors val="1"/>
        <c:ser>
          <c:idx val="0"/>
          <c:order val="0"/>
          <c:tx>
            <c:strRef>
              <c:f>Revenue_Analysis!C35</c:f>
              <c:strCache>
                <c:ptCount val="1"/>
                <c:pt idx="0">
                  <c:v>Selected year</c:v>
                </c:pt>
              </c:strCache>
            </c:strRef>
          </c:tx>
          <c:spPr>
            <a:solidFill>
              <a:srgbClr val="4f81bd"/>
            </a:solidFill>
            <a:ln w="0">
              <a:noFill/>
            </a:ln>
          </c:spPr>
          <c:explosion val="0"/>
          <c:dPt>
            <c:idx val="0"/>
            <c:spPr>
              <a:solidFill>
                <a:srgbClr val="0b1f3a"/>
              </a:solidFill>
              <a:ln w="0">
                <a:noFill/>
              </a:ln>
            </c:spPr>
          </c:dPt>
          <c:dPt>
            <c:idx val="1"/>
            <c:spPr>
              <a:solidFill>
                <a:srgbClr val="c9a227"/>
              </a:solidFill>
              <a:ln w="0">
                <a:noFill/>
              </a:ln>
            </c:spPr>
          </c:dPt>
          <c:dPt>
            <c:idx val="2"/>
            <c:spPr>
              <a:solidFill>
                <a:srgbClr val="5b7db1"/>
              </a:solidFill>
              <a:ln w="0">
                <a:noFill/>
              </a:ln>
            </c:spPr>
          </c:dPt>
          <c:dPt>
            <c:idx val="3"/>
            <c:spPr>
              <a:solidFill>
                <a:srgbClr val="8c9bb0"/>
              </a:solidFill>
              <a:ln w="0">
                <a:noFill/>
              </a:ln>
            </c:spPr>
          </c:dPt>
          <c:dLbls>
            <c:dLbl>
              <c:idx val="0"/>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1"/>
            <c:showVal val="0"/>
            <c:showCatName val="0"/>
            <c:showSerName val="0"/>
            <c:showPercent val="1"/>
            <c:separator>
</c:separator>
            <c:showLeaderLines val="0"/>
          </c:dLbls>
          <c:cat>
            <c:strRef>
              <c:f>Revenue_Analysis!$B$36:$B$39</c:f>
              <c:strCache>
                <c:ptCount val="4"/>
                <c:pt idx="0">
                  <c:v>Packaged Food</c:v>
                </c:pt>
                <c:pt idx="1">
                  <c:v>Beverages</c:v>
                </c:pt>
                <c:pt idx="2">
                  <c:v>Household &amp; Personal Care</c:v>
                </c:pt>
                <c:pt idx="3">
                  <c:v>Fresh &amp; Frozen</c:v>
                </c:pt>
              </c:strCache>
            </c:strRef>
          </c:cat>
          <c:val>
            <c:numRef>
              <c:f>Revenue_Analysis!$C$36:$C$39</c:f>
              <c:numCache>
                <c:formatCode>#,##0;\(#,##0\);\-</c:formatCode>
                <c:ptCount val="4"/>
                <c:pt idx="0">
                  <c:v>382510</c:v>
                </c:pt>
                <c:pt idx="1">
                  <c:v>292182</c:v>
                </c:pt>
                <c:pt idx="2">
                  <c:v>170561</c:v>
                </c:pt>
                <c:pt idx="3">
                  <c:v>127189</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operating expenses by function</a:t>
            </a:r>
          </a:p>
        </c:rich>
      </c:tx>
      <c:overlay val="0"/>
      <c:spPr>
        <a:noFill/>
        <a:ln w="0">
          <a:noFill/>
        </a:ln>
      </c:spPr>
    </c:title>
    <c:autoTitleDeleted val="0"/>
    <c:plotArea>
      <c:barChart>
        <c:barDir val="col"/>
        <c:grouping val="stacked"/>
        <c:varyColors val="0"/>
        <c:ser>
          <c:idx val="0"/>
          <c:order val="0"/>
          <c:tx>
            <c:strRef>
              <c:f>Expense_Analysis!D53</c:f>
              <c:strCache>
                <c:ptCount val="1"/>
                <c:pt idx="0">
                  <c:v>Selling &amp; distribution</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Expense_Analysis!$B$54:$B$65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Expense_Analysis!$D$54:$D$65</c:f>
              <c:numCache>
                <c:formatCode>#,##0;\(#,##0\);\-</c:formatCode>
                <c:ptCount val="12"/>
                <c:pt idx="0">
                  <c:v>8461</c:v>
                </c:pt>
                <c:pt idx="1">
                  <c:v>8316</c:v>
                </c:pt>
                <c:pt idx="2">
                  <c:v>8692</c:v>
                </c:pt>
                <c:pt idx="3">
                  <c:v>8776</c:v>
                </c:pt>
                <c:pt idx="4">
                  <c:v>8773</c:v>
                </c:pt>
                <c:pt idx="5">
                  <c:v>8719</c:v>
                </c:pt>
                <c:pt idx="6">
                  <c:v>8853</c:v>
                </c:pt>
                <c:pt idx="7">
                  <c:v>8718</c:v>
                </c:pt>
                <c:pt idx="8">
                  <c:v>8952</c:v>
                </c:pt>
                <c:pt idx="9">
                  <c:v>9062</c:v>
                </c:pt>
                <c:pt idx="10">
                  <c:v>9219</c:v>
                </c:pt>
                <c:pt idx="11">
                  <c:v>9536</c:v>
                </c:pt>
              </c:numCache>
            </c:numRef>
          </c:val>
        </c:ser>
        <c:ser>
          <c:idx val="1"/>
          <c:order val="1"/>
          <c:tx>
            <c:strRef>
              <c:f>Expense_Analysis!E53</c:f>
              <c:strCache>
                <c:ptCount val="1"/>
                <c:pt idx="0">
                  <c:v>General &amp; administrative</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Expense_Analysis!$B$54:$B$65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Expense_Analysis!$E$54:$E$65</c:f>
              <c:numCache>
                <c:formatCode>#,##0;\(#,##0\);\-</c:formatCode>
                <c:ptCount val="12"/>
                <c:pt idx="0">
                  <c:v>5280</c:v>
                </c:pt>
                <c:pt idx="1">
                  <c:v>5293</c:v>
                </c:pt>
                <c:pt idx="2">
                  <c:v>5778</c:v>
                </c:pt>
                <c:pt idx="3">
                  <c:v>5312</c:v>
                </c:pt>
                <c:pt idx="4">
                  <c:v>5324</c:v>
                </c:pt>
                <c:pt idx="5">
                  <c:v>5248</c:v>
                </c:pt>
                <c:pt idx="6">
                  <c:v>5283</c:v>
                </c:pt>
                <c:pt idx="7">
                  <c:v>5289</c:v>
                </c:pt>
                <c:pt idx="8">
                  <c:v>5255</c:v>
                </c:pt>
                <c:pt idx="9">
                  <c:v>5270</c:v>
                </c:pt>
                <c:pt idx="10">
                  <c:v>5236</c:v>
                </c:pt>
                <c:pt idx="11">
                  <c:v>5259</c:v>
                </c:pt>
              </c:numCache>
            </c:numRef>
          </c:val>
        </c:ser>
        <c:gapWidth val="150"/>
        <c:overlap val="100"/>
        <c:axId val="65659659"/>
        <c:axId val="6051488"/>
      </c:barChart>
      <c:catAx>
        <c:axId val="656596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51488"/>
        <c:crosses val="autoZero"/>
        <c:auto val="1"/>
        <c:lblAlgn val="ctr"/>
        <c:lblOffset val="100"/>
        <c:noMultiLvlLbl val="0"/>
      </c:catAx>
      <c:valAx>
        <c:axId val="605148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6596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expenses by nature (selected year)</a:t>
            </a:r>
          </a:p>
        </c:rich>
      </c:tx>
      <c:overlay val="0"/>
      <c:spPr>
        <a:noFill/>
        <a:ln w="0">
          <a:noFill/>
        </a:ln>
      </c:spPr>
    </c:title>
    <c:autoTitleDeleted val="0"/>
    <c:plotArea>
      <c:barChart>
        <c:barDir val="bar"/>
        <c:grouping val="clustered"/>
        <c:varyColors val="0"/>
        <c:ser>
          <c:idx val="0"/>
          <c:order val="0"/>
          <c:tx>
            <c:strRef>
              <c:f>Expense_Analysis!C20</c:f>
              <c:strCache>
                <c:ptCount val="1"/>
                <c:pt idx="0">
                  <c:v>Selected year</c:v>
                </c:pt>
              </c:strCache>
            </c:strRef>
          </c:tx>
          <c:spPr>
            <a:solidFill>
              <a:srgbClr val="5b7d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Expense_Analysis!$B$21:$B$33</c:f>
              <c:strCache>
                <c:ptCount val="13"/>
                <c:pt idx="0">
                  <c:v>Sales commissions &amp; incentives</c:v>
                </c:pt>
                <c:pt idx="1">
                  <c:v>Advertising &amp; promotions</c:v>
                </c:pt>
                <c:pt idx="2">
                  <c:v>Freight &amp; delivery</c:v>
                </c:pt>
                <c:pt idx="3">
                  <c:v>Warehouse rent &amp; utilities</c:v>
                </c:pt>
                <c:pt idx="4">
                  <c:v>Selling &amp; logistics staff costs</c:v>
                </c:pt>
                <c:pt idx="5">
                  <c:v>Salaries &amp; wages (G&amp;A)</c:v>
                </c:pt>
                <c:pt idx="6">
                  <c:v>Employee benefits &amp; contributions</c:v>
                </c:pt>
                <c:pt idx="7">
                  <c:v>Professional fees</c:v>
                </c:pt>
                <c:pt idx="8">
                  <c:v>Office rent &amp; utilities</c:v>
                </c:pt>
                <c:pt idx="9">
                  <c:v>Repairs &amp; maintenance</c:v>
                </c:pt>
                <c:pt idx="10">
                  <c:v>Taxes, licenses &amp; insurance</c:v>
                </c:pt>
                <c:pt idx="11">
                  <c:v>Communication, IT &amp; supplies</c:v>
                </c:pt>
                <c:pt idx="12">
                  <c:v>Bad debts &amp; credit losses</c:v>
                </c:pt>
              </c:strCache>
            </c:strRef>
          </c:cat>
          <c:val>
            <c:numRef>
              <c:f>Expense_Analysis!$C$21:$C$33</c:f>
              <c:numCache>
                <c:formatCode>#,##0;\(#,##0\);\-</c:formatCode>
                <c:ptCount val="13"/>
                <c:pt idx="0">
                  <c:v>15695</c:v>
                </c:pt>
                <c:pt idx="1">
                  <c:v>9363</c:v>
                </c:pt>
                <c:pt idx="2">
                  <c:v>23337</c:v>
                </c:pt>
                <c:pt idx="3">
                  <c:v>24992</c:v>
                </c:pt>
                <c:pt idx="4">
                  <c:v>32690</c:v>
                </c:pt>
                <c:pt idx="5">
                  <c:v>30213</c:v>
                </c:pt>
                <c:pt idx="6">
                  <c:v>8130</c:v>
                </c:pt>
                <c:pt idx="7">
                  <c:v>4500</c:v>
                </c:pt>
                <c:pt idx="8">
                  <c:v>6839</c:v>
                </c:pt>
                <c:pt idx="9">
                  <c:v>2729</c:v>
                </c:pt>
                <c:pt idx="10">
                  <c:v>5484</c:v>
                </c:pt>
                <c:pt idx="11">
                  <c:v>4463</c:v>
                </c:pt>
                <c:pt idx="12">
                  <c:v>1469</c:v>
                </c:pt>
              </c:numCache>
            </c:numRef>
          </c:val>
        </c:ser>
        <c:gapWidth val="150"/>
        <c:overlap val="0"/>
        <c:axId val="72027010"/>
        <c:axId val="39776529"/>
      </c:barChart>
      <c:catAx>
        <c:axId val="720270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776529"/>
        <c:crosses val="autoZero"/>
        <c:auto val="1"/>
        <c:lblAlgn val="ctr"/>
        <c:lblOffset val="100"/>
        <c:noMultiLvlLbl val="0"/>
      </c:catAx>
      <c:valAx>
        <c:axId val="3977652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0270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_rels/drawing2.xml.rels><?xml version="1.0" encoding="UTF-8"?>
<Relationships xmlns="http://schemas.openxmlformats.org/package/2006/relationships"><Relationship Id="rId1" Type="http://schemas.openxmlformats.org/officeDocument/2006/relationships/chart" Target="../charts/chart9.xml"/>
</Relationships>
</file>

<file path=xl/drawings/_rels/drawing3.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
</Relationships>
</file>

<file path=xl/drawings/_rels/drawing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7</xdr:col>
      <xdr:colOff>82080</xdr:colOff>
      <xdr:row>28</xdr:row>
      <xdr:rowOff>140400</xdr:rowOff>
    </xdr:to>
    <xdr:graphicFrame>
      <xdr:nvGraphicFramePr>
        <xdr:cNvPr id="0" name="Chart 1"/>
        <xdr:cNvGraphicFramePr/>
      </xdr:nvGraphicFramePr>
      <xdr:xfrm>
        <a:off x="141120" y="3105000"/>
        <a:ext cx="557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0</xdr:rowOff>
    </xdr:from>
    <xdr:to>
      <xdr:col>13</xdr:col>
      <xdr:colOff>81720</xdr:colOff>
      <xdr:row>28</xdr:row>
      <xdr:rowOff>140400</xdr:rowOff>
    </xdr:to>
    <xdr:graphicFrame>
      <xdr:nvGraphicFramePr>
        <xdr:cNvPr id="1" name="Chart 2"/>
        <xdr:cNvGraphicFramePr/>
      </xdr:nvGraphicFramePr>
      <xdr:xfrm>
        <a:off x="5638680" y="3105000"/>
        <a:ext cx="557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30</xdr:row>
      <xdr:rowOff>0</xdr:rowOff>
    </xdr:from>
    <xdr:to>
      <xdr:col>7</xdr:col>
      <xdr:colOff>82080</xdr:colOff>
      <xdr:row>44</xdr:row>
      <xdr:rowOff>140760</xdr:rowOff>
    </xdr:to>
    <xdr:graphicFrame>
      <xdr:nvGraphicFramePr>
        <xdr:cNvPr id="2" name="Chart 3"/>
        <xdr:cNvGraphicFramePr/>
      </xdr:nvGraphicFramePr>
      <xdr:xfrm>
        <a:off x="141120" y="6153120"/>
        <a:ext cx="5579640" cy="2807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30</xdr:row>
      <xdr:rowOff>0</xdr:rowOff>
    </xdr:from>
    <xdr:to>
      <xdr:col>13</xdr:col>
      <xdr:colOff>81720</xdr:colOff>
      <xdr:row>44</xdr:row>
      <xdr:rowOff>140760</xdr:rowOff>
    </xdr:to>
    <xdr:graphicFrame>
      <xdr:nvGraphicFramePr>
        <xdr:cNvPr id="3" name="Chart 4"/>
        <xdr:cNvGraphicFramePr/>
      </xdr:nvGraphicFramePr>
      <xdr:xfrm>
        <a:off x="5638680" y="6153120"/>
        <a:ext cx="5579640" cy="2807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46</xdr:row>
      <xdr:rowOff>0</xdr:rowOff>
    </xdr:from>
    <xdr:to>
      <xdr:col>7</xdr:col>
      <xdr:colOff>82080</xdr:colOff>
      <xdr:row>60</xdr:row>
      <xdr:rowOff>140760</xdr:rowOff>
    </xdr:to>
    <xdr:graphicFrame>
      <xdr:nvGraphicFramePr>
        <xdr:cNvPr id="4" name="Chart 5"/>
        <xdr:cNvGraphicFramePr/>
      </xdr:nvGraphicFramePr>
      <xdr:xfrm>
        <a:off x="141120" y="9201240"/>
        <a:ext cx="5579640" cy="2807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46</xdr:row>
      <xdr:rowOff>0</xdr:rowOff>
    </xdr:from>
    <xdr:to>
      <xdr:col>13</xdr:col>
      <xdr:colOff>81720</xdr:colOff>
      <xdr:row>60</xdr:row>
      <xdr:rowOff>140760</xdr:rowOff>
    </xdr:to>
    <xdr:graphicFrame>
      <xdr:nvGraphicFramePr>
        <xdr:cNvPr id="5" name="Chart 6"/>
        <xdr:cNvGraphicFramePr/>
      </xdr:nvGraphicFramePr>
      <xdr:xfrm>
        <a:off x="5638680" y="9201240"/>
        <a:ext cx="5579640" cy="2807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62</xdr:row>
      <xdr:rowOff>0</xdr:rowOff>
    </xdr:from>
    <xdr:to>
      <xdr:col>7</xdr:col>
      <xdr:colOff>82080</xdr:colOff>
      <xdr:row>76</xdr:row>
      <xdr:rowOff>140400</xdr:rowOff>
    </xdr:to>
    <xdr:graphicFrame>
      <xdr:nvGraphicFramePr>
        <xdr:cNvPr id="6" name="Chart 7"/>
        <xdr:cNvGraphicFramePr/>
      </xdr:nvGraphicFramePr>
      <xdr:xfrm>
        <a:off x="141120" y="12249000"/>
        <a:ext cx="5579640" cy="2807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62</xdr:row>
      <xdr:rowOff>0</xdr:rowOff>
    </xdr:from>
    <xdr:to>
      <xdr:col>13</xdr:col>
      <xdr:colOff>81720</xdr:colOff>
      <xdr:row>76</xdr:row>
      <xdr:rowOff>140400</xdr:rowOff>
    </xdr:to>
    <xdr:graphicFrame>
      <xdr:nvGraphicFramePr>
        <xdr:cNvPr id="7" name="Chart 8"/>
        <xdr:cNvGraphicFramePr/>
      </xdr:nvGraphicFramePr>
      <xdr:xfrm>
        <a:off x="5638680" y="12249000"/>
        <a:ext cx="5579640" cy="2807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0</xdr:rowOff>
    </xdr:from>
    <xdr:to>
      <xdr:col>21</xdr:col>
      <xdr:colOff>4680</xdr:colOff>
      <xdr:row>17</xdr:row>
      <xdr:rowOff>11520</xdr:rowOff>
    </xdr:to>
    <xdr:graphicFrame>
      <xdr:nvGraphicFramePr>
        <xdr:cNvPr id="8" name="Chart 1"/>
        <xdr:cNvGraphicFramePr/>
      </xdr:nvGraphicFramePr>
      <xdr:xfrm>
        <a:off x="10902240" y="68580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0</xdr:rowOff>
    </xdr:from>
    <xdr:to>
      <xdr:col>20</xdr:col>
      <xdr:colOff>4680</xdr:colOff>
      <xdr:row>17</xdr:row>
      <xdr:rowOff>93960</xdr:rowOff>
    </xdr:to>
    <xdr:graphicFrame>
      <xdr:nvGraphicFramePr>
        <xdr:cNvPr id="9" name="Chart 1"/>
        <xdr:cNvGraphicFramePr/>
      </xdr:nvGraphicFramePr>
      <xdr:xfrm>
        <a:off x="9586080" y="685800"/>
        <a:ext cx="611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21</xdr:row>
      <xdr:rowOff>0</xdr:rowOff>
    </xdr:from>
    <xdr:to>
      <xdr:col>20</xdr:col>
      <xdr:colOff>4680</xdr:colOff>
      <xdr:row>35</xdr:row>
      <xdr:rowOff>46440</xdr:rowOff>
    </xdr:to>
    <xdr:graphicFrame>
      <xdr:nvGraphicFramePr>
        <xdr:cNvPr id="10" name="Chart 2"/>
        <xdr:cNvGraphicFramePr/>
      </xdr:nvGraphicFramePr>
      <xdr:xfrm>
        <a:off x="9586080" y="4305240"/>
        <a:ext cx="611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0</xdr:rowOff>
    </xdr:from>
    <xdr:to>
      <xdr:col>21</xdr:col>
      <xdr:colOff>4320</xdr:colOff>
      <xdr:row>17</xdr:row>
      <xdr:rowOff>46440</xdr:rowOff>
    </xdr:to>
    <xdr:graphicFrame>
      <xdr:nvGraphicFramePr>
        <xdr:cNvPr id="11" name="Chart 1"/>
        <xdr:cNvGraphicFramePr/>
      </xdr:nvGraphicFramePr>
      <xdr:xfrm>
        <a:off x="11347920" y="685800"/>
        <a:ext cx="611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21</xdr:col>
      <xdr:colOff>4320</xdr:colOff>
      <xdr:row>40</xdr:row>
      <xdr:rowOff>160200</xdr:rowOff>
    </xdr:to>
    <xdr:graphicFrame>
      <xdr:nvGraphicFramePr>
        <xdr:cNvPr id="12" name="Chart 2"/>
        <xdr:cNvGraphicFramePr/>
      </xdr:nvGraphicFramePr>
      <xdr:xfrm>
        <a:off x="11347920" y="4591080"/>
        <a:ext cx="6119640" cy="37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8.xml.rels><?xml version="1.0" encoding="UTF-8"?>
<Relationships xmlns="http://schemas.openxmlformats.org/package/2006/relationships"><Relationship Id="rId1" Type="http://schemas.openxmlformats.org/officeDocument/2006/relationships/drawing" Target="../drawings/drawing5.xml"/>
</Relationships>
</file>

<file path=xl/worksheets/_rels/sheet1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4"/>
    <col collapsed="false" customWidth="true" hidden="false" outlineLevel="0" max="5" min="5" style="0" width="30"/>
    <col collapsed="false" customWidth="true" hidden="false" outlineLevel="0" max="6" min="6" style="0" width="62"/>
  </cols>
  <sheetData>
    <row r="1" customFormat="false" ht="15" hidden="false" customHeight="false" outlineLevel="0" collapsed="false">
      <c r="B1" s="1"/>
      <c r="C1" s="1"/>
      <c r="D1" s="1"/>
      <c r="E1" s="1"/>
      <c r="F1" s="1"/>
    </row>
    <row r="2" customFormat="false" ht="15" hidden="false" customHeight="false" outlineLevel="0" collapsed="false">
      <c r="B2" s="2" t="s">
        <v>0</v>
      </c>
      <c r="C2" s="1"/>
      <c r="D2" s="1"/>
      <c r="E2" s="1"/>
      <c r="F2" s="1"/>
    </row>
    <row r="3" customFormat="false" ht="36" hidden="false" customHeight="true" outlineLevel="0" collapsed="false">
      <c r="B3" s="3" t="s">
        <v>1</v>
      </c>
      <c r="C3" s="1"/>
      <c r="D3" s="1"/>
      <c r="E3" s="1"/>
      <c r="F3" s="1"/>
    </row>
    <row r="4" customFormat="false" ht="16.15" hidden="false" customHeight="false" outlineLevel="0" collapsed="false">
      <c r="B4" s="4" t="str">
        <f aca="false">Inputs!$C$6</f>
        <v>Sampaguita Foods &amp; Distribution Corporation (SFDC)</v>
      </c>
      <c r="C4" s="1"/>
      <c r="D4" s="1"/>
      <c r="E4" s="1"/>
      <c r="F4" s="1"/>
    </row>
    <row r="5" customFormat="false" ht="15" hidden="false" customHeight="false" outlineLevel="0" collapsed="false">
      <c r="B5" s="5" t="str">
        <f aca="false">"Integrated three-statement model and analytical review  |  FY"&amp;Inputs!D$22&amp;" - FY"&amp;Inputs!F$22</f>
        <v>Integrated three-statement model and analytical review  |  FY2023 - FY2025</v>
      </c>
      <c r="C5" s="1"/>
      <c r="D5" s="1"/>
      <c r="E5" s="1"/>
      <c r="F5" s="1"/>
    </row>
    <row r="6" customFormat="false" ht="15" hidden="false" customHeight="false" outlineLevel="0" collapsed="false">
      <c r="B6" s="1"/>
      <c r="C6" s="1"/>
      <c r="D6" s="1"/>
      <c r="E6" s="1"/>
      <c r="F6" s="1"/>
    </row>
    <row r="7" customFormat="false" ht="15" hidden="false" customHeight="false" outlineLevel="0" collapsed="false">
      <c r="B7" s="6" t="str">
        <f aca="false">"Prepared by "&amp;Inputs!$C$12&amp;"  |  Version 1.0  |  "&amp;Inputs!$C$11</f>
        <v>Prepared by Bengie Hirnani  |  Version 1.0  |  PHP in thousands (unless otherwise stated)</v>
      </c>
      <c r="C7" s="1"/>
      <c r="D7" s="1"/>
      <c r="E7" s="1"/>
      <c r="F7" s="1"/>
    </row>
    <row r="8" customFormat="false" ht="15" hidden="false" customHeight="false" outlineLevel="0" collapsed="false">
      <c r="B8" s="7"/>
      <c r="C8" s="7"/>
      <c r="D8" s="7"/>
      <c r="E8" s="7"/>
      <c r="F8" s="7"/>
    </row>
    <row r="10" customFormat="false" ht="15" hidden="false" customHeight="false" outlineLevel="0" collapsed="false">
      <c r="B10" s="8" t="s">
        <v>2</v>
      </c>
      <c r="C10" s="9" t="str">
        <f aca="false">Model_Status</f>
        <v>✔ All 23 integrity checks passed</v>
      </c>
      <c r="D10" s="9"/>
      <c r="E10" s="9"/>
      <c r="F10" s="9"/>
    </row>
    <row r="11" customFormat="false" ht="42" hidden="false" customHeight="true" outlineLevel="0" collapsed="false">
      <c r="B11" s="8" t="s">
        <v>3</v>
      </c>
      <c r="C11" s="10" t="s">
        <v>4</v>
      </c>
      <c r="D11" s="10"/>
      <c r="E11" s="10"/>
      <c r="F11" s="10"/>
    </row>
    <row r="12" customFormat="false" ht="30" hidden="false" customHeight="true" outlineLevel="0" collapsed="false">
      <c r="B12" s="8" t="s">
        <v>5</v>
      </c>
      <c r="C12" s="11" t="s">
        <v>6</v>
      </c>
      <c r="D12" s="11"/>
      <c r="E12" s="11"/>
      <c r="F12" s="11"/>
    </row>
    <row r="14" customFormat="false" ht="15" hidden="false" customHeight="false" outlineLevel="0" collapsed="false">
      <c r="B14" s="12" t="s">
        <v>7</v>
      </c>
      <c r="C14" s="13"/>
      <c r="D14" s="13"/>
      <c r="E14" s="13"/>
      <c r="F14" s="13"/>
    </row>
    <row r="15" customFormat="false" ht="15" hidden="false" customHeight="false" outlineLevel="0" collapsed="false">
      <c r="B15" s="14" t="s">
        <v>8</v>
      </c>
    </row>
    <row r="16" customFormat="false" ht="19.5" hidden="false" customHeight="true" outlineLevel="0" collapsed="false">
      <c r="B16" s="15" t="str">
        <f aca="false">HYPERLINK("#Dashboard!A1","Dashboard")</f>
        <v>Dashboard</v>
      </c>
      <c r="C16" s="16" t="s">
        <v>9</v>
      </c>
    </row>
    <row r="17" customFormat="false" ht="19.5" hidden="false" customHeight="true" outlineLevel="0" collapsed="false">
      <c r="B17" s="15" t="str">
        <f aca="false">HYPERLINK("#Income_Statement!A1","Income Statement")</f>
        <v>Income Statement</v>
      </c>
      <c r="C17" s="16" t="s">
        <v>10</v>
      </c>
    </row>
    <row r="18" customFormat="false" ht="19.5" hidden="false" customHeight="true" outlineLevel="0" collapsed="false">
      <c r="B18" s="15" t="str">
        <f aca="false">HYPERLINK("#Balance_Sheet!A1","Balance Sheet")</f>
        <v>Balance Sheet</v>
      </c>
      <c r="C18" s="16" t="s">
        <v>11</v>
      </c>
    </row>
    <row r="19" customFormat="false" ht="19.5" hidden="false" customHeight="true" outlineLevel="0" collapsed="false">
      <c r="B19" s="15" t="str">
        <f aca="false">HYPERLINK("#Cash_Flow!A1","Cash Flow")</f>
        <v>Cash Flow</v>
      </c>
      <c r="C19" s="16" t="s">
        <v>12</v>
      </c>
    </row>
    <row r="20" customFormat="false" ht="19.5" hidden="false" customHeight="true" outlineLevel="0" collapsed="false">
      <c r="B20" s="15" t="str">
        <f aca="false">HYPERLINK("#Equity_Changes!A1","Equity Changes")</f>
        <v>Equity Changes</v>
      </c>
      <c r="C20" s="16" t="s">
        <v>13</v>
      </c>
    </row>
    <row r="21" customFormat="false" ht="19.5" hidden="false" customHeight="true" outlineLevel="0" collapsed="false">
      <c r="B21" s="15" t="str">
        <f aca="false">HYPERLINK("#Notes_to_FS!A1","Notes to FS")</f>
        <v>Notes to FS</v>
      </c>
      <c r="C21" s="16" t="s">
        <v>14</v>
      </c>
    </row>
    <row r="23" customFormat="false" ht="15" hidden="false" customHeight="false" outlineLevel="0" collapsed="false">
      <c r="B23" s="14" t="s">
        <v>15</v>
      </c>
    </row>
    <row r="24" customFormat="false" ht="19.5" hidden="false" customHeight="true" outlineLevel="0" collapsed="false">
      <c r="B24" s="15" t="str">
        <f aca="false">HYPERLINK("#Horizontal!A1","Horizontal")</f>
        <v>Horizontal</v>
      </c>
      <c r="C24" s="16" t="s">
        <v>16</v>
      </c>
    </row>
    <row r="25" customFormat="false" ht="19.5" hidden="false" customHeight="true" outlineLevel="0" collapsed="false">
      <c r="B25" s="15" t="str">
        <f aca="false">HYPERLINK("#Vertical!A1","Vertical")</f>
        <v>Vertical</v>
      </c>
      <c r="C25" s="16" t="s">
        <v>17</v>
      </c>
    </row>
    <row r="26" customFormat="false" ht="19.5" hidden="false" customHeight="true" outlineLevel="0" collapsed="false">
      <c r="B26" s="15" t="str">
        <f aca="false">HYPERLINK("#Common_Size!A1","Common Size")</f>
        <v>Common Size</v>
      </c>
      <c r="C26" s="16" t="s">
        <v>18</v>
      </c>
    </row>
    <row r="27" customFormat="false" ht="19.5" hidden="false" customHeight="true" outlineLevel="0" collapsed="false">
      <c r="B27" s="15" t="str">
        <f aca="false">HYPERLINK("#Trend!A1","Trend")</f>
        <v>Trend</v>
      </c>
      <c r="C27" s="16" t="s">
        <v>19</v>
      </c>
    </row>
    <row r="28" customFormat="false" ht="19.5" hidden="false" customHeight="true" outlineLevel="0" collapsed="false">
      <c r="B28" s="15" t="str">
        <f aca="false">HYPERLINK("#Revenue_Analysis!A1","Revenue Analysis")</f>
        <v>Revenue Analysis</v>
      </c>
      <c r="C28" s="16" t="s">
        <v>20</v>
      </c>
    </row>
    <row r="29" customFormat="false" ht="19.5" hidden="false" customHeight="true" outlineLevel="0" collapsed="false">
      <c r="B29" s="15" t="str">
        <f aca="false">HYPERLINK("#Expense_Analysis!A1","Expense Analysis")</f>
        <v>Expense Analysis</v>
      </c>
      <c r="C29" s="16" t="s">
        <v>21</v>
      </c>
    </row>
    <row r="30" customFormat="false" ht="19.5" hidden="false" customHeight="true" outlineLevel="0" collapsed="false">
      <c r="B30" s="15" t="str">
        <f aca="false">HYPERLINK("#Ratio_Analysis!A1","Ratio Analysis")</f>
        <v>Ratio Analysis</v>
      </c>
      <c r="C30" s="16" t="s">
        <v>22</v>
      </c>
    </row>
    <row r="32" customFormat="false" ht="15" hidden="false" customHeight="false" outlineLevel="0" collapsed="false">
      <c r="B32" s="14" t="s">
        <v>23</v>
      </c>
    </row>
    <row r="33" customFormat="false" ht="19.5" hidden="false" customHeight="true" outlineLevel="0" collapsed="false">
      <c r="B33" s="15" t="str">
        <f aca="false">HYPERLINK("#Inputs!A1","Inputs")</f>
        <v>Inputs</v>
      </c>
      <c r="C33" s="16" t="s">
        <v>24</v>
      </c>
    </row>
    <row r="34" customFormat="false" ht="19.5" hidden="false" customHeight="true" outlineLevel="0" collapsed="false">
      <c r="B34" s="15" t="str">
        <f aca="false">HYPERLINK("#Schedules!A1","Schedules")</f>
        <v>Schedules</v>
      </c>
      <c r="C34" s="16" t="s">
        <v>25</v>
      </c>
    </row>
    <row r="35" customFormat="false" ht="19.5" hidden="false" customHeight="true" outlineLevel="0" collapsed="false">
      <c r="B35" s="15" t="str">
        <f aca="false">HYPERLINK("#Data_Sales!A1","Data Sales")</f>
        <v>Data Sales</v>
      </c>
      <c r="C35" s="16" t="s">
        <v>26</v>
      </c>
    </row>
    <row r="36" customFormat="false" ht="19.5" hidden="false" customHeight="true" outlineLevel="0" collapsed="false">
      <c r="B36" s="15" t="str">
        <f aca="false">HYPERLINK("#Data_Expenses!A1","Data Expenses")</f>
        <v>Data Expenses</v>
      </c>
      <c r="C36" s="16" t="s">
        <v>27</v>
      </c>
    </row>
    <row r="37" customFormat="false" ht="19.5" hidden="false" customHeight="true" outlineLevel="0" collapsed="false">
      <c r="B37" s="15" t="str">
        <f aca="false">HYPERLINK("#Chart_Data!A1","Chart Data")</f>
        <v>Chart Data</v>
      </c>
      <c r="C37" s="16" t="s">
        <v>28</v>
      </c>
    </row>
    <row r="38" customFormat="false" ht="19.5" hidden="false" customHeight="true" outlineLevel="0" collapsed="false">
      <c r="B38" s="15" t="str">
        <f aca="false">HYPERLINK("#Lists!A1","Lists")</f>
        <v>Lists</v>
      </c>
      <c r="C38" s="16" t="s">
        <v>29</v>
      </c>
    </row>
    <row r="39" customFormat="false" ht="19.5" hidden="false" customHeight="true" outlineLevel="0" collapsed="false">
      <c r="B39" s="15" t="str">
        <f aca="false">HYPERLINK("#Checks!A1","Checks")</f>
        <v>Checks</v>
      </c>
      <c r="C39" s="16" t="s">
        <v>30</v>
      </c>
    </row>
    <row r="40" customFormat="false" ht="19.5" hidden="false" customHeight="true" outlineLevel="0" collapsed="false">
      <c r="B40" s="15" t="str">
        <f aca="false">HYPERLINK("#Documentation!A1","Documentation")</f>
        <v>Documentation</v>
      </c>
      <c r="C40" s="16" t="s">
        <v>31</v>
      </c>
    </row>
  </sheetData>
  <mergeCells count="3">
    <mergeCell ref="C10:F10"/>
    <mergeCell ref="C11:F11"/>
    <mergeCell ref="C12:F12"/>
  </mergeCells>
  <conditionalFormatting sqref="C10">
    <cfRule type="expression" priority="2" aboveAverage="0" equalAverage="0" bottom="0" percent="0" rank="0" text="" dxfId="0">
      <formula>LEFT(C10,1)="✔"</formula>
    </cfRule>
    <cfRule type="expression" priority="3" aboveAverage="0" equalAverage="0" bottom="0" percent="0" rank="0" text="" dxfId="1">
      <formula>LEFT(C10,1)="✖"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C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00"/>
  </cols>
  <sheetData>
    <row r="1" customFormat="false" ht="24" hidden="false" customHeight="true" outlineLevel="0" collapsed="false">
      <c r="B1" s="17" t="s">
        <v>32</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5" customFormat="false" ht="15" hidden="false" customHeight="false" outlineLevel="0" collapsed="false">
      <c r="B5" s="12" t="s">
        <v>33</v>
      </c>
      <c r="C5" s="13"/>
    </row>
    <row r="6" customFormat="false" ht="39" hidden="false" customHeight="true" outlineLevel="0" collapsed="false">
      <c r="B6" s="20" t="s">
        <v>34</v>
      </c>
      <c r="C6" s="21" t="s">
        <v>35</v>
      </c>
    </row>
    <row r="7" customFormat="false" ht="15" hidden="false" customHeight="true" outlineLevel="0" collapsed="false">
      <c r="B7" s="20" t="s">
        <v>36</v>
      </c>
      <c r="C7" s="21" t="str">
        <f aca="false">Inputs!$C$6&amp;" - "&amp;Inputs!$C$9&amp;". Head office: "&amp;Inputs!$C$8&amp;"."</f>
        <v>Sampaguita Foods &amp; Distribution Corporation (SFDC) - Wholesale distribution of packaged food, beverages, household products and fresh &amp; frozen goods. Head office: Taguig City, Metro Manila, Philippines (warehouses: Laguna, Cebu, Davao).</v>
      </c>
    </row>
    <row r="8" customFormat="false" ht="25.5" hidden="false" customHeight="true" outlineLevel="0" collapsed="false">
      <c r="B8" s="20" t="s">
        <v>37</v>
      </c>
      <c r="C8" s="21" t="s">
        <v>38</v>
      </c>
    </row>
    <row r="9" customFormat="false" ht="25.5" hidden="false" customHeight="true" outlineLevel="0" collapsed="false">
      <c r="B9" s="20" t="s">
        <v>39</v>
      </c>
      <c r="C9" s="21" t="s">
        <v>40</v>
      </c>
    </row>
    <row r="11" customFormat="false" ht="15" hidden="false" customHeight="false" outlineLevel="0" collapsed="false">
      <c r="B11" s="12" t="s">
        <v>41</v>
      </c>
      <c r="C11" s="13"/>
    </row>
    <row r="12" customFormat="false" ht="25.5" hidden="false" customHeight="true" outlineLevel="0" collapsed="false">
      <c r="B12" s="20" t="s">
        <v>42</v>
      </c>
      <c r="C12" s="21" t="s">
        <v>43</v>
      </c>
    </row>
    <row r="13" customFormat="false" ht="25.5" hidden="false" customHeight="true" outlineLevel="0" collapsed="false">
      <c r="B13" s="20" t="s">
        <v>44</v>
      </c>
      <c r="C13" s="21" t="s">
        <v>45</v>
      </c>
    </row>
    <row r="14" customFormat="false" ht="25.5" hidden="false" customHeight="true" outlineLevel="0" collapsed="false">
      <c r="B14" s="20" t="s">
        <v>46</v>
      </c>
      <c r="C14" s="21" t="s">
        <v>47</v>
      </c>
    </row>
    <row r="15" customFormat="false" ht="25.5" hidden="false" customHeight="true" outlineLevel="0" collapsed="false">
      <c r="B15" s="20" t="s">
        <v>48</v>
      </c>
      <c r="C15" s="21" t="s">
        <v>49</v>
      </c>
    </row>
    <row r="16" customFormat="false" ht="25.5" hidden="false" customHeight="true" outlineLevel="0" collapsed="false">
      <c r="B16" s="20" t="s">
        <v>50</v>
      </c>
      <c r="C16" s="21" t="s">
        <v>51</v>
      </c>
    </row>
    <row r="18" customFormat="false" ht="15" hidden="false" customHeight="false" outlineLevel="0" collapsed="false">
      <c r="B18" s="12" t="s">
        <v>52</v>
      </c>
      <c r="C18" s="13"/>
    </row>
    <row r="19" customFormat="false" ht="15" hidden="false" customHeight="true" outlineLevel="0" collapsed="false">
      <c r="B19" s="20" t="s">
        <v>53</v>
      </c>
      <c r="C19" s="21" t="s">
        <v>54</v>
      </c>
    </row>
    <row r="20" customFormat="false" ht="15" hidden="false" customHeight="true" outlineLevel="0" collapsed="false">
      <c r="B20" s="20" t="s">
        <v>55</v>
      </c>
      <c r="C20" s="21" t="s">
        <v>31</v>
      </c>
    </row>
    <row r="21" customFormat="false" ht="15" hidden="false" customHeight="true" outlineLevel="0" collapsed="false">
      <c r="B21" s="20" t="s">
        <v>56</v>
      </c>
      <c r="C21" s="21" t="s">
        <v>9</v>
      </c>
    </row>
    <row r="22" customFormat="false" ht="15" hidden="false" customHeight="true" outlineLevel="0" collapsed="false">
      <c r="B22" s="20" t="s">
        <v>57</v>
      </c>
      <c r="C22" s="21" t="s">
        <v>10</v>
      </c>
    </row>
    <row r="23" customFormat="false" ht="15" hidden="false" customHeight="true" outlineLevel="0" collapsed="false">
      <c r="B23" s="20" t="s">
        <v>58</v>
      </c>
      <c r="C23" s="21" t="s">
        <v>11</v>
      </c>
    </row>
    <row r="24" customFormat="false" ht="15" hidden="false" customHeight="true" outlineLevel="0" collapsed="false">
      <c r="B24" s="20" t="s">
        <v>59</v>
      </c>
      <c r="C24" s="21" t="s">
        <v>12</v>
      </c>
    </row>
    <row r="25" customFormat="false" ht="15" hidden="false" customHeight="true" outlineLevel="0" collapsed="false">
      <c r="B25" s="20" t="s">
        <v>60</v>
      </c>
      <c r="C25" s="21" t="s">
        <v>13</v>
      </c>
    </row>
    <row r="26" customFormat="false" ht="15" hidden="false" customHeight="true" outlineLevel="0" collapsed="false">
      <c r="B26" s="20" t="s">
        <v>61</v>
      </c>
      <c r="C26" s="21" t="s">
        <v>14</v>
      </c>
    </row>
    <row r="27" customFormat="false" ht="15" hidden="false" customHeight="true" outlineLevel="0" collapsed="false">
      <c r="B27" s="20" t="s">
        <v>62</v>
      </c>
      <c r="C27" s="21" t="s">
        <v>25</v>
      </c>
    </row>
    <row r="28" customFormat="false" ht="15" hidden="false" customHeight="true" outlineLevel="0" collapsed="false">
      <c r="B28" s="20" t="s">
        <v>63</v>
      </c>
      <c r="C28" s="21" t="s">
        <v>16</v>
      </c>
    </row>
    <row r="29" customFormat="false" ht="15" hidden="false" customHeight="true" outlineLevel="0" collapsed="false">
      <c r="B29" s="20" t="s">
        <v>64</v>
      </c>
      <c r="C29" s="21" t="s">
        <v>17</v>
      </c>
    </row>
    <row r="30" customFormat="false" ht="15" hidden="false" customHeight="true" outlineLevel="0" collapsed="false">
      <c r="B30" s="20" t="s">
        <v>65</v>
      </c>
      <c r="C30" s="21" t="s">
        <v>18</v>
      </c>
    </row>
    <row r="31" customFormat="false" ht="15" hidden="false" customHeight="true" outlineLevel="0" collapsed="false">
      <c r="B31" s="20" t="s">
        <v>66</v>
      </c>
      <c r="C31" s="21" t="s">
        <v>19</v>
      </c>
    </row>
    <row r="32" customFormat="false" ht="15" hidden="false" customHeight="true" outlineLevel="0" collapsed="false">
      <c r="B32" s="20" t="s">
        <v>67</v>
      </c>
      <c r="C32" s="21" t="s">
        <v>20</v>
      </c>
    </row>
    <row r="33" customFormat="false" ht="15" hidden="false" customHeight="true" outlineLevel="0" collapsed="false">
      <c r="B33" s="20" t="s">
        <v>68</v>
      </c>
      <c r="C33" s="21" t="s">
        <v>21</v>
      </c>
    </row>
    <row r="34" customFormat="false" ht="15" hidden="false" customHeight="true" outlineLevel="0" collapsed="false">
      <c r="B34" s="20" t="s">
        <v>69</v>
      </c>
      <c r="C34" s="21" t="s">
        <v>22</v>
      </c>
    </row>
    <row r="35" customFormat="false" ht="15" hidden="false" customHeight="true" outlineLevel="0" collapsed="false">
      <c r="B35" s="20" t="s">
        <v>70</v>
      </c>
      <c r="C35" s="21" t="s">
        <v>24</v>
      </c>
    </row>
    <row r="36" customFormat="false" ht="15" hidden="false" customHeight="true" outlineLevel="0" collapsed="false">
      <c r="B36" s="20" t="s">
        <v>71</v>
      </c>
      <c r="C36" s="21" t="s">
        <v>26</v>
      </c>
    </row>
    <row r="37" customFormat="false" ht="15" hidden="false" customHeight="true" outlineLevel="0" collapsed="false">
      <c r="B37" s="20" t="s">
        <v>72</v>
      </c>
      <c r="C37" s="21" t="s">
        <v>27</v>
      </c>
    </row>
    <row r="38" customFormat="false" ht="15" hidden="false" customHeight="true" outlineLevel="0" collapsed="false">
      <c r="B38" s="20" t="s">
        <v>73</v>
      </c>
      <c r="C38" s="21" t="s">
        <v>28</v>
      </c>
    </row>
    <row r="39" customFormat="false" ht="15" hidden="false" customHeight="true" outlineLevel="0" collapsed="false">
      <c r="B39" s="20" t="s">
        <v>74</v>
      </c>
      <c r="C39" s="21" t="s">
        <v>29</v>
      </c>
    </row>
    <row r="40" customFormat="false" ht="15" hidden="false" customHeight="true" outlineLevel="0" collapsed="false">
      <c r="B40" s="20" t="s">
        <v>75</v>
      </c>
      <c r="C40" s="21" t="s">
        <v>30</v>
      </c>
    </row>
    <row r="42" customFormat="false" ht="15" hidden="false" customHeight="false" outlineLevel="0" collapsed="false">
      <c r="B42" s="12" t="s">
        <v>76</v>
      </c>
      <c r="C42" s="13"/>
    </row>
    <row r="43" customFormat="false" ht="15" hidden="false" customHeight="false" outlineLevel="0" collapsed="false">
      <c r="B43" s="22" t="s">
        <v>77</v>
      </c>
      <c r="C43" s="23" t="s">
        <v>78</v>
      </c>
    </row>
    <row r="44" customFormat="false" ht="15" hidden="false" customHeight="false" outlineLevel="0" collapsed="false">
      <c r="B44" s="8" t="s">
        <v>79</v>
      </c>
      <c r="C44" s="23" t="s">
        <v>80</v>
      </c>
    </row>
    <row r="45" customFormat="false" ht="15" hidden="false" customHeight="false" outlineLevel="0" collapsed="false">
      <c r="B45" s="24" t="s">
        <v>81</v>
      </c>
      <c r="C45" s="23" t="s">
        <v>82</v>
      </c>
    </row>
    <row r="46" customFormat="false" ht="15" hidden="false" customHeight="false" outlineLevel="0" collapsed="false">
      <c r="B46" s="25" t="s">
        <v>83</v>
      </c>
      <c r="C46" s="23" t="s">
        <v>84</v>
      </c>
    </row>
    <row r="47" customFormat="false" ht="25.5" hidden="false" customHeight="true" outlineLevel="0" collapsed="false">
      <c r="B47" s="20" t="s">
        <v>85</v>
      </c>
      <c r="C47" s="21" t="s">
        <v>86</v>
      </c>
    </row>
    <row r="49" customFormat="false" ht="15" hidden="false" customHeight="false" outlineLevel="0" collapsed="false">
      <c r="B49" s="12" t="s">
        <v>87</v>
      </c>
      <c r="C49" s="13"/>
    </row>
    <row r="50" customFormat="false" ht="25.5" hidden="false" customHeight="true" outlineLevel="0" collapsed="false">
      <c r="B50" s="20" t="s">
        <v>88</v>
      </c>
      <c r="C50" s="21" t="s">
        <v>89</v>
      </c>
    </row>
    <row r="51" customFormat="false" ht="25.5" hidden="false" customHeight="true" outlineLevel="0" collapsed="false">
      <c r="B51" s="20" t="s">
        <v>90</v>
      </c>
      <c r="C51" s="21" t="s">
        <v>91</v>
      </c>
    </row>
    <row r="52" customFormat="false" ht="25.5" hidden="false" customHeight="true" outlineLevel="0" collapsed="false">
      <c r="B52" s="20" t="s">
        <v>92</v>
      </c>
      <c r="C52" s="21" t="s">
        <v>93</v>
      </c>
    </row>
    <row r="53" customFormat="false" ht="15" hidden="false" customHeight="true" outlineLevel="0" collapsed="false">
      <c r="B53" s="20" t="s">
        <v>94</v>
      </c>
      <c r="C53" s="21" t="s">
        <v>95</v>
      </c>
    </row>
    <row r="54" customFormat="false" ht="15" hidden="false" customHeight="true" outlineLevel="0" collapsed="false">
      <c r="B54" s="20" t="s">
        <v>96</v>
      </c>
      <c r="C54" s="21" t="s">
        <v>97</v>
      </c>
    </row>
    <row r="55" customFormat="false" ht="25.5" hidden="false" customHeight="true" outlineLevel="0" collapsed="false">
      <c r="B55" s="20" t="s">
        <v>98</v>
      </c>
      <c r="C55" s="21" t="s">
        <v>99</v>
      </c>
    </row>
    <row r="57" customFormat="false" ht="15" hidden="false" customHeight="false" outlineLevel="0" collapsed="false">
      <c r="B57" s="12" t="s">
        <v>100</v>
      </c>
      <c r="C57" s="13"/>
    </row>
    <row r="58" customFormat="false" ht="39" hidden="false" customHeight="true" outlineLevel="0" collapsed="false">
      <c r="B58" s="20" t="s">
        <v>101</v>
      </c>
      <c r="C58" s="21" t="s">
        <v>102</v>
      </c>
    </row>
    <row r="59" customFormat="false" ht="39" hidden="false" customHeight="true" outlineLevel="0" collapsed="false">
      <c r="B59" s="20" t="s">
        <v>103</v>
      </c>
      <c r="C59" s="21" t="s">
        <v>104</v>
      </c>
    </row>
    <row r="60" customFormat="false" ht="25.5" hidden="false" customHeight="true" outlineLevel="0" collapsed="false">
      <c r="B60" s="20" t="s">
        <v>105</v>
      </c>
      <c r="C60" s="21" t="s">
        <v>106</v>
      </c>
    </row>
    <row r="61" customFormat="false" ht="25.5" hidden="false" customHeight="true" outlineLevel="0" collapsed="false">
      <c r="B61" s="20" t="s">
        <v>107</v>
      </c>
      <c r="C61" s="21" t="s">
        <v>108</v>
      </c>
    </row>
    <row r="63" customFormat="false" ht="15" hidden="false" customHeight="false" outlineLevel="0" collapsed="false">
      <c r="B63" s="12" t="s">
        <v>109</v>
      </c>
      <c r="C63" s="13"/>
    </row>
    <row r="64" customFormat="false" ht="25.5" hidden="false" customHeight="true" outlineLevel="0" collapsed="false">
      <c r="B64" s="20" t="s">
        <v>110</v>
      </c>
      <c r="C64" s="21" t="s">
        <v>111</v>
      </c>
    </row>
    <row r="65" customFormat="false" ht="25.5" hidden="false" customHeight="true" outlineLevel="0" collapsed="false">
      <c r="B65" s="20" t="s">
        <v>112</v>
      </c>
      <c r="C65" s="21" t="s">
        <v>113</v>
      </c>
    </row>
    <row r="66" customFormat="false" ht="25.5" hidden="false" customHeight="true" outlineLevel="0" collapsed="false">
      <c r="B66" s="20" t="s">
        <v>114</v>
      </c>
      <c r="C66" s="21" t="s">
        <v>115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B1:M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3"/>
  </cols>
  <sheetData>
    <row r="1" customFormat="false" ht="24" hidden="false" customHeight="true" outlineLevel="0" collapsed="false">
      <c r="B1" s="17" t="s">
        <v>116</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5" customFormat="false" ht="15" hidden="false" customHeight="false" outlineLevel="0" collapsed="false">
      <c r="B5" s="26" t="s">
        <v>117</v>
      </c>
      <c r="C5" s="27" t="n">
        <v>2025</v>
      </c>
      <c r="E5" s="28" t="s">
        <v>118</v>
      </c>
      <c r="F5" s="9" t="str">
        <f aca="false">Model_Status</f>
        <v>✔ All 23 integrity checks passed</v>
      </c>
      <c r="G5" s="9"/>
      <c r="H5" s="9"/>
      <c r="I5" s="9"/>
      <c r="J5" s="9"/>
    </row>
    <row r="7" customFormat="false" ht="15" hidden="false" customHeight="false" outlineLevel="0" collapsed="false">
      <c r="B7" s="29" t="s">
        <v>119</v>
      </c>
      <c r="C7" s="29"/>
      <c r="D7" s="29"/>
      <c r="E7" s="29" t="s">
        <v>120</v>
      </c>
      <c r="F7" s="29"/>
      <c r="G7" s="29"/>
      <c r="H7" s="29" t="s">
        <v>121</v>
      </c>
      <c r="I7" s="29"/>
      <c r="J7" s="29"/>
      <c r="K7" s="29" t="s">
        <v>122</v>
      </c>
      <c r="L7" s="29"/>
      <c r="M7" s="29"/>
    </row>
    <row r="8" customFormat="false" ht="27.75" hidden="false" customHeight="true" outlineLevel="0" collapsed="false">
      <c r="B8" s="30" t="n">
        <f aca="false">Chart_Data!F48</f>
        <v>972442</v>
      </c>
      <c r="C8" s="30"/>
      <c r="D8" s="30"/>
      <c r="E8" s="30" t="n">
        <f aca="false">Chart_Data!F49</f>
        <v>249894</v>
      </c>
      <c r="F8" s="30"/>
      <c r="G8" s="30"/>
      <c r="H8" s="30" t="n">
        <f aca="false">Chart_Data!F50</f>
        <v>82040</v>
      </c>
      <c r="I8" s="30"/>
      <c r="J8" s="30"/>
      <c r="K8" s="30" t="n">
        <f aca="false">Chart_Data!F51</f>
        <v>37406</v>
      </c>
      <c r="L8" s="30"/>
      <c r="M8" s="30"/>
    </row>
    <row r="9" customFormat="false" ht="15" hidden="false" customHeight="false" outlineLevel="0" collapsed="false">
      <c r="B9" s="31" t="str">
        <f aca="false">IF(Chart_Data!H48="n/a","First year in model",IF(Chart_Data!H48&gt;=0,"▲ ","▼ ")&amp;TEXT(ABS(Chart_Data!H48),"0.0%")&amp;" vs FY"&amp;(Dash_Year-1))</f>
        <v>▲ 8.4% vs FY2024</v>
      </c>
      <c r="C9" s="31"/>
      <c r="D9" s="31"/>
      <c r="E9" s="31" t="str">
        <f aca="false">IF(Chart_Data!H49="n/a","First year in model",IF(Chart_Data!H49&gt;=0,"▲ ","▼ ")&amp;TEXT(ABS(Chart_Data!H49),"0.0%")&amp;" vs FY"&amp;(Dash_Year-1))</f>
        <v>▲ 9.3% vs FY2024</v>
      </c>
      <c r="F9" s="31"/>
      <c r="G9" s="31"/>
      <c r="H9" s="31" t="str">
        <f aca="false">IF(Chart_Data!H50="n/a","First year in model",IF(Chart_Data!H50&gt;=0,"▲ ","▼ ")&amp;TEXT(ABS(Chart_Data!H50),"0.0%")&amp;" vs FY"&amp;(Dash_Year-1))</f>
        <v>▲ 19.0% vs FY2024</v>
      </c>
      <c r="I9" s="31"/>
      <c r="J9" s="31"/>
      <c r="K9" s="31" t="str">
        <f aca="false">IF(Chart_Data!H51="n/a","First year in model",IF(Chart_Data!H51&gt;=0,"▲ ","▼ ")&amp;TEXT(ABS(Chart_Data!H51),"0.0%")&amp;" vs FY"&amp;(Dash_Year-1))</f>
        <v>▲ 28.9% vs FY2024</v>
      </c>
      <c r="L9" s="31"/>
      <c r="M9" s="31"/>
    </row>
    <row r="11" customFormat="false" ht="15" hidden="false" customHeight="false" outlineLevel="0" collapsed="false">
      <c r="B11" s="29" t="s">
        <v>123</v>
      </c>
      <c r="C11" s="29"/>
      <c r="D11" s="29"/>
      <c r="E11" s="29" t="s">
        <v>124</v>
      </c>
      <c r="F11" s="29"/>
      <c r="G11" s="29"/>
      <c r="H11" s="29" t="s">
        <v>125</v>
      </c>
      <c r="I11" s="29"/>
      <c r="J11" s="29"/>
      <c r="K11" s="29" t="s">
        <v>126</v>
      </c>
      <c r="L11" s="29"/>
      <c r="M11" s="29"/>
    </row>
    <row r="12" customFormat="false" ht="27.75" hidden="false" customHeight="true" outlineLevel="0" collapsed="false">
      <c r="B12" s="30" t="n">
        <f aca="false">Chart_Data!F52</f>
        <v>478465</v>
      </c>
      <c r="C12" s="30"/>
      <c r="D12" s="30"/>
      <c r="E12" s="30" t="n">
        <f aca="false">Chart_Data!F53</f>
        <v>244502</v>
      </c>
      <c r="F12" s="30"/>
      <c r="G12" s="30"/>
      <c r="H12" s="30" t="n">
        <f aca="false">Chart_Data!F54</f>
        <v>51252</v>
      </c>
      <c r="I12" s="30"/>
      <c r="J12" s="30"/>
      <c r="K12" s="30" t="n">
        <f aca="false">Chart_Data!F55</f>
        <v>30860</v>
      </c>
      <c r="L12" s="30"/>
      <c r="M12" s="30"/>
    </row>
    <row r="13" customFormat="false" ht="15" hidden="false" customHeight="false" outlineLevel="0" collapsed="false">
      <c r="B13" s="31" t="str">
        <f aca="false">IF(Chart_Data!H52="n/a","First year in model",IF(Chart_Data!H52&gt;=0,"▲ ","▼ ")&amp;TEXT(ABS(Chart_Data!H52),"0.0%")&amp;" vs FY"&amp;(Dash_Year-1))</f>
        <v>▲ 3.6% vs FY2024</v>
      </c>
      <c r="C13" s="31"/>
      <c r="D13" s="31"/>
      <c r="E13" s="31" t="str">
        <f aca="false">IF(Chart_Data!H53="n/a","First year in model",IF(Chart_Data!H53&gt;=0,"▲ ","▼ ")&amp;TEXT(ABS(Chart_Data!H53),"0.0%")&amp;" vs FY"&amp;(Dash_Year-1))</f>
        <v>▲ 12.0% vs FY2024</v>
      </c>
      <c r="F13" s="31"/>
      <c r="G13" s="31"/>
      <c r="H13" s="31" t="str">
        <f aca="false">IF(Chart_Data!H54="n/a","First year in model",IF(Chart_Data!H54&gt;=0,"▲ ","▼ ")&amp;TEXT(ABS(Chart_Data!H54),"0.0%")&amp;" vs FY"&amp;(Dash_Year-1))</f>
        <v>▼ 28.4% vs FY2024</v>
      </c>
      <c r="I13" s="31"/>
      <c r="J13" s="31"/>
      <c r="K13" s="31" t="str">
        <f aca="false">IF(Chart_Data!H55="n/a","First year in model",IF(Chart_Data!H55&gt;=0,"▲ ","▼ ")&amp;TEXT(ABS(Chart_Data!H55),"0.0%")&amp;" vs FY"&amp;(Dash_Year-1))</f>
        <v>▲ 131.2% vs FY2024</v>
      </c>
      <c r="L13" s="31"/>
      <c r="M13" s="31"/>
    </row>
    <row r="80" customFormat="false" ht="15" hidden="false" customHeight="false" outlineLevel="0" collapsed="false">
      <c r="B80" s="12" t="s">
        <v>127</v>
      </c>
      <c r="C80" s="13"/>
      <c r="D80" s="13"/>
      <c r="E80" s="13"/>
      <c r="F80" s="13"/>
      <c r="G80" s="13"/>
      <c r="H80" s="13"/>
      <c r="I80" s="13"/>
      <c r="J80" s="13"/>
      <c r="K80" s="13"/>
      <c r="L80" s="13"/>
      <c r="M80" s="13"/>
    </row>
    <row r="81" customFormat="false" ht="19.5" hidden="false" customHeight="true" outlineLevel="0" collapsed="false">
      <c r="B81" s="32" t="str">
        <f aca="false">"1. Net sales of PHP "&amp;TEXT(Chart_Data!F48/1000,"#,##0.0")&amp;" million "&amp;IF(Chart_Data!H48="n/a","are the first year of the model period.",IF(Chart_Data!H48&gt;=0,"grew ","fell ")&amp;TEXT(ABS(Chart_Data!H48),"0.0%")&amp;" year-on-year.")</f>
        <v>1. Net sales of PHP 972.4 million grew 8.4% year-on-year.</v>
      </c>
      <c r="C81" s="32"/>
      <c r="D81" s="32"/>
      <c r="E81" s="32"/>
      <c r="F81" s="32"/>
      <c r="G81" s="32"/>
      <c r="H81" s="32"/>
      <c r="I81" s="32"/>
      <c r="J81" s="32"/>
      <c r="K81" s="32"/>
      <c r="L81" s="32"/>
      <c r="M81" s="32"/>
    </row>
    <row r="82" customFormat="false" ht="19.5" hidden="false" customHeight="true" outlineLevel="0" collapsed="false">
      <c r="B82" s="32" t="str">
        <f aca="false">"2. Margins: gross "&amp;TEXT(INDEX(Ratio_Analysis!$D$7:$F$7,MATCH(Dash_Year,Ratio_Analysis!$D$5:$F$5,0)),"0.0%")&amp;", EBITDA "&amp;TEXT(INDEX(Ratio_Analysis!$D$8:$F$8,MATCH(Dash_Year,Ratio_Analysis!$D$5:$F$5,0)),"0.0%")&amp;", net "&amp;TEXT(INDEX(Ratio_Analysis!$D$10:$F$10,MATCH(Dash_Year,Ratio_Analysis!$D$5:$F$5,0)),"0.0%")&amp;"; return on equity "&amp;TEXT(INDEX(Ratio_Analysis!$D$12:$F$12,MATCH(Dash_Year,Ratio_Analysis!$D$5:$F$5,0)),"0.0%")&amp;"."</f>
        <v>2. Margins: gross 25.7%, EBITDA 8.4%, net 3.8%; return on equity 16.2%.</v>
      </c>
      <c r="C82" s="32"/>
      <c r="D82" s="32"/>
      <c r="E82" s="32"/>
      <c r="F82" s="32"/>
      <c r="G82" s="32"/>
      <c r="H82" s="32"/>
      <c r="I82" s="32"/>
      <c r="J82" s="32"/>
      <c r="K82" s="32"/>
      <c r="L82" s="32"/>
      <c r="M82" s="32"/>
    </row>
    <row r="83" customFormat="false" ht="19.5" hidden="false" customHeight="true" outlineLevel="0" collapsed="false">
      <c r="B83" s="32" t="str">
        <f aca="false">"3. Liquidity and leverage: current ratio "&amp;TEXT(INDEX(Ratio_Analysis!$D$16:$F$16,MATCH(Dash_Year,Ratio_Analysis!$D$5:$F$5,0)),"0.00")&amp;"x, borrowings-to-equity "&amp;TEXT(INDEX(Ratio_Analysis!$D$24:$F$24,MATCH(Dash_Year,Ratio_Analysis!$D$5:$F$5,0)),"0.00")&amp;"x, interest cover "&amp;TEXT(INDEX(Ratio_Analysis!$D$28:$F$28,MATCH(Dash_Year,Ratio_Analysis!$D$5:$F$5,0)),"0.0")&amp;"x, net debt "&amp;TEXT(INDEX(Ratio_Analysis!$D$30:$F$30,MATCH(Dash_Year,Ratio_Analysis!$D$5:$F$5,0)),"0.0")&amp;"x EBITDA."</f>
        <v>3. Liquidity and leverage: current ratio 1.76x, borrowings-to-equity 0.54x, interest cover 5.2x, net debt 0.6x EBITDA.</v>
      </c>
      <c r="C83" s="32"/>
      <c r="D83" s="32"/>
      <c r="E83" s="32"/>
      <c r="F83" s="32"/>
      <c r="G83" s="32"/>
      <c r="H83" s="32"/>
      <c r="I83" s="32"/>
      <c r="J83" s="32"/>
      <c r="K83" s="32"/>
      <c r="L83" s="32"/>
      <c r="M83" s="32"/>
    </row>
    <row r="84" customFormat="false" ht="19.5" hidden="false" customHeight="true" outlineLevel="0" collapsed="false">
      <c r="B84" s="32" t="str">
        <f aca="false">"4. Cash: operating cash flow converts "&amp;TEXT(INDEX(Ratio_Analysis!$D$47:$F$47,MATCH(Dash_Year,Ratio_Analysis!$D$5:$F$5,0)),"0%")&amp;" of net profit; free cash flow is PHP "&amp;TEXT(Chart_Data!F55/1000,"#,##0.0")&amp;" million."</f>
        <v>4. Cash: operating cash flow converts 154% of net profit; free cash flow is PHP 30.9 million.</v>
      </c>
      <c r="C84" s="32"/>
      <c r="D84" s="32"/>
      <c r="E84" s="32"/>
      <c r="F84" s="32"/>
      <c r="G84" s="32"/>
      <c r="H84" s="32"/>
      <c r="I84" s="32"/>
      <c r="J84" s="32"/>
      <c r="K84" s="32"/>
      <c r="L84" s="32"/>
      <c r="M84" s="32"/>
    </row>
    <row r="85" customFormat="false" ht="19.5" hidden="false" customHeight="true" outlineLevel="0" collapsed="false">
      <c r="B85" s="32" t="str">
        <f aca="false">"5. Largest category: "&amp;INDEX(Chart_Data!B19:B22,MATCH(MAX(Chart_Data!C19:C22),Chart_Data!C19:C22,0))&amp;" at "&amp;TEXT(MAX(Chart_Data!C19:C22)/SUM(Chart_Data!C19:C22),"0%")&amp;" of net sales."</f>
        <v>5. Largest category: Packaged Food at 39% of net sales.</v>
      </c>
      <c r="C85" s="32"/>
      <c r="D85" s="32"/>
      <c r="E85" s="32"/>
      <c r="F85" s="32"/>
      <c r="G85" s="32"/>
      <c r="H85" s="32"/>
      <c r="I85" s="32"/>
      <c r="J85" s="32"/>
      <c r="K85" s="32"/>
      <c r="L85" s="32"/>
      <c r="M85" s="32"/>
    </row>
  </sheetData>
  <mergeCells count="30">
    <mergeCell ref="F5:J5"/>
    <mergeCell ref="B7:D7"/>
    <mergeCell ref="E7:G7"/>
    <mergeCell ref="H7:J7"/>
    <mergeCell ref="K7:M7"/>
    <mergeCell ref="B8:D8"/>
    <mergeCell ref="E8:G8"/>
    <mergeCell ref="H8:J8"/>
    <mergeCell ref="K8:M8"/>
    <mergeCell ref="B9:D9"/>
    <mergeCell ref="E9:G9"/>
    <mergeCell ref="H9:J9"/>
    <mergeCell ref="K9:M9"/>
    <mergeCell ref="B11:D11"/>
    <mergeCell ref="E11:G11"/>
    <mergeCell ref="H11:J11"/>
    <mergeCell ref="K11:M11"/>
    <mergeCell ref="B12:D12"/>
    <mergeCell ref="E12:G12"/>
    <mergeCell ref="H12:J12"/>
    <mergeCell ref="K12:M12"/>
    <mergeCell ref="B13:D13"/>
    <mergeCell ref="E13:G13"/>
    <mergeCell ref="H13:J13"/>
    <mergeCell ref="K13:M13"/>
    <mergeCell ref="B81:M81"/>
    <mergeCell ref="B82:M82"/>
    <mergeCell ref="B83:M83"/>
    <mergeCell ref="B84:M84"/>
    <mergeCell ref="B85:M85"/>
  </mergeCells>
  <conditionalFormatting sqref="F5">
    <cfRule type="expression" priority="2" aboveAverage="0" equalAverage="0" bottom="0" percent="0" rank="0" text="" dxfId="0">
      <formula>LEFT(F5,1)="✔"</formula>
    </cfRule>
    <cfRule type="expression" priority="3" aboveAverage="0" equalAverage="0" bottom="0" percent="0" rank="0" text="" dxfId="1">
      <formula>LEFT(F5,1)="✖"</formula>
    </cfRule>
  </conditionalFormatting>
  <conditionalFormatting sqref="B9">
    <cfRule type="expression" priority="4" aboveAverage="0" equalAverage="0" bottom="0" percent="0" rank="0" text="" dxfId="2">
      <formula>LEFT(B9,1)="▲"</formula>
    </cfRule>
    <cfRule type="expression" priority="5" aboveAverage="0" equalAverage="0" bottom="0" percent="0" rank="0" text="" dxfId="3">
      <formula>LEFT(B9,1)="▼"</formula>
    </cfRule>
  </conditionalFormatting>
  <conditionalFormatting sqref="E9">
    <cfRule type="expression" priority="6" aboveAverage="0" equalAverage="0" bottom="0" percent="0" rank="0" text="" dxfId="2">
      <formula>LEFT(E9,1)="▲"</formula>
    </cfRule>
    <cfRule type="expression" priority="7" aboveAverage="0" equalAverage="0" bottom="0" percent="0" rank="0" text="" dxfId="3">
      <formula>LEFT(E9,1)="▼"</formula>
    </cfRule>
  </conditionalFormatting>
  <conditionalFormatting sqref="H9">
    <cfRule type="expression" priority="8" aboveAverage="0" equalAverage="0" bottom="0" percent="0" rank="0" text="" dxfId="2">
      <formula>LEFT(H9,1)="▲"</formula>
    </cfRule>
    <cfRule type="expression" priority="9" aboveAverage="0" equalAverage="0" bottom="0" percent="0" rank="0" text="" dxfId="3">
      <formula>LEFT(H9,1)="▼"</formula>
    </cfRule>
  </conditionalFormatting>
  <conditionalFormatting sqref="K9">
    <cfRule type="expression" priority="10" aboveAverage="0" equalAverage="0" bottom="0" percent="0" rank="0" text="" dxfId="2">
      <formula>LEFT(K9,1)="▲"</formula>
    </cfRule>
    <cfRule type="expression" priority="11" aboveAverage="0" equalAverage="0" bottom="0" percent="0" rank="0" text="" dxfId="3">
      <formula>LEFT(K9,1)="▼"</formula>
    </cfRule>
  </conditionalFormatting>
  <conditionalFormatting sqref="B13">
    <cfRule type="expression" priority="12" aboveAverage="0" equalAverage="0" bottom="0" percent="0" rank="0" text="" dxfId="2">
      <formula>LEFT(B13,1)="▲"</formula>
    </cfRule>
    <cfRule type="expression" priority="13" aboveAverage="0" equalAverage="0" bottom="0" percent="0" rank="0" text="" dxfId="3">
      <formula>LEFT(B13,1)="▼"</formula>
    </cfRule>
  </conditionalFormatting>
  <conditionalFormatting sqref="E13">
    <cfRule type="expression" priority="14" aboveAverage="0" equalAverage="0" bottom="0" percent="0" rank="0" text="" dxfId="2">
      <formula>LEFT(E13,1)="▲"</formula>
    </cfRule>
    <cfRule type="expression" priority="15" aboveAverage="0" equalAverage="0" bottom="0" percent="0" rank="0" text="" dxfId="3">
      <formula>LEFT(E13,1)="▼"</formula>
    </cfRule>
  </conditionalFormatting>
  <conditionalFormatting sqref="H13">
    <cfRule type="expression" priority="16" aboveAverage="0" equalAverage="0" bottom="0" percent="0" rank="0" text="" dxfId="3">
      <formula>LEFT(H13,1)="▲"</formula>
    </cfRule>
    <cfRule type="expression" priority="17" aboveAverage="0" equalAverage="0" bottom="0" percent="0" rank="0" text="" dxfId="2">
      <formula>LEFT(H13,1)="▼"</formula>
    </cfRule>
  </conditionalFormatting>
  <conditionalFormatting sqref="K13">
    <cfRule type="expression" priority="18" aboveAverage="0" equalAverage="0" bottom="0" percent="0" rank="0" text="" dxfId="2">
      <formula>LEFT(K13,1)="▲"</formula>
    </cfRule>
    <cfRule type="expression" priority="19" aboveAverage="0" equalAverage="0" bottom="0" percent="0" rank="0" text="" dxfId="3">
      <formula>LEFT(K13,1)="▼"</formula>
    </cfRule>
  </conditionalFormatting>
  <dataValidations count="1">
    <dataValidation allowBlank="false" errorStyle="stop" operator="between" showDropDown="false" showErrorMessage="true" showInputMessage="false" sqref="C5" type="list">
      <formula1>FY_List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7DB1"/>
    <pageSetUpPr fitToPage="true"/>
  </sheetPr>
  <dimension ref="B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3" min="3" style="0" width="2"/>
    <col collapsed="false" customWidth="true" hidden="false" outlineLevel="0" max="6" min="4" style="0" width="15"/>
    <col collapsed="false" customWidth="true" hidden="false" outlineLevel="0" max="7" min="7" style="0" width="10"/>
  </cols>
  <sheetData>
    <row r="1" customFormat="false" ht="24" hidden="false" customHeight="true" outlineLevel="0" collapsed="false">
      <c r="B1" s="17" t="s">
        <v>128</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18" t="s">
        <v>129</v>
      </c>
    </row>
    <row r="5" customFormat="false" ht="24" hidden="false" customHeight="true" outlineLevel="0" collapsed="false">
      <c r="B5" s="33" t="s">
        <v>130</v>
      </c>
      <c r="C5" s="34"/>
      <c r="D5" s="35" t="n">
        <f aca="false">Inputs!D$22</f>
        <v>2023</v>
      </c>
      <c r="E5" s="35" t="n">
        <f aca="false">Inputs!E$22</f>
        <v>2024</v>
      </c>
      <c r="F5" s="35" t="n">
        <f aca="false">Inputs!F$22</f>
        <v>2025</v>
      </c>
      <c r="G5" s="36" t="s">
        <v>131</v>
      </c>
    </row>
    <row r="6" customFormat="false" ht="15" hidden="false" customHeight="false" outlineLevel="0" collapsed="false">
      <c r="B6" s="12" t="s">
        <v>132</v>
      </c>
      <c r="C6" s="13"/>
      <c r="D6" s="13"/>
      <c r="E6" s="13"/>
      <c r="F6" s="13"/>
      <c r="G6" s="13"/>
    </row>
    <row r="7" customFormat="false" ht="15" hidden="false" customHeight="false" outlineLevel="0" collapsed="false">
      <c r="B7" s="8" t="s">
        <v>133</v>
      </c>
      <c r="D7" s="37" t="n">
        <f aca="false">SUMIFS(Sales_Net,Sales_Year,D$5)</f>
        <v>821118</v>
      </c>
      <c r="E7" s="37" t="n">
        <f aca="false">SUMIFS(Sales_Net,Sales_Year,E$5)</f>
        <v>897238</v>
      </c>
      <c r="F7" s="37" t="n">
        <f aca="false">SUMIFS(Sales_Net,Sales_Year,F$5)</f>
        <v>972442</v>
      </c>
      <c r="G7" s="38" t="s">
        <v>134</v>
      </c>
    </row>
    <row r="8" customFormat="false" ht="15" hidden="false" customHeight="false" outlineLevel="0" collapsed="false">
      <c r="B8" s="39" t="s">
        <v>135</v>
      </c>
      <c r="D8" s="40" t="n">
        <f aca="false">-SUMIFS(Sales_COGS,Sales_Year,D$5)</f>
        <v>-613977</v>
      </c>
      <c r="E8" s="40" t="n">
        <f aca="false">-SUMIFS(Sales_COGS,Sales_Year,E$5)</f>
        <v>-668558</v>
      </c>
      <c r="F8" s="40" t="n">
        <f aca="false">-SUMIFS(Sales_COGS,Sales_Year,F$5)</f>
        <v>-722548</v>
      </c>
      <c r="G8" s="38" t="s">
        <v>136</v>
      </c>
    </row>
    <row r="9" customFormat="false" ht="15" hidden="false" customHeight="false" outlineLevel="0" collapsed="false">
      <c r="B9" s="41" t="s">
        <v>137</v>
      </c>
      <c r="C9" s="42"/>
      <c r="D9" s="43" t="n">
        <f aca="false">SUM(D7:D8)</f>
        <v>207141</v>
      </c>
      <c r="E9" s="43" t="n">
        <f aca="false">SUM(E7:E8)</f>
        <v>228680</v>
      </c>
      <c r="F9" s="43" t="n">
        <f aca="false">SUM(F7:F8)</f>
        <v>249894</v>
      </c>
    </row>
    <row r="10" customFormat="false" ht="15" hidden="false" customHeight="false" outlineLevel="0" collapsed="false">
      <c r="B10" s="39" t="s">
        <v>138</v>
      </c>
      <c r="D10" s="40" t="n">
        <f aca="false">-SUMIFS(Exp_Amt,Exp_Year,D$5,Exp_Func,Func_SD)</f>
        <v>-93216</v>
      </c>
      <c r="E10" s="40" t="n">
        <f aca="false">-SUMIFS(Exp_Amt,Exp_Year,E$5,Exp_Func,Func_SD)</f>
        <v>-99930</v>
      </c>
      <c r="F10" s="40" t="n">
        <f aca="false">-SUMIFS(Exp_Amt,Exp_Year,F$5,Exp_Func,Func_SD)</f>
        <v>-106077</v>
      </c>
      <c r="G10" s="38" t="s">
        <v>136</v>
      </c>
    </row>
    <row r="11" customFormat="false" ht="15" hidden="false" customHeight="false" outlineLevel="0" collapsed="false">
      <c r="B11" s="39" t="s">
        <v>139</v>
      </c>
      <c r="D11" s="40" t="n">
        <f aca="false">-SUMIFS(Exp_Amt,Exp_Year,D$5,Exp_Func,Func_GA)</f>
        <v>-58315</v>
      </c>
      <c r="E11" s="40" t="n">
        <f aca="false">-SUMIFS(Exp_Amt,Exp_Year,E$5,Exp_Func,Func_GA)</f>
        <v>-61197</v>
      </c>
      <c r="F11" s="40" t="n">
        <f aca="false">-SUMIFS(Exp_Amt,Exp_Year,F$5,Exp_Func,Func_GA)</f>
        <v>-63827</v>
      </c>
      <c r="G11" s="38" t="s">
        <v>136</v>
      </c>
    </row>
    <row r="12" customFormat="false" ht="15" hidden="false" customHeight="false" outlineLevel="0" collapsed="false">
      <c r="B12" s="39" t="s">
        <v>92</v>
      </c>
      <c r="D12" s="40" t="n">
        <f aca="false">-Schedules!D62</f>
        <v>-17389</v>
      </c>
      <c r="E12" s="40" t="n">
        <f aca="false">-Schedules!E62</f>
        <v>-19250</v>
      </c>
      <c r="F12" s="40" t="n">
        <f aca="false">-Schedules!F62</f>
        <v>-21257</v>
      </c>
      <c r="G12" s="38" t="s">
        <v>140</v>
      </c>
    </row>
    <row r="13" customFormat="false" ht="15" hidden="false" customHeight="false" outlineLevel="0" collapsed="false">
      <c r="B13" s="41" t="s">
        <v>141</v>
      </c>
      <c r="C13" s="42"/>
      <c r="D13" s="43" t="n">
        <f aca="false">SUM(D9:D12)</f>
        <v>38221</v>
      </c>
      <c r="E13" s="43" t="n">
        <f aca="false">SUM(E9:E12)</f>
        <v>48303</v>
      </c>
      <c r="F13" s="43" t="n">
        <f aca="false">SUM(F9:F12)</f>
        <v>58733</v>
      </c>
    </row>
    <row r="14" customFormat="false" ht="15" hidden="false" customHeight="false" outlineLevel="0" collapsed="false">
      <c r="B14" s="39" t="s">
        <v>142</v>
      </c>
      <c r="D14" s="44" t="n">
        <f aca="false">Schedules!D67</f>
        <v>400</v>
      </c>
      <c r="E14" s="44" t="n">
        <f aca="false">Schedules!E67</f>
        <v>-150</v>
      </c>
      <c r="F14" s="44" t="n">
        <f aca="false">Schedules!F67</f>
        <v>350</v>
      </c>
    </row>
    <row r="15" customFormat="false" ht="15" hidden="false" customHeight="false" outlineLevel="0" collapsed="false">
      <c r="B15" s="39" t="s">
        <v>143</v>
      </c>
      <c r="D15" s="44" t="n">
        <f aca="false">Inputs!D27</f>
        <v>1350</v>
      </c>
      <c r="E15" s="44" t="n">
        <f aca="false">Inputs!E27</f>
        <v>1520</v>
      </c>
      <c r="F15" s="44" t="n">
        <f aca="false">Inputs!F27</f>
        <v>1700</v>
      </c>
    </row>
    <row r="16" customFormat="false" ht="15" hidden="false" customHeight="false" outlineLevel="0" collapsed="false">
      <c r="B16" s="39" t="s">
        <v>144</v>
      </c>
      <c r="D16" s="44" t="n">
        <f aca="false">Schedules!D91</f>
        <v>775</v>
      </c>
      <c r="E16" s="44" t="n">
        <f aca="false">Schedules!E91</f>
        <v>873</v>
      </c>
      <c r="F16" s="44" t="n">
        <f aca="false">Schedules!F91</f>
        <v>1207</v>
      </c>
    </row>
    <row r="17" customFormat="false" ht="15" hidden="false" customHeight="false" outlineLevel="0" collapsed="false">
      <c r="B17" s="39" t="s">
        <v>145</v>
      </c>
      <c r="D17" s="40" t="n">
        <f aca="false">-Schedules!D90</f>
        <v>-10421</v>
      </c>
      <c r="E17" s="40" t="n">
        <f aca="false">-Schedules!E90</f>
        <v>-11475</v>
      </c>
      <c r="F17" s="40" t="n">
        <f aca="false">-Schedules!F90</f>
        <v>-11696</v>
      </c>
      <c r="G17" s="38" t="s">
        <v>146</v>
      </c>
    </row>
    <row r="18" customFormat="false" ht="15" hidden="false" customHeight="false" outlineLevel="0" collapsed="false">
      <c r="B18" s="41" t="s">
        <v>147</v>
      </c>
      <c r="C18" s="42"/>
      <c r="D18" s="43" t="n">
        <f aca="false">SUM(D13:D17)</f>
        <v>30325</v>
      </c>
      <c r="E18" s="43" t="n">
        <f aca="false">SUM(E13:E17)</f>
        <v>39071</v>
      </c>
      <c r="F18" s="43" t="n">
        <f aca="false">SUM(F13:F17)</f>
        <v>50294</v>
      </c>
    </row>
    <row r="19" customFormat="false" ht="15" hidden="false" customHeight="false" outlineLevel="0" collapsed="false">
      <c r="B19" s="39" t="s">
        <v>148</v>
      </c>
      <c r="D19" s="40" t="n">
        <f aca="false">-Schedules!D103</f>
        <v>-7843</v>
      </c>
      <c r="E19" s="40" t="n">
        <f aca="false">-Schedules!E103</f>
        <v>-10062</v>
      </c>
      <c r="F19" s="40" t="n">
        <f aca="false">-Schedules!F103</f>
        <v>-12888</v>
      </c>
      <c r="G19" s="38" t="s">
        <v>149</v>
      </c>
    </row>
    <row r="20" customFormat="false" ht="15" hidden="false" customHeight="false" outlineLevel="0" collapsed="false">
      <c r="B20" s="45" t="s">
        <v>150</v>
      </c>
      <c r="C20" s="46"/>
      <c r="D20" s="47" t="n">
        <f aca="false">SUM(D18:D19)</f>
        <v>22482</v>
      </c>
      <c r="E20" s="47" t="n">
        <f aca="false">SUM(E18:E19)</f>
        <v>29009</v>
      </c>
      <c r="F20" s="47" t="n">
        <f aca="false">SUM(F18:F19)</f>
        <v>37406</v>
      </c>
    </row>
    <row r="22" customFormat="false" ht="15" hidden="false" customHeight="false" outlineLevel="0" collapsed="false">
      <c r="B22" s="12" t="s">
        <v>151</v>
      </c>
      <c r="C22" s="13"/>
      <c r="D22" s="13"/>
      <c r="E22" s="13"/>
      <c r="F22" s="13"/>
      <c r="G22" s="13"/>
    </row>
    <row r="23" customFormat="false" ht="15" hidden="false" customHeight="false" outlineLevel="0" collapsed="false">
      <c r="B23" s="39" t="s">
        <v>152</v>
      </c>
      <c r="D23" s="40" t="n">
        <f aca="false">SUM(D13:D15)</f>
        <v>39971</v>
      </c>
      <c r="E23" s="40" t="n">
        <f aca="false">SUM(E13:E15)</f>
        <v>49673</v>
      </c>
      <c r="F23" s="40" t="n">
        <f aca="false">SUM(F13:F15)</f>
        <v>60783</v>
      </c>
    </row>
    <row r="24" customFormat="false" ht="15" hidden="false" customHeight="false" outlineLevel="0" collapsed="false">
      <c r="B24" s="8" t="s">
        <v>121</v>
      </c>
      <c r="D24" s="37" t="n">
        <f aca="false">D23-D12</f>
        <v>57360</v>
      </c>
      <c r="E24" s="37" t="n">
        <f aca="false">E23-E12</f>
        <v>68923</v>
      </c>
      <c r="F24" s="37" t="n">
        <f aca="false">F23-F12</f>
        <v>82040</v>
      </c>
    </row>
    <row r="25" customFormat="false" ht="15" hidden="false" customHeight="false" outlineLevel="0" collapsed="false">
      <c r="B25" s="39" t="s">
        <v>153</v>
      </c>
      <c r="D25" s="40" t="n">
        <f aca="false">-SUM(D10:D12)</f>
        <v>168920</v>
      </c>
      <c r="E25" s="40" t="n">
        <f aca="false">-SUM(E10:E12)</f>
        <v>180377</v>
      </c>
      <c r="F25" s="40" t="n">
        <f aca="false">-SUM(F10:F12)</f>
        <v>191161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7DB1"/>
    <pageSetUpPr fitToPage="true"/>
  </sheetPr>
  <dimension ref="B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6" min="3" style="0" width="15"/>
    <col collapsed="false" customWidth="true" hidden="false" outlineLevel="0" max="7" min="7" style="0" width="10"/>
  </cols>
  <sheetData>
    <row r="1" customFormat="false" ht="24" hidden="false" customHeight="true" outlineLevel="0" collapsed="false">
      <c r="B1" s="17" t="s">
        <v>154</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18" t="s">
        <v>155</v>
      </c>
    </row>
    <row r="5" customFormat="false" ht="24" hidden="false" customHeight="true" outlineLevel="0" collapsed="false">
      <c r="B5" s="33" t="s">
        <v>130</v>
      </c>
      <c r="C5" s="35" t="n">
        <f aca="false">Inputs!C$22</f>
        <v>2022</v>
      </c>
      <c r="D5" s="35" t="n">
        <f aca="false">Inputs!D$22</f>
        <v>2023</v>
      </c>
      <c r="E5" s="35" t="n">
        <f aca="false">Inputs!E$22</f>
        <v>2024</v>
      </c>
      <c r="F5" s="35" t="n">
        <f aca="false">Inputs!F$22</f>
        <v>2025</v>
      </c>
      <c r="G5" s="36" t="s">
        <v>131</v>
      </c>
    </row>
    <row r="6" customFormat="false" ht="15" hidden="false" customHeight="false" outlineLevel="0" collapsed="false">
      <c r="B6" s="12" t="s">
        <v>156</v>
      </c>
      <c r="C6" s="13"/>
      <c r="D6" s="13"/>
      <c r="E6" s="13"/>
      <c r="F6" s="13"/>
      <c r="G6" s="13"/>
    </row>
    <row r="7" customFormat="false" ht="15" hidden="false" customHeight="false" outlineLevel="0" collapsed="false">
      <c r="B7" s="48" t="s">
        <v>157</v>
      </c>
    </row>
    <row r="8" customFormat="false" ht="15" hidden="false" customHeight="false" outlineLevel="0" collapsed="false">
      <c r="B8" s="39" t="s">
        <v>158</v>
      </c>
      <c r="C8" s="44" t="n">
        <f aca="false">Inputs!C38</f>
        <v>62000</v>
      </c>
      <c r="D8" s="44" t="n">
        <f aca="false">Cash_Flow!D40</f>
        <v>58216</v>
      </c>
      <c r="E8" s="44" t="n">
        <f aca="false">Cash_Flow!E40</f>
        <v>80460</v>
      </c>
      <c r="F8" s="44" t="n">
        <f aca="false">Cash_Flow!F40</f>
        <v>81748</v>
      </c>
      <c r="G8" s="38" t="s">
        <v>159</v>
      </c>
    </row>
    <row r="9" customFormat="false" ht="15" hidden="false" customHeight="false" outlineLevel="0" collapsed="false">
      <c r="B9" s="39" t="s">
        <v>160</v>
      </c>
      <c r="C9" s="44" t="n">
        <f aca="false">Schedules!C73</f>
        <v>71000</v>
      </c>
      <c r="D9" s="44" t="n">
        <f aca="false">Schedules!D73</f>
        <v>80987</v>
      </c>
      <c r="E9" s="44" t="n">
        <f aca="false">Schedules!E73</f>
        <v>88495</v>
      </c>
      <c r="F9" s="44" t="n">
        <f aca="false">Schedules!F73</f>
        <v>93248</v>
      </c>
      <c r="G9" s="38" t="s">
        <v>161</v>
      </c>
    </row>
    <row r="10" customFormat="false" ht="15" hidden="false" customHeight="false" outlineLevel="0" collapsed="false">
      <c r="B10" s="39" t="s">
        <v>162</v>
      </c>
      <c r="C10" s="44" t="n">
        <f aca="false">Schedules!C74</f>
        <v>74500</v>
      </c>
      <c r="D10" s="44" t="n">
        <f aca="false">Schedules!D74</f>
        <v>75696</v>
      </c>
      <c r="E10" s="44" t="n">
        <f aca="false">Schedules!E74</f>
        <v>80593</v>
      </c>
      <c r="F10" s="44" t="n">
        <f aca="false">Schedules!F74</f>
        <v>85122</v>
      </c>
      <c r="G10" s="38" t="s">
        <v>163</v>
      </c>
    </row>
    <row r="11" customFormat="false" ht="15" hidden="false" customHeight="false" outlineLevel="0" collapsed="false">
      <c r="B11" s="39" t="s">
        <v>164</v>
      </c>
      <c r="C11" s="44" t="n">
        <f aca="false">Schedules!C75</f>
        <v>11200</v>
      </c>
      <c r="D11" s="44" t="n">
        <f aca="false">Schedules!D75</f>
        <v>11365</v>
      </c>
      <c r="E11" s="44" t="n">
        <f aca="false">Schedules!E75</f>
        <v>12085</v>
      </c>
      <c r="F11" s="44" t="n">
        <f aca="false">Schedules!F75</f>
        <v>12743</v>
      </c>
    </row>
    <row r="12" customFormat="false" ht="15" hidden="false" customHeight="false" outlineLevel="0" collapsed="false">
      <c r="B12" s="41" t="s">
        <v>165</v>
      </c>
      <c r="C12" s="43" t="n">
        <f aca="false">SUM(C8:C11)</f>
        <v>218700</v>
      </c>
      <c r="D12" s="43" t="n">
        <f aca="false">SUM(D8:D11)</f>
        <v>226264</v>
      </c>
      <c r="E12" s="43" t="n">
        <f aca="false">SUM(E8:E11)</f>
        <v>261633</v>
      </c>
      <c r="F12" s="43" t="n">
        <f aca="false">SUM(F8:F11)</f>
        <v>272861</v>
      </c>
    </row>
    <row r="13" customFormat="false" ht="15" hidden="false" customHeight="false" outlineLevel="0" collapsed="false">
      <c r="B13" s="48" t="s">
        <v>166</v>
      </c>
    </row>
    <row r="14" customFormat="false" ht="15" hidden="false" customHeight="false" outlineLevel="0" collapsed="false">
      <c r="B14" s="39" t="s">
        <v>167</v>
      </c>
      <c r="C14" s="44" t="n">
        <f aca="false">Schedules!C60</f>
        <v>174700</v>
      </c>
      <c r="D14" s="44" t="n">
        <f aca="false">Schedules!D60</f>
        <v>178711</v>
      </c>
      <c r="E14" s="44" t="n">
        <f aca="false">Schedules!E60</f>
        <v>189761</v>
      </c>
      <c r="F14" s="44" t="n">
        <f aca="false">Schedules!F60</f>
        <v>194504</v>
      </c>
      <c r="G14" s="38" t="s">
        <v>140</v>
      </c>
    </row>
    <row r="15" customFormat="false" ht="15" hidden="false" customHeight="false" outlineLevel="0" collapsed="false">
      <c r="B15" s="39" t="s">
        <v>168</v>
      </c>
      <c r="C15" s="44" t="n">
        <f aca="false">Inputs!C50</f>
        <v>9800</v>
      </c>
      <c r="D15" s="44" t="n">
        <f aca="false">Inputs!D50</f>
        <v>10200</v>
      </c>
      <c r="E15" s="44" t="n">
        <f aca="false">Inputs!E50</f>
        <v>10500</v>
      </c>
      <c r="F15" s="44" t="n">
        <f aca="false">Inputs!F50</f>
        <v>11100</v>
      </c>
    </row>
    <row r="16" customFormat="false" ht="15" hidden="false" customHeight="false" outlineLevel="0" collapsed="false">
      <c r="B16" s="41" t="s">
        <v>169</v>
      </c>
      <c r="C16" s="43" t="n">
        <f aca="false">SUM(C14:C15)</f>
        <v>184500</v>
      </c>
      <c r="D16" s="43" t="n">
        <f aca="false">SUM(D14:D15)</f>
        <v>188911</v>
      </c>
      <c r="E16" s="43" t="n">
        <f aca="false">SUM(E14:E15)</f>
        <v>200261</v>
      </c>
      <c r="F16" s="43" t="n">
        <f aca="false">SUM(F14:F15)</f>
        <v>205604</v>
      </c>
    </row>
    <row r="17" customFormat="false" ht="15" hidden="false" customHeight="false" outlineLevel="0" collapsed="false">
      <c r="B17" s="45" t="s">
        <v>123</v>
      </c>
      <c r="C17" s="47" t="n">
        <f aca="false">C12+C16</f>
        <v>403200</v>
      </c>
      <c r="D17" s="47" t="n">
        <f aca="false">D12+D16</f>
        <v>415175</v>
      </c>
      <c r="E17" s="47" t="n">
        <f aca="false">E12+E16</f>
        <v>461894</v>
      </c>
      <c r="F17" s="47" t="n">
        <f aca="false">F12+F16</f>
        <v>478465</v>
      </c>
    </row>
    <row r="19" customFormat="false" ht="15" hidden="false" customHeight="false" outlineLevel="0" collapsed="false">
      <c r="B19" s="12" t="s">
        <v>170</v>
      </c>
      <c r="C19" s="13"/>
      <c r="D19" s="13"/>
      <c r="E19" s="13"/>
      <c r="F19" s="13"/>
      <c r="G19" s="13"/>
    </row>
    <row r="20" customFormat="false" ht="15" hidden="false" customHeight="false" outlineLevel="0" collapsed="false">
      <c r="B20" s="48" t="s">
        <v>171</v>
      </c>
    </row>
    <row r="21" customFormat="false" ht="15" hidden="false" customHeight="false" outlineLevel="0" collapsed="false">
      <c r="B21" s="39" t="s">
        <v>172</v>
      </c>
      <c r="C21" s="44" t="n">
        <f aca="false">Schedules!C76</f>
        <v>62300</v>
      </c>
      <c r="D21" s="44" t="n">
        <f aca="false">Schedules!D76</f>
        <v>67285</v>
      </c>
      <c r="E21" s="44" t="n">
        <f aca="false">Schedules!E76</f>
        <v>75098</v>
      </c>
      <c r="F21" s="44" t="n">
        <f aca="false">Schedules!F76</f>
        <v>83143</v>
      </c>
    </row>
    <row r="22" customFormat="false" ht="15" hidden="false" customHeight="false" outlineLevel="0" collapsed="false">
      <c r="B22" s="39" t="s">
        <v>173</v>
      </c>
      <c r="C22" s="44" t="n">
        <f aca="false">Schedules!C77</f>
        <v>13400</v>
      </c>
      <c r="D22" s="44" t="n">
        <f aca="false">Schedules!D77</f>
        <v>13638</v>
      </c>
      <c r="E22" s="44" t="n">
        <f aca="false">Schedules!E77</f>
        <v>14501</v>
      </c>
      <c r="F22" s="44" t="n">
        <f aca="false">Schedules!F77</f>
        <v>15291</v>
      </c>
    </row>
    <row r="23" customFormat="false" ht="15" hidden="false" customHeight="false" outlineLevel="0" collapsed="false">
      <c r="B23" s="39" t="s">
        <v>174</v>
      </c>
      <c r="C23" s="44" t="n">
        <f aca="false">Schedules!C105</f>
        <v>2800</v>
      </c>
      <c r="D23" s="44" t="n">
        <f aca="false">Schedules!D105</f>
        <v>1691</v>
      </c>
      <c r="E23" s="44" t="n">
        <f aca="false">Schedules!E105</f>
        <v>1977</v>
      </c>
      <c r="F23" s="44" t="n">
        <f aca="false">Schedules!F105</f>
        <v>2529</v>
      </c>
      <c r="G23" s="38" t="s">
        <v>149</v>
      </c>
    </row>
    <row r="24" customFormat="false" ht="15" hidden="false" customHeight="false" outlineLevel="0" collapsed="false">
      <c r="B24" s="39" t="s">
        <v>175</v>
      </c>
      <c r="C24" s="44" t="n">
        <f aca="false">Schedules!C80</f>
        <v>45000</v>
      </c>
      <c r="D24" s="44" t="n">
        <f aca="false">Schedules!D80</f>
        <v>48000</v>
      </c>
      <c r="E24" s="44" t="n">
        <f aca="false">Schedules!E80</f>
        <v>42000</v>
      </c>
      <c r="F24" s="44" t="n">
        <f aca="false">Schedules!F80</f>
        <v>38000</v>
      </c>
      <c r="G24" s="38" t="s">
        <v>146</v>
      </c>
    </row>
    <row r="25" customFormat="false" ht="15" hidden="false" customHeight="false" outlineLevel="0" collapsed="false">
      <c r="B25" s="39" t="s">
        <v>176</v>
      </c>
      <c r="C25" s="44" t="n">
        <f aca="false">Schedules!C85</f>
        <v>12000</v>
      </c>
      <c r="D25" s="44" t="n">
        <f aca="false">Schedules!D85</f>
        <v>13000</v>
      </c>
      <c r="E25" s="44" t="n">
        <f aca="false">Schedules!E85</f>
        <v>15000</v>
      </c>
      <c r="F25" s="44" t="n">
        <f aca="false">Schedules!F85</f>
        <v>16500</v>
      </c>
      <c r="G25" s="38" t="s">
        <v>146</v>
      </c>
    </row>
    <row r="26" customFormat="false" ht="15" hidden="false" customHeight="false" outlineLevel="0" collapsed="false">
      <c r="B26" s="41" t="s">
        <v>177</v>
      </c>
      <c r="C26" s="43" t="n">
        <f aca="false">SUM(C21:C25)</f>
        <v>135500</v>
      </c>
      <c r="D26" s="43" t="n">
        <f aca="false">SUM(D21:D25)</f>
        <v>143614</v>
      </c>
      <c r="E26" s="43" t="n">
        <f aca="false">SUM(E21:E25)</f>
        <v>148576</v>
      </c>
      <c r="F26" s="43" t="n">
        <f aca="false">SUM(F21:F25)</f>
        <v>155463</v>
      </c>
    </row>
    <row r="27" customFormat="false" ht="15" hidden="false" customHeight="false" outlineLevel="0" collapsed="false">
      <c r="B27" s="48" t="s">
        <v>178</v>
      </c>
    </row>
    <row r="28" customFormat="false" ht="15" hidden="false" customHeight="false" outlineLevel="0" collapsed="false">
      <c r="B28" s="39" t="s">
        <v>179</v>
      </c>
      <c r="C28" s="44" t="n">
        <f aca="false">Schedules!C86</f>
        <v>88000</v>
      </c>
      <c r="D28" s="44" t="n">
        <f aca="false">Schedules!D86</f>
        <v>75000</v>
      </c>
      <c r="E28" s="44" t="n">
        <f aca="false">Schedules!E86</f>
        <v>95000</v>
      </c>
      <c r="F28" s="44" t="n">
        <f aca="false">Schedules!F86</f>
        <v>78500</v>
      </c>
      <c r="G28" s="38" t="s">
        <v>146</v>
      </c>
    </row>
    <row r="29" customFormat="false" ht="15" hidden="false" customHeight="false" outlineLevel="0" collapsed="false">
      <c r="B29" s="41" t="s">
        <v>180</v>
      </c>
      <c r="C29" s="43" t="n">
        <f aca="false">C26+C28</f>
        <v>223500</v>
      </c>
      <c r="D29" s="43" t="n">
        <f aca="false">D26+D28</f>
        <v>218614</v>
      </c>
      <c r="E29" s="43" t="n">
        <f aca="false">E26+E28</f>
        <v>243576</v>
      </c>
      <c r="F29" s="43" t="n">
        <f aca="false">F26+F28</f>
        <v>233963</v>
      </c>
    </row>
    <row r="30" customFormat="false" ht="15" hidden="false" customHeight="false" outlineLevel="0" collapsed="false">
      <c r="B30" s="48" t="s">
        <v>181</v>
      </c>
    </row>
    <row r="31" customFormat="false" ht="15" hidden="false" customHeight="false" outlineLevel="0" collapsed="false">
      <c r="B31" s="39" t="s">
        <v>182</v>
      </c>
      <c r="C31" s="44" t="n">
        <f aca="false">Inputs!C46</f>
        <v>120000</v>
      </c>
      <c r="D31" s="44" t="n">
        <f aca="false">Equity_Changes!C11</f>
        <v>120000</v>
      </c>
      <c r="E31" s="44" t="n">
        <f aca="false">Equity_Changes!C19</f>
        <v>120000</v>
      </c>
      <c r="F31" s="44" t="n">
        <f aca="false">Equity_Changes!C27</f>
        <v>120000</v>
      </c>
      <c r="G31" s="38" t="s">
        <v>183</v>
      </c>
    </row>
    <row r="32" customFormat="false" ht="15" hidden="false" customHeight="false" outlineLevel="0" collapsed="false">
      <c r="B32" s="39" t="s">
        <v>184</v>
      </c>
      <c r="C32" s="44" t="n">
        <f aca="false">Inputs!C47</f>
        <v>18000</v>
      </c>
      <c r="D32" s="44" t="n">
        <f aca="false">Equity_Changes!D11</f>
        <v>18000</v>
      </c>
      <c r="E32" s="44" t="n">
        <f aca="false">Equity_Changes!D19</f>
        <v>18000</v>
      </c>
      <c r="F32" s="44" t="n">
        <f aca="false">Equity_Changes!D27</f>
        <v>18000</v>
      </c>
      <c r="G32" s="38" t="s">
        <v>183</v>
      </c>
    </row>
    <row r="33" customFormat="false" ht="15" hidden="false" customHeight="false" outlineLevel="0" collapsed="false">
      <c r="B33" s="39" t="s">
        <v>185</v>
      </c>
      <c r="C33" s="44" t="n">
        <f aca="false">Inputs!C48</f>
        <v>41700</v>
      </c>
      <c r="D33" s="44" t="n">
        <f aca="false">Equity_Changes!E11</f>
        <v>58561</v>
      </c>
      <c r="E33" s="44" t="n">
        <f aca="false">Equity_Changes!E19</f>
        <v>80318</v>
      </c>
      <c r="F33" s="44" t="n">
        <f aca="false">Equity_Changes!E27</f>
        <v>106502</v>
      </c>
      <c r="G33" s="38" t="s">
        <v>183</v>
      </c>
    </row>
    <row r="34" customFormat="false" ht="15" hidden="false" customHeight="false" outlineLevel="0" collapsed="false">
      <c r="B34" s="41" t="s">
        <v>186</v>
      </c>
      <c r="C34" s="43" t="n">
        <f aca="false">SUM(C31:C33)</f>
        <v>179700</v>
      </c>
      <c r="D34" s="43" t="n">
        <f aca="false">SUM(D31:D33)</f>
        <v>196561</v>
      </c>
      <c r="E34" s="43" t="n">
        <f aca="false">SUM(E31:E33)</f>
        <v>218318</v>
      </c>
      <c r="F34" s="43" t="n">
        <f aca="false">SUM(F31:F33)</f>
        <v>244502</v>
      </c>
    </row>
    <row r="35" customFormat="false" ht="15" hidden="false" customHeight="false" outlineLevel="0" collapsed="false">
      <c r="B35" s="45" t="s">
        <v>187</v>
      </c>
      <c r="C35" s="47" t="n">
        <f aca="false">C29+C34</f>
        <v>403200</v>
      </c>
      <c r="D35" s="47" t="n">
        <f aca="false">D29+D34</f>
        <v>415175</v>
      </c>
      <c r="E35" s="47" t="n">
        <f aca="false">E29+E34</f>
        <v>461894</v>
      </c>
      <c r="F35" s="47" t="n">
        <f aca="false">F29+F34</f>
        <v>478465</v>
      </c>
    </row>
    <row r="37" customFormat="false" ht="15" hidden="false" customHeight="false" outlineLevel="0" collapsed="false">
      <c r="B37" s="8" t="s">
        <v>188</v>
      </c>
      <c r="C37" s="37" t="n">
        <f aca="false">ROUND(C17-C35,0)</f>
        <v>0</v>
      </c>
      <c r="D37" s="37" t="n">
        <f aca="false">ROUND(D17-D35,0)</f>
        <v>0</v>
      </c>
      <c r="E37" s="37" t="n">
        <f aca="false">ROUND(E17-E35,0)</f>
        <v>0</v>
      </c>
      <c r="F37" s="37" t="n">
        <f aca="false">ROUND(F17-F35,0)</f>
        <v>0</v>
      </c>
    </row>
  </sheetData>
  <conditionalFormatting sqref="C37:F37">
    <cfRule type="cellIs" priority="2" operator="equal" aboveAverage="0" equalAverage="0" bottom="0" percent="0" rank="0" text="" dxfId="0">
      <formula>0</formula>
    </cfRule>
    <cfRule type="cellIs" priority="3" operator="not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7DB1"/>
    <pageSetUpPr fitToPage="true"/>
  </sheetPr>
  <dimension ref="B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3" min="3" style="0" width="2"/>
    <col collapsed="false" customWidth="true" hidden="false" outlineLevel="0" max="6" min="4" style="0" width="15"/>
    <col collapsed="false" customWidth="true" hidden="false" outlineLevel="0" max="7" min="7" style="0" width="10"/>
  </cols>
  <sheetData>
    <row r="1" customFormat="false" ht="24" hidden="false" customHeight="true" outlineLevel="0" collapsed="false">
      <c r="B1" s="17" t="s">
        <v>189</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18" t="s">
        <v>129</v>
      </c>
    </row>
    <row r="5" customFormat="false" ht="24" hidden="false" customHeight="true" outlineLevel="0" collapsed="false">
      <c r="B5" s="33" t="s">
        <v>130</v>
      </c>
      <c r="C5" s="34"/>
      <c r="D5" s="35" t="n">
        <f aca="false">Inputs!D$22</f>
        <v>2023</v>
      </c>
      <c r="E5" s="35" t="n">
        <f aca="false">Inputs!E$22</f>
        <v>2024</v>
      </c>
      <c r="F5" s="35" t="n">
        <f aca="false">Inputs!F$22</f>
        <v>2025</v>
      </c>
    </row>
    <row r="6" customFormat="false" ht="15" hidden="false" customHeight="false" outlineLevel="0" collapsed="false">
      <c r="B6" s="12" t="s">
        <v>190</v>
      </c>
      <c r="C6" s="13"/>
      <c r="D6" s="13"/>
      <c r="E6" s="13"/>
      <c r="F6" s="13"/>
      <c r="G6" s="13"/>
    </row>
    <row r="7" customFormat="false" ht="15" hidden="false" customHeight="false" outlineLevel="0" collapsed="false">
      <c r="B7" s="39" t="s">
        <v>147</v>
      </c>
      <c r="D7" s="44" t="n">
        <f aca="false">Income_Statement!D18</f>
        <v>30325</v>
      </c>
      <c r="E7" s="44" t="n">
        <f aca="false">Income_Statement!E18</f>
        <v>39071</v>
      </c>
      <c r="F7" s="44" t="n">
        <f aca="false">Income_Statement!F18</f>
        <v>50294</v>
      </c>
    </row>
    <row r="8" customFormat="false" ht="15" hidden="false" customHeight="false" outlineLevel="0" collapsed="false">
      <c r="B8" s="39" t="s">
        <v>191</v>
      </c>
      <c r="D8" s="40" t="n">
        <f aca="false">-Income_Statement!D12</f>
        <v>17389</v>
      </c>
      <c r="E8" s="40" t="n">
        <f aca="false">-Income_Statement!E12</f>
        <v>19250</v>
      </c>
      <c r="F8" s="40" t="n">
        <f aca="false">-Income_Statement!F12</f>
        <v>21257</v>
      </c>
    </row>
    <row r="9" customFormat="false" ht="15" hidden="false" customHeight="false" outlineLevel="0" collapsed="false">
      <c r="B9" s="39" t="s">
        <v>192</v>
      </c>
      <c r="D9" s="40" t="n">
        <f aca="false">-Income_Statement!D14</f>
        <v>-400</v>
      </c>
      <c r="E9" s="40" t="n">
        <f aca="false">-Income_Statement!E14</f>
        <v>150</v>
      </c>
      <c r="F9" s="40" t="n">
        <f aca="false">-Income_Statement!F14</f>
        <v>-350</v>
      </c>
    </row>
    <row r="10" customFormat="false" ht="15" hidden="false" customHeight="false" outlineLevel="0" collapsed="false">
      <c r="B10" s="39" t="s">
        <v>193</v>
      </c>
      <c r="D10" s="40" t="n">
        <f aca="false">-Income_Statement!D16</f>
        <v>-775</v>
      </c>
      <c r="E10" s="40" t="n">
        <f aca="false">-Income_Statement!E16</f>
        <v>-873</v>
      </c>
      <c r="F10" s="40" t="n">
        <f aca="false">-Income_Statement!F16</f>
        <v>-1207</v>
      </c>
    </row>
    <row r="11" customFormat="false" ht="15" hidden="false" customHeight="false" outlineLevel="0" collapsed="false">
      <c r="B11" s="39" t="s">
        <v>194</v>
      </c>
      <c r="D11" s="40" t="n">
        <f aca="false">-Income_Statement!D17</f>
        <v>10421</v>
      </c>
      <c r="E11" s="40" t="n">
        <f aca="false">-Income_Statement!E17</f>
        <v>11475</v>
      </c>
      <c r="F11" s="40" t="n">
        <f aca="false">-Income_Statement!F17</f>
        <v>11696</v>
      </c>
    </row>
    <row r="12" customFormat="false" ht="15" hidden="false" customHeight="false" outlineLevel="0" collapsed="false">
      <c r="B12" s="41" t="s">
        <v>195</v>
      </c>
      <c r="C12" s="42"/>
      <c r="D12" s="43" t="n">
        <f aca="false">SUM(D7:D11)</f>
        <v>56960</v>
      </c>
      <c r="E12" s="43" t="n">
        <f aca="false">SUM(E7:E11)</f>
        <v>69073</v>
      </c>
      <c r="F12" s="43" t="n">
        <f aca="false">SUM(F7:F11)</f>
        <v>81690</v>
      </c>
    </row>
    <row r="13" customFormat="false" ht="15" hidden="false" customHeight="false" outlineLevel="0" collapsed="false">
      <c r="B13" s="39" t="s">
        <v>196</v>
      </c>
      <c r="D13" s="40" t="n">
        <f aca="false">Balance_Sheet!C9-Balance_Sheet!D9</f>
        <v>-9987</v>
      </c>
      <c r="E13" s="40" t="n">
        <f aca="false">Balance_Sheet!D9-Balance_Sheet!E9</f>
        <v>-7508</v>
      </c>
      <c r="F13" s="40" t="n">
        <f aca="false">Balance_Sheet!E9-Balance_Sheet!F9</f>
        <v>-4753</v>
      </c>
    </row>
    <row r="14" customFormat="false" ht="15" hidden="false" customHeight="false" outlineLevel="0" collapsed="false">
      <c r="B14" s="39" t="s">
        <v>197</v>
      </c>
      <c r="D14" s="40" t="n">
        <f aca="false">Balance_Sheet!C10-Balance_Sheet!D10</f>
        <v>-1196</v>
      </c>
      <c r="E14" s="40" t="n">
        <f aca="false">Balance_Sheet!D10-Balance_Sheet!E10</f>
        <v>-4897</v>
      </c>
      <c r="F14" s="40" t="n">
        <f aca="false">Balance_Sheet!E10-Balance_Sheet!F10</f>
        <v>-4529</v>
      </c>
    </row>
    <row r="15" customFormat="false" ht="15" hidden="false" customHeight="false" outlineLevel="0" collapsed="false">
      <c r="B15" s="39" t="s">
        <v>198</v>
      </c>
      <c r="D15" s="40" t="n">
        <f aca="false">Balance_Sheet!C11-Balance_Sheet!D11</f>
        <v>-165</v>
      </c>
      <c r="E15" s="40" t="n">
        <f aca="false">Balance_Sheet!D11-Balance_Sheet!E11</f>
        <v>-720</v>
      </c>
      <c r="F15" s="40" t="n">
        <f aca="false">Balance_Sheet!E11-Balance_Sheet!F11</f>
        <v>-658</v>
      </c>
    </row>
    <row r="16" customFormat="false" ht="15" hidden="false" customHeight="false" outlineLevel="0" collapsed="false">
      <c r="B16" s="39" t="s">
        <v>199</v>
      </c>
      <c r="D16" s="40" t="n">
        <f aca="false">Balance_Sheet!D21-Balance_Sheet!C21</f>
        <v>4985</v>
      </c>
      <c r="E16" s="40" t="n">
        <f aca="false">Balance_Sheet!E21-Balance_Sheet!D21</f>
        <v>7813</v>
      </c>
      <c r="F16" s="40" t="n">
        <f aca="false">Balance_Sheet!F21-Balance_Sheet!E21</f>
        <v>8045</v>
      </c>
    </row>
    <row r="17" customFormat="false" ht="15" hidden="false" customHeight="false" outlineLevel="0" collapsed="false">
      <c r="B17" s="39" t="s">
        <v>200</v>
      </c>
      <c r="D17" s="40" t="n">
        <f aca="false">Balance_Sheet!D22-Balance_Sheet!C22</f>
        <v>238</v>
      </c>
      <c r="E17" s="40" t="n">
        <f aca="false">Balance_Sheet!E22-Balance_Sheet!D22</f>
        <v>863</v>
      </c>
      <c r="F17" s="40" t="n">
        <f aca="false">Balance_Sheet!F22-Balance_Sheet!E22</f>
        <v>790</v>
      </c>
    </row>
    <row r="18" customFormat="false" ht="15" hidden="false" customHeight="false" outlineLevel="0" collapsed="false">
      <c r="B18" s="41" t="s">
        <v>201</v>
      </c>
      <c r="C18" s="42"/>
      <c r="D18" s="43" t="n">
        <f aca="false">D12+SUM(D13:D17)</f>
        <v>50835</v>
      </c>
      <c r="E18" s="43" t="n">
        <f aca="false">E12+SUM(E13:E17)</f>
        <v>64624</v>
      </c>
      <c r="F18" s="43" t="n">
        <f aca="false">F12+SUM(F13:F17)</f>
        <v>80585</v>
      </c>
    </row>
    <row r="19" customFormat="false" ht="15" hidden="false" customHeight="false" outlineLevel="0" collapsed="false">
      <c r="B19" s="39" t="s">
        <v>202</v>
      </c>
      <c r="D19" s="44" t="n">
        <f aca="false">Schedules!D91</f>
        <v>775</v>
      </c>
      <c r="E19" s="44" t="n">
        <f aca="false">Schedules!E91</f>
        <v>873</v>
      </c>
      <c r="F19" s="44" t="n">
        <f aca="false">Schedules!F91</f>
        <v>1207</v>
      </c>
    </row>
    <row r="20" customFormat="false" ht="15" hidden="false" customHeight="false" outlineLevel="0" collapsed="false">
      <c r="B20" s="39" t="s">
        <v>203</v>
      </c>
      <c r="D20" s="40" t="n">
        <f aca="false">-Schedules!D90</f>
        <v>-10421</v>
      </c>
      <c r="E20" s="40" t="n">
        <f aca="false">-Schedules!E90</f>
        <v>-11475</v>
      </c>
      <c r="F20" s="40" t="n">
        <f aca="false">-Schedules!F90</f>
        <v>-11696</v>
      </c>
    </row>
    <row r="21" customFormat="false" ht="15" hidden="false" customHeight="false" outlineLevel="0" collapsed="false">
      <c r="B21" s="39" t="s">
        <v>204</v>
      </c>
      <c r="D21" s="40" t="n">
        <f aca="false">-Schedules!D106</f>
        <v>-8952</v>
      </c>
      <c r="E21" s="40" t="n">
        <f aca="false">-Schedules!E106</f>
        <v>-9776</v>
      </c>
      <c r="F21" s="40" t="n">
        <f aca="false">-Schedules!F106</f>
        <v>-12336</v>
      </c>
    </row>
    <row r="22" customFormat="false" ht="15" hidden="false" customHeight="false" outlineLevel="0" collapsed="false">
      <c r="B22" s="45" t="s">
        <v>205</v>
      </c>
      <c r="C22" s="46"/>
      <c r="D22" s="47" t="n">
        <f aca="false">SUM(D18:D21)</f>
        <v>32237</v>
      </c>
      <c r="E22" s="47" t="n">
        <f aca="false">SUM(E18:E21)</f>
        <v>44246</v>
      </c>
      <c r="F22" s="47" t="n">
        <f aca="false">SUM(F18:F21)</f>
        <v>57760</v>
      </c>
    </row>
    <row r="24" customFormat="false" ht="15" hidden="false" customHeight="false" outlineLevel="0" collapsed="false">
      <c r="B24" s="12" t="s">
        <v>206</v>
      </c>
      <c r="C24" s="13"/>
      <c r="D24" s="13"/>
      <c r="E24" s="13"/>
      <c r="F24" s="13"/>
      <c r="G24" s="13"/>
    </row>
    <row r="25" customFormat="false" ht="15" hidden="false" customHeight="false" outlineLevel="0" collapsed="false">
      <c r="B25" s="39" t="s">
        <v>207</v>
      </c>
      <c r="D25" s="40" t="n">
        <f aca="false">-Schedules!D61</f>
        <v>-22100</v>
      </c>
      <c r="E25" s="40" t="n">
        <f aca="false">-Schedules!E61</f>
        <v>-30900</v>
      </c>
      <c r="F25" s="40" t="n">
        <f aca="false">-Schedules!F61</f>
        <v>-26900</v>
      </c>
    </row>
    <row r="26" customFormat="false" ht="15" hidden="false" customHeight="false" outlineLevel="0" collapsed="false">
      <c r="B26" s="39" t="s">
        <v>208</v>
      </c>
      <c r="D26" s="44" t="n">
        <f aca="false">Schedules!D66</f>
        <v>1100</v>
      </c>
      <c r="E26" s="44" t="n">
        <f aca="false">Schedules!E66</f>
        <v>450</v>
      </c>
      <c r="F26" s="44" t="n">
        <f aca="false">Schedules!F66</f>
        <v>1250</v>
      </c>
    </row>
    <row r="27" customFormat="false" ht="15" hidden="false" customHeight="false" outlineLevel="0" collapsed="false">
      <c r="B27" s="39" t="s">
        <v>209</v>
      </c>
      <c r="D27" s="40" t="n">
        <f aca="false">Balance_Sheet!C15-Balance_Sheet!D15</f>
        <v>-400</v>
      </c>
      <c r="E27" s="40" t="n">
        <f aca="false">Balance_Sheet!D15-Balance_Sheet!E15</f>
        <v>-300</v>
      </c>
      <c r="F27" s="40" t="n">
        <f aca="false">Balance_Sheet!E15-Balance_Sheet!F15</f>
        <v>-600</v>
      </c>
    </row>
    <row r="28" customFormat="false" ht="15" hidden="false" customHeight="false" outlineLevel="0" collapsed="false">
      <c r="B28" s="45" t="s">
        <v>210</v>
      </c>
      <c r="C28" s="46"/>
      <c r="D28" s="47" t="n">
        <f aca="false">SUM(D25:D27)</f>
        <v>-21400</v>
      </c>
      <c r="E28" s="47" t="n">
        <f aca="false">SUM(E25:E27)</f>
        <v>-30750</v>
      </c>
      <c r="F28" s="47" t="n">
        <f aca="false">SUM(F25:F27)</f>
        <v>-26250</v>
      </c>
    </row>
    <row r="30" customFormat="false" ht="15" hidden="false" customHeight="false" outlineLevel="0" collapsed="false">
      <c r="B30" s="12" t="s">
        <v>211</v>
      </c>
      <c r="C30" s="13"/>
      <c r="D30" s="13"/>
      <c r="E30" s="13"/>
      <c r="F30" s="13"/>
      <c r="G30" s="13"/>
    </row>
    <row r="31" customFormat="false" ht="15" hidden="false" customHeight="false" outlineLevel="0" collapsed="false">
      <c r="B31" s="39" t="s">
        <v>212</v>
      </c>
      <c r="D31" s="44" t="n">
        <f aca="false">Schedules!D82</f>
        <v>0</v>
      </c>
      <c r="E31" s="44" t="n">
        <f aca="false">Schedules!E82</f>
        <v>35000</v>
      </c>
      <c r="F31" s="44" t="n">
        <f aca="false">Schedules!F82</f>
        <v>0</v>
      </c>
    </row>
    <row r="32" customFormat="false" ht="15" hidden="false" customHeight="false" outlineLevel="0" collapsed="false">
      <c r="B32" s="39" t="s">
        <v>213</v>
      </c>
      <c r="D32" s="44" t="n">
        <f aca="false">Schedules!D83</f>
        <v>-12000</v>
      </c>
      <c r="E32" s="44" t="n">
        <f aca="false">Schedules!E83</f>
        <v>-13000</v>
      </c>
      <c r="F32" s="44" t="n">
        <f aca="false">Schedules!F83</f>
        <v>-15000</v>
      </c>
    </row>
    <row r="33" customFormat="false" ht="15" hidden="false" customHeight="false" outlineLevel="0" collapsed="false">
      <c r="B33" s="39" t="s">
        <v>214</v>
      </c>
      <c r="D33" s="40" t="n">
        <f aca="false">Balance_Sheet!D24-Balance_Sheet!C24</f>
        <v>3000</v>
      </c>
      <c r="E33" s="40" t="n">
        <f aca="false">Balance_Sheet!E24-Balance_Sheet!D24</f>
        <v>-6000</v>
      </c>
      <c r="F33" s="40" t="n">
        <f aca="false">Balance_Sheet!F24-Balance_Sheet!E24</f>
        <v>-4000</v>
      </c>
    </row>
    <row r="34" customFormat="false" ht="15" hidden="false" customHeight="false" outlineLevel="0" collapsed="false">
      <c r="B34" s="39" t="s">
        <v>215</v>
      </c>
      <c r="D34" s="40" t="n">
        <f aca="false">Inputs!D55+Inputs!D56</f>
        <v>0</v>
      </c>
      <c r="E34" s="40" t="n">
        <f aca="false">Inputs!E55+Inputs!E56</f>
        <v>0</v>
      </c>
      <c r="F34" s="40" t="n">
        <f aca="false">Inputs!F55+Inputs!F56</f>
        <v>0</v>
      </c>
    </row>
    <row r="35" customFormat="false" ht="15" hidden="false" customHeight="false" outlineLevel="0" collapsed="false">
      <c r="B35" s="39" t="s">
        <v>216</v>
      </c>
      <c r="D35" s="44" t="n">
        <f aca="false">Equity_Changes!E9</f>
        <v>-5621</v>
      </c>
      <c r="E35" s="44" t="n">
        <f aca="false">Equity_Changes!E17</f>
        <v>-7252</v>
      </c>
      <c r="F35" s="44" t="n">
        <f aca="false">Equity_Changes!E25</f>
        <v>-11222</v>
      </c>
    </row>
    <row r="36" customFormat="false" ht="15" hidden="false" customHeight="false" outlineLevel="0" collapsed="false">
      <c r="B36" s="45" t="s">
        <v>217</v>
      </c>
      <c r="C36" s="46"/>
      <c r="D36" s="47" t="n">
        <f aca="false">SUM(D31:D35)</f>
        <v>-14621</v>
      </c>
      <c r="E36" s="47" t="n">
        <f aca="false">SUM(E31:E35)</f>
        <v>8748</v>
      </c>
      <c r="F36" s="47" t="n">
        <f aca="false">SUM(F31:F35)</f>
        <v>-30222</v>
      </c>
    </row>
    <row r="38" customFormat="false" ht="15" hidden="false" customHeight="false" outlineLevel="0" collapsed="false">
      <c r="B38" s="8" t="s">
        <v>218</v>
      </c>
      <c r="D38" s="37" t="n">
        <f aca="false">D22+D28+D36</f>
        <v>-3784</v>
      </c>
      <c r="E38" s="37" t="n">
        <f aca="false">E22+E28+E36</f>
        <v>22244</v>
      </c>
      <c r="F38" s="37" t="n">
        <f aca="false">F22+F28+F36</f>
        <v>1288</v>
      </c>
    </row>
    <row r="39" customFormat="false" ht="15" hidden="false" customHeight="false" outlineLevel="0" collapsed="false">
      <c r="B39" s="39" t="s">
        <v>219</v>
      </c>
      <c r="D39" s="44" t="n">
        <f aca="false">Balance_Sheet!C8</f>
        <v>62000</v>
      </c>
      <c r="E39" s="44" t="n">
        <f aca="false">Balance_Sheet!D8</f>
        <v>58216</v>
      </c>
      <c r="F39" s="44" t="n">
        <f aca="false">Balance_Sheet!E8</f>
        <v>80460</v>
      </c>
    </row>
    <row r="40" customFormat="false" ht="15" hidden="false" customHeight="false" outlineLevel="0" collapsed="false">
      <c r="B40" s="45" t="s">
        <v>220</v>
      </c>
      <c r="C40" s="46"/>
      <c r="D40" s="47" t="n">
        <f aca="false">D39+D38</f>
        <v>58216</v>
      </c>
      <c r="E40" s="47" t="n">
        <f aca="false">E39+E38</f>
        <v>80460</v>
      </c>
      <c r="F40" s="47" t="n">
        <f aca="false">F39+F38</f>
        <v>81748</v>
      </c>
    </row>
    <row r="42" customFormat="false" ht="15" hidden="false" customHeight="false" outlineLevel="0" collapsed="false">
      <c r="B42" s="12" t="s">
        <v>221</v>
      </c>
      <c r="C42" s="13"/>
      <c r="D42" s="13"/>
      <c r="E42" s="13"/>
      <c r="F42" s="13"/>
      <c r="G42" s="13"/>
    </row>
    <row r="43" customFormat="false" ht="15" hidden="false" customHeight="false" outlineLevel="0" collapsed="false">
      <c r="B43" s="8" t="s">
        <v>222</v>
      </c>
      <c r="D43" s="37" t="n">
        <f aca="false">D22+D25</f>
        <v>10137</v>
      </c>
      <c r="E43" s="37" t="n">
        <f aca="false">E22+E25</f>
        <v>13346</v>
      </c>
      <c r="F43" s="37" t="n">
        <f aca="false">F22+F25</f>
        <v>30860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7DB1"/>
    <pageSetUpPr fitToPage="tru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6" min="3" style="0" width="17"/>
  </cols>
  <sheetData>
    <row r="1" customFormat="false" ht="24" hidden="false" customHeight="true" outlineLevel="0" collapsed="false">
      <c r="B1" s="17" t="s">
        <v>223</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5" customFormat="false" ht="30" hidden="false" customHeight="true" outlineLevel="0" collapsed="false">
      <c r="B5" s="49" t="s">
        <v>130</v>
      </c>
      <c r="C5" s="36" t="s">
        <v>182</v>
      </c>
      <c r="D5" s="36" t="s">
        <v>184</v>
      </c>
      <c r="E5" s="36" t="s">
        <v>185</v>
      </c>
      <c r="F5" s="36" t="s">
        <v>186</v>
      </c>
    </row>
    <row r="6" customFormat="false" ht="15" hidden="false" customHeight="false" outlineLevel="0" collapsed="false">
      <c r="B6" s="12" t="str">
        <f aca="false">"Year ended 31 December "&amp;Inputs!D$22</f>
        <v>Year ended 31 December 2023</v>
      </c>
      <c r="C6" s="13"/>
      <c r="D6" s="13"/>
      <c r="E6" s="13"/>
      <c r="F6" s="13"/>
    </row>
    <row r="7" customFormat="false" ht="15" hidden="false" customHeight="false" outlineLevel="0" collapsed="false">
      <c r="B7" s="39" t="s">
        <v>224</v>
      </c>
      <c r="C7" s="44" t="n">
        <f aca="false">Inputs!C46</f>
        <v>120000</v>
      </c>
      <c r="D7" s="44" t="n">
        <f aca="false">Inputs!C47</f>
        <v>18000</v>
      </c>
      <c r="E7" s="44" t="n">
        <f aca="false">Inputs!C48</f>
        <v>41700</v>
      </c>
      <c r="F7" s="40" t="n">
        <f aca="false">SUM(C7:E7)</f>
        <v>179700</v>
      </c>
    </row>
    <row r="8" customFormat="false" ht="15" hidden="false" customHeight="false" outlineLevel="0" collapsed="false">
      <c r="B8" s="39" t="s">
        <v>150</v>
      </c>
      <c r="E8" s="44" t="n">
        <f aca="false">Income_Statement!D20</f>
        <v>22482</v>
      </c>
      <c r="F8" s="40" t="n">
        <f aca="false">SUM(C8:E8)</f>
        <v>22482</v>
      </c>
    </row>
    <row r="9" customFormat="false" ht="15" hidden="false" customHeight="false" outlineLevel="0" collapsed="false">
      <c r="B9" s="39" t="s">
        <v>225</v>
      </c>
      <c r="E9" s="40" t="n">
        <f aca="false">-MAX(0,ROUND(Inputs!D30*E8,0))</f>
        <v>-5621</v>
      </c>
      <c r="F9" s="40" t="n">
        <f aca="false">SUM(C9:E9)</f>
        <v>-5621</v>
      </c>
    </row>
    <row r="10" customFormat="false" ht="15" hidden="false" customHeight="false" outlineLevel="0" collapsed="false">
      <c r="B10" s="39" t="s">
        <v>226</v>
      </c>
      <c r="C10" s="44" t="n">
        <f aca="false">Inputs!D55</f>
        <v>0</v>
      </c>
      <c r="D10" s="44" t="n">
        <f aca="false">Inputs!D56</f>
        <v>0</v>
      </c>
      <c r="F10" s="40" t="n">
        <f aca="false">SUM(C10:E10)</f>
        <v>0</v>
      </c>
    </row>
    <row r="11" customFormat="false" ht="15" hidden="false" customHeight="false" outlineLevel="0" collapsed="false">
      <c r="B11" s="45" t="s">
        <v>227</v>
      </c>
      <c r="C11" s="47" t="n">
        <f aca="false">SUM(C7:C10)</f>
        <v>120000</v>
      </c>
      <c r="D11" s="47" t="n">
        <f aca="false">SUM(D7:D10)</f>
        <v>18000</v>
      </c>
      <c r="E11" s="47" t="n">
        <f aca="false">SUM(E7:E10)</f>
        <v>58561</v>
      </c>
      <c r="F11" s="47" t="n">
        <f aca="false">SUM(C11:E11)</f>
        <v>196561</v>
      </c>
    </row>
    <row r="14" customFormat="false" ht="15" hidden="false" customHeight="false" outlineLevel="0" collapsed="false">
      <c r="B14" s="12" t="str">
        <f aca="false">"Year ended 31 December "&amp;Inputs!E$22</f>
        <v>Year ended 31 December 2024</v>
      </c>
      <c r="C14" s="13"/>
      <c r="D14" s="13"/>
      <c r="E14" s="13"/>
      <c r="F14" s="13"/>
    </row>
    <row r="15" customFormat="false" ht="15" hidden="false" customHeight="false" outlineLevel="0" collapsed="false">
      <c r="B15" s="39" t="s">
        <v>224</v>
      </c>
      <c r="C15" s="40" t="n">
        <f aca="false">C11</f>
        <v>120000</v>
      </c>
      <c r="D15" s="40" t="n">
        <f aca="false">D11</f>
        <v>18000</v>
      </c>
      <c r="E15" s="40" t="n">
        <f aca="false">E11</f>
        <v>58561</v>
      </c>
      <c r="F15" s="40" t="n">
        <f aca="false">SUM(C15:E15)</f>
        <v>196561</v>
      </c>
    </row>
    <row r="16" customFormat="false" ht="15" hidden="false" customHeight="false" outlineLevel="0" collapsed="false">
      <c r="B16" s="39" t="s">
        <v>150</v>
      </c>
      <c r="E16" s="44" t="n">
        <f aca="false">Income_Statement!E20</f>
        <v>29009</v>
      </c>
      <c r="F16" s="40" t="n">
        <f aca="false">SUM(C16:E16)</f>
        <v>29009</v>
      </c>
    </row>
    <row r="17" customFormat="false" ht="15" hidden="false" customHeight="false" outlineLevel="0" collapsed="false">
      <c r="B17" s="39" t="s">
        <v>225</v>
      </c>
      <c r="E17" s="40" t="n">
        <f aca="false">-MAX(0,ROUND(Inputs!E30*E16,0))</f>
        <v>-7252</v>
      </c>
      <c r="F17" s="40" t="n">
        <f aca="false">SUM(C17:E17)</f>
        <v>-7252</v>
      </c>
    </row>
    <row r="18" customFormat="false" ht="15" hidden="false" customHeight="false" outlineLevel="0" collapsed="false">
      <c r="B18" s="39" t="s">
        <v>226</v>
      </c>
      <c r="C18" s="44" t="n">
        <f aca="false">Inputs!E55</f>
        <v>0</v>
      </c>
      <c r="D18" s="44" t="n">
        <f aca="false">Inputs!E56</f>
        <v>0</v>
      </c>
      <c r="F18" s="40" t="n">
        <f aca="false">SUM(C18:E18)</f>
        <v>0</v>
      </c>
    </row>
    <row r="19" customFormat="false" ht="15" hidden="false" customHeight="false" outlineLevel="0" collapsed="false">
      <c r="B19" s="45" t="s">
        <v>227</v>
      </c>
      <c r="C19" s="47" t="n">
        <f aca="false">SUM(C15:C18)</f>
        <v>120000</v>
      </c>
      <c r="D19" s="47" t="n">
        <f aca="false">SUM(D15:D18)</f>
        <v>18000</v>
      </c>
      <c r="E19" s="47" t="n">
        <f aca="false">SUM(E15:E18)</f>
        <v>80318</v>
      </c>
      <c r="F19" s="47" t="n">
        <f aca="false">SUM(C19:E19)</f>
        <v>218318</v>
      </c>
    </row>
    <row r="22" customFormat="false" ht="15" hidden="false" customHeight="false" outlineLevel="0" collapsed="false">
      <c r="B22" s="12" t="str">
        <f aca="false">"Year ended 31 December "&amp;Inputs!F$22</f>
        <v>Year ended 31 December 2025</v>
      </c>
      <c r="C22" s="13"/>
      <c r="D22" s="13"/>
      <c r="E22" s="13"/>
      <c r="F22" s="13"/>
    </row>
    <row r="23" customFormat="false" ht="15" hidden="false" customHeight="false" outlineLevel="0" collapsed="false">
      <c r="B23" s="39" t="s">
        <v>224</v>
      </c>
      <c r="C23" s="40" t="n">
        <f aca="false">C19</f>
        <v>120000</v>
      </c>
      <c r="D23" s="40" t="n">
        <f aca="false">D19</f>
        <v>18000</v>
      </c>
      <c r="E23" s="40" t="n">
        <f aca="false">E19</f>
        <v>80318</v>
      </c>
      <c r="F23" s="40" t="n">
        <f aca="false">SUM(C23:E23)</f>
        <v>218318</v>
      </c>
    </row>
    <row r="24" customFormat="false" ht="15" hidden="false" customHeight="false" outlineLevel="0" collapsed="false">
      <c r="B24" s="39" t="s">
        <v>150</v>
      </c>
      <c r="E24" s="44" t="n">
        <f aca="false">Income_Statement!F20</f>
        <v>37406</v>
      </c>
      <c r="F24" s="40" t="n">
        <f aca="false">SUM(C24:E24)</f>
        <v>37406</v>
      </c>
    </row>
    <row r="25" customFormat="false" ht="15" hidden="false" customHeight="false" outlineLevel="0" collapsed="false">
      <c r="B25" s="39" t="s">
        <v>225</v>
      </c>
      <c r="E25" s="40" t="n">
        <f aca="false">-MAX(0,ROUND(Inputs!F30*E24,0))</f>
        <v>-11222</v>
      </c>
      <c r="F25" s="40" t="n">
        <f aca="false">SUM(C25:E25)</f>
        <v>-11222</v>
      </c>
    </row>
    <row r="26" customFormat="false" ht="15" hidden="false" customHeight="false" outlineLevel="0" collapsed="false">
      <c r="B26" s="39" t="s">
        <v>226</v>
      </c>
      <c r="C26" s="44" t="n">
        <f aca="false">Inputs!F55</f>
        <v>0</v>
      </c>
      <c r="D26" s="44" t="n">
        <f aca="false">Inputs!F56</f>
        <v>0</v>
      </c>
      <c r="F26" s="40" t="n">
        <f aca="false">SUM(C26:E26)</f>
        <v>0</v>
      </c>
    </row>
    <row r="27" customFormat="false" ht="15" hidden="false" customHeight="false" outlineLevel="0" collapsed="false">
      <c r="B27" s="45" t="s">
        <v>227</v>
      </c>
      <c r="C27" s="47" t="n">
        <f aca="false">SUM(C23:C26)</f>
        <v>120000</v>
      </c>
      <c r="D27" s="47" t="n">
        <f aca="false">SUM(D23:D26)</f>
        <v>18000</v>
      </c>
      <c r="E27" s="47" t="n">
        <f aca="false">SUM(E23:E26)</f>
        <v>106502</v>
      </c>
      <c r="F27" s="47" t="n">
        <f aca="false">SUM(C27:E27)</f>
        <v>244502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7DB1"/>
    <pageSetUpPr fitToPage="true"/>
  </sheetPr>
  <dimension ref="B1:G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3" min="3" style="0" width="2"/>
    <col collapsed="false" customWidth="true" hidden="false" outlineLevel="0" max="6" min="4" style="0" width="15"/>
    <col collapsed="false" customWidth="true" hidden="false" outlineLevel="0" max="7" min="7" style="0" width="34"/>
  </cols>
  <sheetData>
    <row r="1" customFormat="false" ht="24" hidden="false" customHeight="true" outlineLevel="0" collapsed="false">
      <c r="B1" s="17" t="s">
        <v>228</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5" customFormat="false" ht="15" hidden="false" customHeight="false" outlineLevel="0" collapsed="false">
      <c r="B5" s="12" t="s">
        <v>229</v>
      </c>
      <c r="C5" s="13"/>
      <c r="D5" s="13"/>
      <c r="E5" s="13"/>
      <c r="F5" s="13"/>
      <c r="G5" s="13"/>
    </row>
    <row r="6" customFormat="false" ht="43.5" hidden="false" customHeight="true" outlineLevel="0" collapsed="false">
      <c r="B6" s="10" t="str">
        <f aca="false">Inputs!$C$6&amp;" (the Company) is a domestic corporation registered in the Philippines with its head office in "&amp;Inputs!$C$8&amp;". The Company is engaged in the "&amp;LOWER(Inputs!$C$9)&amp;". The financial statements are presented in Philippine peso, the Company's functional currency, rounded to the nearest thousand unless otherwise stated. All names and figures are fictional and prepared for portfolio demonstration."</f>
        <v>Sampaguita Foods &amp; Distribution Corporation (SFDC) (the Company) is a domestic corporation registered in the Philippines with its head office in Taguig City, Metro Manila, Philippines (warehouses: Laguna, Cebu, Davao). The Company is engaged in the wholesale distribution of packaged food, beverages, household products and fresh &amp; frozen goods. The financial statements are presented in Philippine peso, the Company's functional currency, rounded to the nearest thousand unless otherwise stated. All names and figures are fictional and prepared for portfolio demonstration.</v>
      </c>
      <c r="C6" s="10"/>
      <c r="D6" s="10"/>
      <c r="E6" s="10"/>
      <c r="F6" s="10"/>
      <c r="G6" s="10"/>
    </row>
    <row r="8" customFormat="false" ht="15" hidden="false" customHeight="false" outlineLevel="0" collapsed="false">
      <c r="B8" s="12" t="s">
        <v>230</v>
      </c>
      <c r="C8" s="13"/>
      <c r="D8" s="13"/>
      <c r="E8" s="13"/>
      <c r="F8" s="13"/>
      <c r="G8" s="13"/>
    </row>
    <row r="9" customFormat="false" ht="30" hidden="false" customHeight="true" outlineLevel="0" collapsed="false">
      <c r="B9" s="10" t="s">
        <v>231</v>
      </c>
      <c r="C9" s="10"/>
      <c r="D9" s="10"/>
      <c r="E9" s="10"/>
      <c r="F9" s="10"/>
      <c r="G9" s="10"/>
    </row>
    <row r="10" customFormat="false" ht="30" hidden="false" customHeight="true" outlineLevel="0" collapsed="false">
      <c r="B10" s="10" t="s">
        <v>232</v>
      </c>
      <c r="C10" s="10"/>
      <c r="D10" s="10"/>
      <c r="E10" s="10"/>
      <c r="F10" s="10"/>
      <c r="G10" s="10"/>
    </row>
    <row r="11" customFormat="false" ht="18" hidden="false" customHeight="true" outlineLevel="0" collapsed="false">
      <c r="B11" s="10" t="s">
        <v>233</v>
      </c>
      <c r="C11" s="10"/>
      <c r="D11" s="10"/>
      <c r="E11" s="10"/>
      <c r="F11" s="10"/>
      <c r="G11" s="10"/>
    </row>
    <row r="12" customFormat="false" ht="30" hidden="false" customHeight="true" outlineLevel="0" collapsed="false">
      <c r="B12" s="10" t="s">
        <v>234</v>
      </c>
      <c r="C12" s="10"/>
      <c r="D12" s="10"/>
      <c r="E12" s="10"/>
      <c r="F12" s="10"/>
      <c r="G12" s="10"/>
    </row>
    <row r="13" customFormat="false" ht="42" hidden="false" customHeight="true" outlineLevel="0" collapsed="false">
      <c r="B13" s="10" t="s">
        <v>235</v>
      </c>
      <c r="C13" s="10"/>
      <c r="D13" s="10"/>
      <c r="E13" s="10"/>
      <c r="F13" s="10"/>
      <c r="G13" s="10"/>
    </row>
    <row r="14" customFormat="false" ht="18" hidden="false" customHeight="true" outlineLevel="0" collapsed="false">
      <c r="B14" s="10" t="s">
        <v>236</v>
      </c>
      <c r="C14" s="10"/>
      <c r="D14" s="10"/>
      <c r="E14" s="10"/>
      <c r="F14" s="10"/>
      <c r="G14" s="10"/>
    </row>
    <row r="15" customFormat="false" ht="18" hidden="false" customHeight="true" outlineLevel="0" collapsed="false">
      <c r="B15" s="10" t="s">
        <v>237</v>
      </c>
      <c r="C15" s="10"/>
      <c r="D15" s="10"/>
      <c r="E15" s="10"/>
      <c r="F15" s="10"/>
      <c r="G15" s="10"/>
    </row>
    <row r="17" customFormat="false" ht="15" hidden="false" customHeight="false" outlineLevel="0" collapsed="false">
      <c r="B17" s="12" t="s">
        <v>238</v>
      </c>
      <c r="C17" s="13"/>
      <c r="D17" s="13"/>
      <c r="E17" s="13"/>
      <c r="F17" s="13"/>
      <c r="G17" s="13"/>
    </row>
    <row r="18" customFormat="false" ht="24" hidden="false" customHeight="true" outlineLevel="0" collapsed="false">
      <c r="B18" s="33" t="s">
        <v>130</v>
      </c>
      <c r="C18" s="34"/>
      <c r="D18" s="35" t="n">
        <f aca="false">Inputs!D$22</f>
        <v>2023</v>
      </c>
      <c r="E18" s="35" t="n">
        <f aca="false">Inputs!E$22</f>
        <v>2024</v>
      </c>
      <c r="F18" s="35" t="n">
        <f aca="false">Inputs!F$22</f>
        <v>2025</v>
      </c>
    </row>
    <row r="19" customFormat="false" ht="15" hidden="false" customHeight="false" outlineLevel="0" collapsed="false">
      <c r="B19" s="39" t="s">
        <v>239</v>
      </c>
      <c r="D19" s="40" t="n">
        <f aca="false">ROUND(Balance_Sheet!D8*Inputs!D58,0)</f>
        <v>873</v>
      </c>
      <c r="E19" s="40" t="n">
        <f aca="false">ROUND(Balance_Sheet!E8*Inputs!E58,0)</f>
        <v>1207</v>
      </c>
      <c r="F19" s="40" t="n">
        <f aca="false">ROUND(Balance_Sheet!F8*Inputs!F58,0)</f>
        <v>1226</v>
      </c>
    </row>
    <row r="20" customFormat="false" ht="15" hidden="false" customHeight="false" outlineLevel="0" collapsed="false">
      <c r="B20" s="39" t="s">
        <v>240</v>
      </c>
      <c r="D20" s="40" t="n">
        <f aca="false">ROUND(Balance_Sheet!D8*Inputs!D59,0)</f>
        <v>6986</v>
      </c>
      <c r="E20" s="40" t="n">
        <f aca="false">ROUND(Balance_Sheet!E8*Inputs!E59,0)</f>
        <v>9655</v>
      </c>
      <c r="F20" s="40" t="n">
        <f aca="false">ROUND(Balance_Sheet!F8*Inputs!F59,0)</f>
        <v>9810</v>
      </c>
    </row>
    <row r="21" customFormat="false" ht="15" hidden="false" customHeight="false" outlineLevel="0" collapsed="false">
      <c r="B21" s="39" t="s">
        <v>241</v>
      </c>
      <c r="D21" s="40" t="n">
        <f aca="false">Balance_Sheet!D8-D19-D20</f>
        <v>50357</v>
      </c>
      <c r="E21" s="40" t="n">
        <f aca="false">Balance_Sheet!E8-E19-E20</f>
        <v>69598</v>
      </c>
      <c r="F21" s="40" t="n">
        <f aca="false">Balance_Sheet!F8-F19-F20</f>
        <v>70712</v>
      </c>
    </row>
    <row r="22" customFormat="false" ht="15" hidden="false" customHeight="false" outlineLevel="0" collapsed="false">
      <c r="B22" s="41" t="s">
        <v>242</v>
      </c>
      <c r="C22" s="42"/>
      <c r="D22" s="43" t="n">
        <f aca="false">SUM(D19:D21)</f>
        <v>58216</v>
      </c>
      <c r="E22" s="43" t="n">
        <f aca="false">SUM(E19:E21)</f>
        <v>80460</v>
      </c>
      <c r="F22" s="43" t="n">
        <f aca="false">SUM(F19:F21)</f>
        <v>81748</v>
      </c>
    </row>
    <row r="24" customFormat="false" ht="15" hidden="false" customHeight="false" outlineLevel="0" collapsed="false">
      <c r="B24" s="12" t="s">
        <v>243</v>
      </c>
      <c r="C24" s="13"/>
      <c r="D24" s="13"/>
      <c r="E24" s="13"/>
      <c r="F24" s="13"/>
      <c r="G24" s="13"/>
    </row>
    <row r="25" customFormat="false" ht="24" hidden="false" customHeight="true" outlineLevel="0" collapsed="false">
      <c r="B25" s="33" t="s">
        <v>130</v>
      </c>
      <c r="C25" s="34"/>
      <c r="D25" s="35" t="n">
        <f aca="false">Inputs!D$22</f>
        <v>2023</v>
      </c>
      <c r="E25" s="35" t="n">
        <f aca="false">Inputs!E$22</f>
        <v>2024</v>
      </c>
      <c r="F25" s="35" t="n">
        <f aca="false">Inputs!F$22</f>
        <v>2025</v>
      </c>
    </row>
    <row r="26" customFormat="false" ht="15" hidden="false" customHeight="false" outlineLevel="0" collapsed="false">
      <c r="B26" s="39" t="s">
        <v>244</v>
      </c>
      <c r="D26" s="40" t="n">
        <f aca="false">ROUND(Balance_Sheet!D9*Inputs!D60,0)</f>
        <v>14578</v>
      </c>
      <c r="E26" s="40" t="n">
        <f aca="false">ROUND(Balance_Sheet!E9*Inputs!E60,0)</f>
        <v>15044</v>
      </c>
      <c r="F26" s="40" t="n">
        <f aca="false">ROUND(Balance_Sheet!F9*Inputs!F60,0)</f>
        <v>14920</v>
      </c>
    </row>
    <row r="27" customFormat="false" ht="15" hidden="false" customHeight="false" outlineLevel="0" collapsed="false">
      <c r="B27" s="39" t="s">
        <v>245</v>
      </c>
      <c r="D27" s="40" t="n">
        <f aca="false">ROUND(Balance_Sheet!D9*Inputs!D61,0)</f>
        <v>5669</v>
      </c>
      <c r="E27" s="40" t="n">
        <f aca="false">ROUND(Balance_Sheet!E9*Inputs!E61,0)</f>
        <v>5752</v>
      </c>
      <c r="F27" s="40" t="n">
        <f aca="false">ROUND(Balance_Sheet!F9*Inputs!F61,0)</f>
        <v>5595</v>
      </c>
    </row>
    <row r="28" customFormat="false" ht="15" hidden="false" customHeight="false" outlineLevel="0" collapsed="false">
      <c r="B28" s="39" t="s">
        <v>246</v>
      </c>
      <c r="D28" s="40" t="n">
        <f aca="false">ROUND(Balance_Sheet!D9*Inputs!D62,0)</f>
        <v>2835</v>
      </c>
      <c r="E28" s="40" t="n">
        <f aca="false">ROUND(Balance_Sheet!E9*Inputs!E62,0)</f>
        <v>2655</v>
      </c>
      <c r="F28" s="40" t="n">
        <f aca="false">ROUND(Balance_Sheet!F9*Inputs!F62,0)</f>
        <v>2331</v>
      </c>
    </row>
    <row r="29" customFormat="false" ht="15" hidden="false" customHeight="false" outlineLevel="0" collapsed="false">
      <c r="B29" s="39" t="s">
        <v>247</v>
      </c>
      <c r="D29" s="40" t="n">
        <f aca="false">Balance_Sheet!D9-D26-D27-D28</f>
        <v>57905</v>
      </c>
      <c r="E29" s="40" t="n">
        <f aca="false">Balance_Sheet!E9-E26-E27-E28</f>
        <v>65044</v>
      </c>
      <c r="F29" s="40" t="n">
        <f aca="false">Balance_Sheet!F9-F26-F27-F28</f>
        <v>70402</v>
      </c>
    </row>
    <row r="30" customFormat="false" ht="15" hidden="false" customHeight="false" outlineLevel="0" collapsed="false">
      <c r="B30" s="41" t="s">
        <v>248</v>
      </c>
      <c r="C30" s="42"/>
      <c r="D30" s="43" t="n">
        <f aca="false">D29+D26+D27+D28</f>
        <v>80987</v>
      </c>
      <c r="E30" s="43" t="n">
        <f aca="false">E29+E26+E27+E28</f>
        <v>88495</v>
      </c>
      <c r="F30" s="43" t="n">
        <f aca="false">F29+F26+F27+F28</f>
        <v>93248</v>
      </c>
    </row>
    <row r="31" customFormat="false" ht="15" hidden="false" customHeight="false" outlineLevel="0" collapsed="false">
      <c r="B31" s="39" t="s">
        <v>249</v>
      </c>
      <c r="D31" s="50" t="n">
        <f aca="false">IFERROR(D28/D30,0)</f>
        <v>0.0350056181856347</v>
      </c>
      <c r="E31" s="50" t="n">
        <f aca="false">IFERROR(E28/E30,0)</f>
        <v>0.0300016950110176</v>
      </c>
      <c r="F31" s="50" t="n">
        <f aca="false">IFERROR(F28/F30,0)</f>
        <v>0.0249978551818806</v>
      </c>
    </row>
    <row r="32" customFormat="false" ht="15" hidden="false" customHeight="false" outlineLevel="0" collapsed="false">
      <c r="B32" s="39" t="s">
        <v>250</v>
      </c>
      <c r="D32" s="51" t="n">
        <f aca="false">IFERROR(Balance_Sheet!D9/Income_Statement!D7*Days_Year,0)</f>
        <v>36.0000085249623</v>
      </c>
      <c r="E32" s="51" t="n">
        <f aca="false">IFERROR(Balance_Sheet!E9/Income_Statement!E7*Days_Year,0)</f>
        <v>36.0001192548688</v>
      </c>
      <c r="F32" s="51" t="n">
        <f aca="false">IFERROR(Balance_Sheet!F9/Income_Statement!F7*Days_Year,0)</f>
        <v>35.0000514169483</v>
      </c>
    </row>
    <row r="34" customFormat="false" ht="15" hidden="false" customHeight="false" outlineLevel="0" collapsed="false">
      <c r="B34" s="12" t="s">
        <v>251</v>
      </c>
      <c r="C34" s="13"/>
      <c r="D34" s="13"/>
      <c r="E34" s="13"/>
      <c r="F34" s="13"/>
      <c r="G34" s="13"/>
    </row>
    <row r="35" customFormat="false" ht="24" hidden="false" customHeight="true" outlineLevel="0" collapsed="false">
      <c r="B35" s="33" t="s">
        <v>130</v>
      </c>
      <c r="C35" s="34"/>
      <c r="D35" s="35" t="n">
        <f aca="false">Inputs!D$22</f>
        <v>2023</v>
      </c>
      <c r="E35" s="35" t="n">
        <f aca="false">Inputs!E$22</f>
        <v>2024</v>
      </c>
      <c r="F35" s="35" t="n">
        <f aca="false">Inputs!F$22</f>
        <v>2025</v>
      </c>
    </row>
    <row r="36" customFormat="false" ht="15" hidden="false" customHeight="false" outlineLevel="0" collapsed="false">
      <c r="B36" s="39" t="s">
        <v>252</v>
      </c>
      <c r="D36" s="40" t="n">
        <f aca="false">ROUND(Balance_Sheet!D10*SUMIFS(Sales_COGS,Sales_Year,Inputs!D$22,Sales_Cat,"Packaged Food")/SUMIFS(Sales_COGS,Sales_Year,Inputs!D$22),0)</f>
        <v>30854</v>
      </c>
      <c r="E36" s="40" t="n">
        <f aca="false">ROUND(Balance_Sheet!E10*SUMIFS(Sales_COGS,Sales_Year,Inputs!E$22,Sales_Cat,"Packaged Food")/SUMIFS(Sales_COGS,Sales_Year,Inputs!E$22),0)</f>
        <v>32463</v>
      </c>
      <c r="F36" s="40" t="n">
        <f aca="false">ROUND(Balance_Sheet!F10*SUMIFS(Sales_COGS,Sales_Year,Inputs!F$22,Sales_Cat,"Packaged Food")/SUMIFS(Sales_COGS,Sales_Year,Inputs!F$22),0)</f>
        <v>33775</v>
      </c>
    </row>
    <row r="37" customFormat="false" ht="15" hidden="false" customHeight="false" outlineLevel="0" collapsed="false">
      <c r="B37" s="39" t="s">
        <v>253</v>
      </c>
      <c r="D37" s="40" t="n">
        <f aca="false">ROUND(Balance_Sheet!D10*SUMIFS(Sales_COGS,Sales_Year,Inputs!D$22,Sales_Cat,"Beverages")/SUMIFS(Sales_COGS,Sales_Year,Inputs!D$22),0)</f>
        <v>21726</v>
      </c>
      <c r="E37" s="40" t="n">
        <f aca="false">ROUND(Balance_Sheet!E10*SUMIFS(Sales_COGS,Sales_Year,Inputs!E$22,Sales_Cat,"Beverages")/SUMIFS(Sales_COGS,Sales_Year,Inputs!E$22),0)</f>
        <v>23390</v>
      </c>
      <c r="F37" s="40" t="n">
        <f aca="false">ROUND(Balance_Sheet!F10*SUMIFS(Sales_COGS,Sales_Year,Inputs!F$22,Sales_Cat,"Beverages")/SUMIFS(Sales_COGS,Sales_Year,Inputs!F$22),0)</f>
        <v>25140</v>
      </c>
    </row>
    <row r="38" customFormat="false" ht="15" hidden="false" customHeight="false" outlineLevel="0" collapsed="false">
      <c r="B38" s="39" t="s">
        <v>254</v>
      </c>
      <c r="D38" s="40" t="n">
        <f aca="false">ROUND(Balance_Sheet!D10*SUMIFS(Sales_COGS,Sales_Year,Inputs!D$22,Sales_Cat,"Household &amp; Personal Care")/SUMIFS(Sales_COGS,Sales_Year,Inputs!D$22),0)</f>
        <v>13000</v>
      </c>
      <c r="E38" s="40" t="n">
        <f aca="false">ROUND(Balance_Sheet!E10*SUMIFS(Sales_COGS,Sales_Year,Inputs!E$22,Sales_Cat,"Household &amp; Personal Care")/SUMIFS(Sales_COGS,Sales_Year,Inputs!E$22),0)</f>
        <v>13600</v>
      </c>
      <c r="F38" s="40" t="n">
        <f aca="false">ROUND(Balance_Sheet!F10*SUMIFS(Sales_COGS,Sales_Year,Inputs!F$22,Sales_Cat,"Household &amp; Personal Care")/SUMIFS(Sales_COGS,Sales_Year,Inputs!F$22),0)</f>
        <v>14064</v>
      </c>
    </row>
    <row r="39" customFormat="false" ht="15" hidden="false" customHeight="false" outlineLevel="0" collapsed="false">
      <c r="B39" s="39" t="s">
        <v>255</v>
      </c>
      <c r="D39" s="40" t="n">
        <f aca="false">Balance_Sheet!D10-SUM(D36:D38)</f>
        <v>10116</v>
      </c>
      <c r="E39" s="40" t="n">
        <f aca="false">Balance_Sheet!E10-SUM(E36:E38)</f>
        <v>11140</v>
      </c>
      <c r="F39" s="40" t="n">
        <f aca="false">Balance_Sheet!F10-SUM(F36:F38)</f>
        <v>12143</v>
      </c>
      <c r="G39" s="52" t="s">
        <v>256</v>
      </c>
    </row>
    <row r="40" customFormat="false" ht="15" hidden="false" customHeight="false" outlineLevel="0" collapsed="false">
      <c r="B40" s="41" t="s">
        <v>257</v>
      </c>
      <c r="C40" s="42"/>
      <c r="D40" s="43" t="n">
        <f aca="false">SUM(D36:D39)</f>
        <v>75696</v>
      </c>
      <c r="E40" s="43" t="n">
        <f aca="false">SUM(E36:E39)</f>
        <v>80593</v>
      </c>
      <c r="F40" s="43" t="n">
        <f aca="false">SUM(F36:F39)</f>
        <v>85122</v>
      </c>
    </row>
    <row r="41" customFormat="false" ht="15" hidden="false" customHeight="false" outlineLevel="0" collapsed="false">
      <c r="B41" s="39" t="s">
        <v>258</v>
      </c>
      <c r="D41" s="51" t="n">
        <f aca="false">IFERROR(Balance_Sheet!D10/-Income_Statement!D8*Days_Year,0)</f>
        <v>45.000122154413</v>
      </c>
      <c r="E41" s="51" t="n">
        <f aca="false">IFERROR(Balance_Sheet!E10/-Income_Statement!E8*Days_Year,0)</f>
        <v>43.9998399540504</v>
      </c>
      <c r="F41" s="51" t="n">
        <f aca="false">IFERROR(Balance_Sheet!F10/-Income_Statement!F8*Days_Year,0)</f>
        <v>42.9999529443027</v>
      </c>
    </row>
    <row r="43" customFormat="false" ht="15" hidden="false" customHeight="false" outlineLevel="0" collapsed="false">
      <c r="B43" s="12" t="s">
        <v>259</v>
      </c>
      <c r="C43" s="13"/>
      <c r="D43" s="13"/>
      <c r="E43" s="13"/>
      <c r="F43" s="13"/>
      <c r="G43" s="13"/>
    </row>
    <row r="44" customFormat="false" ht="24" hidden="false" customHeight="true" outlineLevel="0" collapsed="false">
      <c r="B44" s="33" t="s">
        <v>130</v>
      </c>
      <c r="C44" s="34"/>
      <c r="D44" s="35" t="n">
        <f aca="false">Inputs!D$22</f>
        <v>2023</v>
      </c>
      <c r="E44" s="35" t="n">
        <f aca="false">Inputs!E$22</f>
        <v>2024</v>
      </c>
      <c r="F44" s="35" t="n">
        <f aca="false">Inputs!F$22</f>
        <v>2025</v>
      </c>
    </row>
    <row r="45" customFormat="false" ht="15" hidden="false" customHeight="false" outlineLevel="0" collapsed="false">
      <c r="B45" s="39" t="s">
        <v>260</v>
      </c>
      <c r="D45" s="44" t="n">
        <f aca="false">Schedules!D16</f>
        <v>60000</v>
      </c>
      <c r="E45" s="44" t="n">
        <f aca="false">Schedules!E16</f>
        <v>60000</v>
      </c>
      <c r="F45" s="44" t="n">
        <f aca="false">Schedules!F16</f>
        <v>60000</v>
      </c>
    </row>
    <row r="46" customFormat="false" ht="15" hidden="false" customHeight="false" outlineLevel="0" collapsed="false">
      <c r="B46" s="39" t="s">
        <v>261</v>
      </c>
      <c r="D46" s="44" t="n">
        <f aca="false">Schedules!D26</f>
        <v>71225</v>
      </c>
      <c r="E46" s="44" t="n">
        <f aca="false">Schedules!E26</f>
        <v>78692</v>
      </c>
      <c r="F46" s="44" t="n">
        <f aca="false">Schedules!F26</f>
        <v>81367</v>
      </c>
    </row>
    <row r="47" customFormat="false" ht="15" hidden="false" customHeight="false" outlineLevel="0" collapsed="false">
      <c r="B47" s="39" t="s">
        <v>262</v>
      </c>
      <c r="D47" s="44" t="n">
        <f aca="false">Schedules!D36</f>
        <v>21317</v>
      </c>
      <c r="E47" s="44" t="n">
        <f aca="false">Schedules!E36</f>
        <v>25767</v>
      </c>
      <c r="F47" s="44" t="n">
        <f aca="false">Schedules!F36</f>
        <v>27984</v>
      </c>
    </row>
    <row r="48" customFormat="false" ht="15" hidden="false" customHeight="false" outlineLevel="0" collapsed="false">
      <c r="B48" s="39" t="s">
        <v>263</v>
      </c>
      <c r="D48" s="44" t="n">
        <f aca="false">Schedules!D46</f>
        <v>22429</v>
      </c>
      <c r="E48" s="44" t="n">
        <f aca="false">Schedules!E46</f>
        <v>21372</v>
      </c>
      <c r="F48" s="44" t="n">
        <f aca="false">Schedules!F46</f>
        <v>22443</v>
      </c>
    </row>
    <row r="49" customFormat="false" ht="15" hidden="false" customHeight="false" outlineLevel="0" collapsed="false">
      <c r="B49" s="39" t="s">
        <v>264</v>
      </c>
      <c r="D49" s="44" t="n">
        <f aca="false">Schedules!D56</f>
        <v>3740</v>
      </c>
      <c r="E49" s="44" t="n">
        <f aca="false">Schedules!E56</f>
        <v>3930</v>
      </c>
      <c r="F49" s="44" t="n">
        <f aca="false">Schedules!F56</f>
        <v>2710</v>
      </c>
    </row>
    <row r="50" customFormat="false" ht="15" hidden="false" customHeight="false" outlineLevel="0" collapsed="false">
      <c r="B50" s="41" t="s">
        <v>265</v>
      </c>
      <c r="C50" s="42"/>
      <c r="D50" s="43" t="n">
        <f aca="false">SUM(D45:D49)</f>
        <v>178711</v>
      </c>
      <c r="E50" s="43" t="n">
        <f aca="false">SUM(E45:E49)</f>
        <v>189761</v>
      </c>
      <c r="F50" s="43" t="n">
        <f aca="false">SUM(F45:F49)</f>
        <v>194504</v>
      </c>
    </row>
    <row r="52" customFormat="false" ht="15" hidden="false" customHeight="false" outlineLevel="0" collapsed="false">
      <c r="B52" s="39" t="s">
        <v>266</v>
      </c>
      <c r="D52" s="44" t="n">
        <f aca="false">Schedules!C58</f>
        <v>260000</v>
      </c>
      <c r="E52" s="44" t="n">
        <f aca="false">Schedules!D58</f>
        <v>275700</v>
      </c>
      <c r="F52" s="44" t="n">
        <f aca="false">Schedules!E58</f>
        <v>301000</v>
      </c>
    </row>
    <row r="53" customFormat="false" ht="15" hidden="false" customHeight="false" outlineLevel="0" collapsed="false">
      <c r="B53" s="39" t="s">
        <v>267</v>
      </c>
      <c r="D53" s="44" t="n">
        <f aca="false">Schedules!D61</f>
        <v>22100</v>
      </c>
      <c r="E53" s="44" t="n">
        <f aca="false">Schedules!E61</f>
        <v>30900</v>
      </c>
      <c r="F53" s="44" t="n">
        <f aca="false">Schedules!F61</f>
        <v>26900</v>
      </c>
    </row>
    <row r="54" customFormat="false" ht="15" hidden="false" customHeight="false" outlineLevel="0" collapsed="false">
      <c r="B54" s="39" t="s">
        <v>268</v>
      </c>
      <c r="D54" s="44" t="n">
        <f aca="false">Schedules!D63</f>
        <v>-6400</v>
      </c>
      <c r="E54" s="44" t="n">
        <f aca="false">Schedules!E63</f>
        <v>-5600</v>
      </c>
      <c r="F54" s="44" t="n">
        <f aca="false">Schedules!F63</f>
        <v>-7200</v>
      </c>
    </row>
    <row r="55" customFormat="false" ht="15" hidden="false" customHeight="false" outlineLevel="0" collapsed="false">
      <c r="B55" s="41" t="s">
        <v>269</v>
      </c>
      <c r="C55" s="42"/>
      <c r="D55" s="53" t="n">
        <f aca="false">Schedules!D58</f>
        <v>275700</v>
      </c>
      <c r="E55" s="53" t="n">
        <f aca="false">Schedules!E58</f>
        <v>301000</v>
      </c>
      <c r="F55" s="53" t="n">
        <f aca="false">Schedules!F58</f>
        <v>320700</v>
      </c>
    </row>
    <row r="56" customFormat="false" ht="15" hidden="false" customHeight="false" outlineLevel="0" collapsed="false">
      <c r="B56" s="39" t="s">
        <v>270</v>
      </c>
      <c r="D56" s="44" t="n">
        <f aca="false">Schedules!C59</f>
        <v>85300</v>
      </c>
      <c r="E56" s="44" t="n">
        <f aca="false">Schedules!D59</f>
        <v>96989</v>
      </c>
      <c r="F56" s="44" t="n">
        <f aca="false">Schedules!E59</f>
        <v>111239</v>
      </c>
    </row>
    <row r="57" customFormat="false" ht="15" hidden="false" customHeight="false" outlineLevel="0" collapsed="false">
      <c r="B57" s="39" t="s">
        <v>271</v>
      </c>
      <c r="D57" s="44" t="n">
        <f aca="false">Schedules!D62</f>
        <v>17389</v>
      </c>
      <c r="E57" s="44" t="n">
        <f aca="false">Schedules!E62</f>
        <v>19250</v>
      </c>
      <c r="F57" s="44" t="n">
        <f aca="false">Schedules!F62</f>
        <v>21257</v>
      </c>
    </row>
    <row r="58" customFormat="false" ht="15" hidden="false" customHeight="false" outlineLevel="0" collapsed="false">
      <c r="B58" s="39" t="s">
        <v>268</v>
      </c>
      <c r="D58" s="44" t="n">
        <f aca="false">Schedules!D64</f>
        <v>-5700</v>
      </c>
      <c r="E58" s="44" t="n">
        <f aca="false">Schedules!E64</f>
        <v>-5000</v>
      </c>
      <c r="F58" s="44" t="n">
        <f aca="false">Schedules!F64</f>
        <v>-6300</v>
      </c>
    </row>
    <row r="59" customFormat="false" ht="15" hidden="false" customHeight="false" outlineLevel="0" collapsed="false">
      <c r="B59" s="41" t="s">
        <v>272</v>
      </c>
      <c r="C59" s="42"/>
      <c r="D59" s="53" t="n">
        <f aca="false">Schedules!D59</f>
        <v>96989</v>
      </c>
      <c r="E59" s="53" t="n">
        <f aca="false">Schedules!E59</f>
        <v>111239</v>
      </c>
      <c r="F59" s="53" t="n">
        <f aca="false">Schedules!F59</f>
        <v>126196</v>
      </c>
    </row>
    <row r="60" customFormat="false" ht="15" hidden="false" customHeight="false" outlineLevel="0" collapsed="false">
      <c r="B60" s="39" t="s">
        <v>273</v>
      </c>
      <c r="D60" s="44" t="n">
        <f aca="false">Schedules!D67</f>
        <v>400</v>
      </c>
      <c r="E60" s="44" t="n">
        <f aca="false">Schedules!E67</f>
        <v>-150</v>
      </c>
      <c r="F60" s="44" t="n">
        <f aca="false">Schedules!F67</f>
        <v>350</v>
      </c>
    </row>
    <row r="62" customFormat="false" ht="15" hidden="false" customHeight="false" outlineLevel="0" collapsed="false">
      <c r="B62" s="12" t="s">
        <v>274</v>
      </c>
      <c r="C62" s="13"/>
      <c r="D62" s="13"/>
      <c r="E62" s="13"/>
      <c r="F62" s="13"/>
      <c r="G62" s="13"/>
    </row>
    <row r="63" customFormat="false" ht="24" hidden="false" customHeight="true" outlineLevel="0" collapsed="false">
      <c r="B63" s="33" t="s">
        <v>130</v>
      </c>
      <c r="C63" s="34"/>
      <c r="D63" s="35" t="n">
        <f aca="false">Inputs!D$22</f>
        <v>2023</v>
      </c>
      <c r="E63" s="35" t="n">
        <f aca="false">Inputs!E$22</f>
        <v>2024</v>
      </c>
      <c r="F63" s="35" t="n">
        <f aca="false">Inputs!F$22</f>
        <v>2025</v>
      </c>
    </row>
    <row r="64" customFormat="false" ht="15" hidden="false" customHeight="false" outlineLevel="0" collapsed="false">
      <c r="B64" s="39" t="s">
        <v>275</v>
      </c>
      <c r="D64" s="44" t="n">
        <f aca="false">Balance_Sheet!D24</f>
        <v>48000</v>
      </c>
      <c r="E64" s="44" t="n">
        <f aca="false">Balance_Sheet!E24</f>
        <v>42000</v>
      </c>
      <c r="F64" s="44" t="n">
        <f aca="false">Balance_Sheet!F24</f>
        <v>38000</v>
      </c>
    </row>
    <row r="65" customFormat="false" ht="15" hidden="false" customHeight="false" outlineLevel="0" collapsed="false">
      <c r="B65" s="39" t="s">
        <v>276</v>
      </c>
      <c r="D65" s="44" t="n">
        <f aca="false">Balance_Sheet!D25</f>
        <v>13000</v>
      </c>
      <c r="E65" s="44" t="n">
        <f aca="false">Balance_Sheet!E25</f>
        <v>15000</v>
      </c>
      <c r="F65" s="44" t="n">
        <f aca="false">Balance_Sheet!F25</f>
        <v>16500</v>
      </c>
    </row>
    <row r="66" customFormat="false" ht="15" hidden="false" customHeight="false" outlineLevel="0" collapsed="false">
      <c r="B66" s="39" t="s">
        <v>277</v>
      </c>
      <c r="D66" s="44" t="n">
        <f aca="false">Balance_Sheet!D28</f>
        <v>75000</v>
      </c>
      <c r="E66" s="44" t="n">
        <f aca="false">Balance_Sheet!E28</f>
        <v>95000</v>
      </c>
      <c r="F66" s="44" t="n">
        <f aca="false">Balance_Sheet!F28</f>
        <v>78500</v>
      </c>
    </row>
    <row r="67" customFormat="false" ht="15" hidden="false" customHeight="false" outlineLevel="0" collapsed="false">
      <c r="B67" s="41" t="s">
        <v>278</v>
      </c>
      <c r="C67" s="42"/>
      <c r="D67" s="43" t="n">
        <f aca="false">SUM(D64:D66)</f>
        <v>136000</v>
      </c>
      <c r="E67" s="43" t="n">
        <f aca="false">SUM(E64:E66)</f>
        <v>152000</v>
      </c>
      <c r="F67" s="43" t="n">
        <f aca="false">SUM(F64:F66)</f>
        <v>133000</v>
      </c>
    </row>
    <row r="68" customFormat="false" ht="15" hidden="false" customHeight="false" outlineLevel="0" collapsed="false">
      <c r="B68" s="39" t="s">
        <v>279</v>
      </c>
      <c r="D68" s="44" t="n">
        <f aca="false">Schedules!D90</f>
        <v>10421</v>
      </c>
      <c r="E68" s="44" t="n">
        <f aca="false">Schedules!E90</f>
        <v>11475</v>
      </c>
      <c r="F68" s="44" t="n">
        <f aca="false">Schedules!F90</f>
        <v>11696</v>
      </c>
    </row>
    <row r="69" customFormat="false" ht="15" hidden="false" customHeight="false" outlineLevel="0" collapsed="false">
      <c r="B69" s="39" t="s">
        <v>280</v>
      </c>
      <c r="D69" s="54" t="n">
        <f aca="false">IFERROR(Schedules!D90/AVERAGE(Schedules!C87,Schedules!D87),0)</f>
        <v>0.0741708185053381</v>
      </c>
      <c r="E69" s="54" t="n">
        <f aca="false">IFERROR(Schedules!E90/AVERAGE(Schedules!D87,Schedules!E87),0)</f>
        <v>0.0796875</v>
      </c>
      <c r="F69" s="54" t="n">
        <f aca="false">IFERROR(Schedules!F90/AVERAGE(Schedules!E87,Schedules!F87),0)</f>
        <v>0.0820771929824561</v>
      </c>
    </row>
    <row r="70" customFormat="false" ht="15" hidden="false" customHeight="false" outlineLevel="0" collapsed="false">
      <c r="B70" s="39" t="s">
        <v>281</v>
      </c>
      <c r="D70" s="40" t="n">
        <f aca="false">IF(Schedules!D82&gt;0,ROUND(PMT(Inputs!D25,Loan_Tenor,-Schedules!D82),0),0)</f>
        <v>0</v>
      </c>
      <c r="E70" s="40" t="n">
        <f aca="false">IF(Schedules!E82&gt;0,ROUND(PMT(Inputs!E25,Loan_Tenor,-Schedules!E82),0),0)</f>
        <v>8766</v>
      </c>
      <c r="F70" s="40" t="n">
        <f aca="false">IF(Schedules!F82&gt;0,ROUND(PMT(Inputs!F25,Loan_Tenor,-Schedules!F82),0),0)</f>
        <v>0</v>
      </c>
      <c r="G70" s="52" t="s">
        <v>282</v>
      </c>
    </row>
    <row r="72" customFormat="false" ht="15" hidden="false" customHeight="false" outlineLevel="0" collapsed="false">
      <c r="B72" s="12" t="s">
        <v>283</v>
      </c>
      <c r="C72" s="13"/>
      <c r="D72" s="13"/>
      <c r="E72" s="13"/>
      <c r="F72" s="13"/>
      <c r="G72" s="13"/>
    </row>
    <row r="73" customFormat="false" ht="24" hidden="false" customHeight="true" outlineLevel="0" collapsed="false">
      <c r="B73" s="33" t="s">
        <v>130</v>
      </c>
      <c r="C73" s="34"/>
      <c r="D73" s="35" t="n">
        <f aca="false">Inputs!D$22</f>
        <v>2023</v>
      </c>
      <c r="E73" s="35" t="n">
        <f aca="false">Inputs!E$22</f>
        <v>2024</v>
      </c>
      <c r="F73" s="35" t="n">
        <f aca="false">Inputs!F$22</f>
        <v>2025</v>
      </c>
    </row>
    <row r="74" customFormat="false" ht="15" hidden="false" customHeight="false" outlineLevel="0" collapsed="false">
      <c r="B74" s="39" t="s">
        <v>182</v>
      </c>
      <c r="D74" s="44" t="n">
        <f aca="false">Balance_Sheet!D31</f>
        <v>120000</v>
      </c>
      <c r="E74" s="44" t="n">
        <f aca="false">Balance_Sheet!E31</f>
        <v>120000</v>
      </c>
      <c r="F74" s="44" t="n">
        <f aca="false">Balance_Sheet!F31</f>
        <v>120000</v>
      </c>
    </row>
    <row r="75" customFormat="false" ht="15" hidden="false" customHeight="false" outlineLevel="0" collapsed="false">
      <c r="B75" s="39" t="s">
        <v>184</v>
      </c>
      <c r="D75" s="44" t="n">
        <f aca="false">Balance_Sheet!D32</f>
        <v>18000</v>
      </c>
      <c r="E75" s="44" t="n">
        <f aca="false">Balance_Sheet!E32</f>
        <v>18000</v>
      </c>
      <c r="F75" s="44" t="n">
        <f aca="false">Balance_Sheet!F32</f>
        <v>18000</v>
      </c>
    </row>
    <row r="76" customFormat="false" ht="15" hidden="false" customHeight="false" outlineLevel="0" collapsed="false">
      <c r="B76" s="39" t="s">
        <v>185</v>
      </c>
      <c r="D76" s="44" t="n">
        <f aca="false">Balance_Sheet!D33</f>
        <v>58561</v>
      </c>
      <c r="E76" s="44" t="n">
        <f aca="false">Balance_Sheet!E33</f>
        <v>80318</v>
      </c>
      <c r="F76" s="44" t="n">
        <f aca="false">Balance_Sheet!F33</f>
        <v>106502</v>
      </c>
    </row>
    <row r="77" customFormat="false" ht="15" hidden="false" customHeight="false" outlineLevel="0" collapsed="false">
      <c r="B77" s="41" t="s">
        <v>186</v>
      </c>
      <c r="C77" s="42"/>
      <c r="D77" s="53" t="n">
        <f aca="false">Balance_Sheet!D34</f>
        <v>196561</v>
      </c>
      <c r="E77" s="53" t="n">
        <f aca="false">Balance_Sheet!E34</f>
        <v>218318</v>
      </c>
      <c r="F77" s="53" t="n">
        <f aca="false">Balance_Sheet!F34</f>
        <v>244502</v>
      </c>
    </row>
    <row r="78" customFormat="false" ht="15" hidden="false" customHeight="false" outlineLevel="0" collapsed="false">
      <c r="B78" s="39" t="s">
        <v>284</v>
      </c>
      <c r="D78" s="55" t="n">
        <f aca="false">D74*1000/Par_Value</f>
        <v>1200000</v>
      </c>
      <c r="E78" s="55" t="n">
        <f aca="false">E74*1000/Par_Value</f>
        <v>1200000</v>
      </c>
      <c r="F78" s="55" t="n">
        <f aca="false">F74*1000/Par_Value</f>
        <v>1200000</v>
      </c>
      <c r="G78" s="52" t="s">
        <v>285</v>
      </c>
    </row>
    <row r="79" customFormat="false" ht="15" hidden="false" customHeight="false" outlineLevel="0" collapsed="false">
      <c r="B79" s="39" t="s">
        <v>225</v>
      </c>
      <c r="D79" s="40" t="n">
        <f aca="false">-Equity_Changes!E9</f>
        <v>5621</v>
      </c>
      <c r="E79" s="40" t="n">
        <f aca="false">-Equity_Changes!E17</f>
        <v>7252</v>
      </c>
      <c r="F79" s="40" t="n">
        <f aca="false">-Equity_Changes!E25</f>
        <v>11222</v>
      </c>
    </row>
    <row r="80" customFormat="false" ht="15" hidden="false" customHeight="false" outlineLevel="0" collapsed="false">
      <c r="B80" s="39" t="s">
        <v>286</v>
      </c>
      <c r="D80" s="56" t="n">
        <f aca="false">IFERROR(D79*1000/D78,0)</f>
        <v>4.68416666666667</v>
      </c>
      <c r="E80" s="56" t="n">
        <f aca="false">IFERROR(E79*1000/E78,0)</f>
        <v>6.04333333333333</v>
      </c>
      <c r="F80" s="56" t="n">
        <f aca="false">IFERROR(F79*1000/F78,0)</f>
        <v>9.35166666666667</v>
      </c>
    </row>
    <row r="81" customFormat="false" ht="15" hidden="false" customHeight="false" outlineLevel="0" collapsed="false">
      <c r="B81" s="39" t="s">
        <v>287</v>
      </c>
      <c r="D81" s="56" t="n">
        <f aca="false">IFERROR(Balance_Sheet!D34*1000/D78,0)</f>
        <v>163.800833333333</v>
      </c>
      <c r="E81" s="56" t="n">
        <f aca="false">IFERROR(Balance_Sheet!E34*1000/E78,0)</f>
        <v>181.931666666667</v>
      </c>
      <c r="F81" s="56" t="n">
        <f aca="false">IFERROR(Balance_Sheet!F34*1000/F78,0)</f>
        <v>203.751666666667</v>
      </c>
    </row>
    <row r="82" customFormat="false" ht="15" hidden="false" customHeight="false" outlineLevel="0" collapsed="false">
      <c r="B82" s="39" t="s">
        <v>288</v>
      </c>
      <c r="D82" s="50" t="n">
        <f aca="false">IFERROR(D79/Income_Statement!D20,0)</f>
        <v>0.250022240014234</v>
      </c>
      <c r="E82" s="50" t="n">
        <f aca="false">IFERROR(E79/Income_Statement!E20,0)</f>
        <v>0.249991381984901</v>
      </c>
      <c r="F82" s="50" t="n">
        <f aca="false">IFERROR(F79/Income_Statement!F20,0)</f>
        <v>0.300005346735818</v>
      </c>
    </row>
    <row r="84" customFormat="false" ht="15" hidden="false" customHeight="false" outlineLevel="0" collapsed="false">
      <c r="B84" s="12" t="s">
        <v>289</v>
      </c>
      <c r="C84" s="13"/>
      <c r="D84" s="13"/>
      <c r="E84" s="13"/>
      <c r="F84" s="13"/>
      <c r="G84" s="13"/>
    </row>
    <row r="85" customFormat="false" ht="24" hidden="false" customHeight="true" outlineLevel="0" collapsed="false">
      <c r="B85" s="33" t="s">
        <v>130</v>
      </c>
      <c r="C85" s="34"/>
      <c r="D85" s="35" t="n">
        <f aca="false">Inputs!D$22</f>
        <v>2023</v>
      </c>
      <c r="E85" s="35" t="n">
        <f aca="false">Inputs!E$22</f>
        <v>2024</v>
      </c>
      <c r="F85" s="35" t="n">
        <f aca="false">Inputs!F$22</f>
        <v>2025</v>
      </c>
    </row>
    <row r="86" customFormat="false" ht="15" hidden="false" customHeight="false" outlineLevel="0" collapsed="false">
      <c r="B86" s="39" t="s">
        <v>252</v>
      </c>
      <c r="D86" s="40" t="n">
        <f aca="false">SUMIFS(Sales_Net,Sales_Year,Inputs!D$22,Sales_Cat,"Packaged Food")</f>
        <v>331104</v>
      </c>
      <c r="E86" s="40" t="n">
        <f aca="false">SUMIFS(Sales_Net,Sales_Year,Inputs!E$22,Sales_Cat,"Packaged Food")</f>
        <v>358165</v>
      </c>
      <c r="F86" s="40" t="n">
        <f aca="false">SUMIFS(Sales_Net,Sales_Year,Inputs!F$22,Sales_Cat,"Packaged Food")</f>
        <v>382510</v>
      </c>
    </row>
    <row r="87" customFormat="false" ht="15" hidden="false" customHeight="false" outlineLevel="0" collapsed="false">
      <c r="B87" s="39" t="s">
        <v>253</v>
      </c>
      <c r="D87" s="40" t="n">
        <f aca="false">SUMIFS(Sales_Net,Sales_Year,Inputs!D$22,Sales_Cat,"Beverages")</f>
        <v>239746</v>
      </c>
      <c r="E87" s="40" t="n">
        <f aca="false">SUMIFS(Sales_Net,Sales_Year,Inputs!E$22,Sales_Cat,"Beverages")</f>
        <v>264622</v>
      </c>
      <c r="F87" s="40" t="n">
        <f aca="false">SUMIFS(Sales_Net,Sales_Year,Inputs!F$22,Sales_Cat,"Beverages")</f>
        <v>292182</v>
      </c>
    </row>
    <row r="88" customFormat="false" ht="15" hidden="false" customHeight="false" outlineLevel="0" collapsed="false">
      <c r="B88" s="39" t="s">
        <v>254</v>
      </c>
      <c r="D88" s="40" t="n">
        <f aca="false">SUMIFS(Sales_Net,Sales_Year,Inputs!D$22,Sales_Cat,"Household &amp; Personal Care")</f>
        <v>149705</v>
      </c>
      <c r="E88" s="40" t="n">
        <f aca="false">SUMIFS(Sales_Net,Sales_Year,Inputs!E$22,Sales_Cat,"Household &amp; Personal Care")</f>
        <v>160640</v>
      </c>
      <c r="F88" s="40" t="n">
        <f aca="false">SUMIFS(Sales_Net,Sales_Year,Inputs!F$22,Sales_Cat,"Household &amp; Personal Care")</f>
        <v>170561</v>
      </c>
    </row>
    <row r="89" customFormat="false" ht="15" hidden="false" customHeight="false" outlineLevel="0" collapsed="false">
      <c r="B89" s="39" t="s">
        <v>255</v>
      </c>
      <c r="D89" s="40" t="n">
        <f aca="false">SUMIFS(Sales_Net,Sales_Year,Inputs!D$22,Sales_Cat,"Fresh &amp; Frozen")</f>
        <v>100563</v>
      </c>
      <c r="E89" s="40" t="n">
        <f aca="false">SUMIFS(Sales_Net,Sales_Year,Inputs!E$22,Sales_Cat,"Fresh &amp; Frozen")</f>
        <v>113811</v>
      </c>
      <c r="F89" s="40" t="n">
        <f aca="false">SUMIFS(Sales_Net,Sales_Year,Inputs!F$22,Sales_Cat,"Fresh &amp; Frozen")</f>
        <v>127189</v>
      </c>
    </row>
    <row r="90" customFormat="false" ht="15" hidden="false" customHeight="false" outlineLevel="0" collapsed="false">
      <c r="B90" s="41" t="s">
        <v>290</v>
      </c>
      <c r="C90" s="42"/>
      <c r="D90" s="43" t="n">
        <f aca="false">SUM(D86:D89)</f>
        <v>821118</v>
      </c>
      <c r="E90" s="43" t="n">
        <f aca="false">SUM(E86:E89)</f>
        <v>897238</v>
      </c>
      <c r="F90" s="43" t="n">
        <f aca="false">SUM(F86:F89)</f>
        <v>972442</v>
      </c>
    </row>
    <row r="91" customFormat="false" ht="15" hidden="false" customHeight="false" outlineLevel="0" collapsed="false">
      <c r="B91" s="39" t="s">
        <v>291</v>
      </c>
      <c r="D91" s="40" t="n">
        <f aca="false">SUMIFS(Sales_Net,Sales_Year,Inputs!D$22,Sales_Region,"Luzon")</f>
        <v>477177</v>
      </c>
      <c r="E91" s="40" t="n">
        <f aca="false">SUMIFS(Sales_Net,Sales_Year,Inputs!E$22,Sales_Region,"Luzon")</f>
        <v>514752</v>
      </c>
      <c r="F91" s="40" t="n">
        <f aca="false">SUMIFS(Sales_Net,Sales_Year,Inputs!F$22,Sales_Region,"Luzon")</f>
        <v>554093</v>
      </c>
    </row>
    <row r="92" customFormat="false" ht="15" hidden="false" customHeight="false" outlineLevel="0" collapsed="false">
      <c r="B92" s="39" t="s">
        <v>292</v>
      </c>
      <c r="D92" s="40" t="n">
        <f aca="false">SUMIFS(Sales_Net,Sales_Year,Inputs!D$22,Sales_Region,"Visayas")</f>
        <v>187935</v>
      </c>
      <c r="E92" s="40" t="n">
        <f aca="false">SUMIFS(Sales_Net,Sales_Year,Inputs!E$22,Sales_Region,"Visayas")</f>
        <v>206985</v>
      </c>
      <c r="F92" s="40" t="n">
        <f aca="false">SUMIFS(Sales_Net,Sales_Year,Inputs!F$22,Sales_Region,"Visayas")</f>
        <v>223910</v>
      </c>
    </row>
    <row r="93" customFormat="false" ht="15" hidden="false" customHeight="false" outlineLevel="0" collapsed="false">
      <c r="B93" s="39" t="s">
        <v>293</v>
      </c>
      <c r="D93" s="40" t="n">
        <f aca="false">SUMIFS(Sales_Net,Sales_Year,Inputs!D$22,Sales_Region,"Mindanao")</f>
        <v>156006</v>
      </c>
      <c r="E93" s="40" t="n">
        <f aca="false">SUMIFS(Sales_Net,Sales_Year,Inputs!E$22,Sales_Region,"Mindanao")</f>
        <v>175501</v>
      </c>
      <c r="F93" s="40" t="n">
        <f aca="false">SUMIFS(Sales_Net,Sales_Year,Inputs!F$22,Sales_Region,"Mindanao")</f>
        <v>194439</v>
      </c>
    </row>
    <row r="94" customFormat="false" ht="15" hidden="false" customHeight="false" outlineLevel="0" collapsed="false">
      <c r="B94" s="41" t="s">
        <v>294</v>
      </c>
      <c r="C94" s="42"/>
      <c r="D94" s="43" t="n">
        <f aca="false">SUM(D91:D93)</f>
        <v>821118</v>
      </c>
      <c r="E94" s="43" t="n">
        <f aca="false">SUM(E91:E93)</f>
        <v>897238</v>
      </c>
      <c r="F94" s="43" t="n">
        <f aca="false">SUM(F91:F93)</f>
        <v>972442</v>
      </c>
    </row>
    <row r="96" customFormat="false" ht="15" hidden="false" customHeight="false" outlineLevel="0" collapsed="false">
      <c r="B96" s="12" t="s">
        <v>295</v>
      </c>
      <c r="C96" s="13"/>
      <c r="D96" s="13"/>
      <c r="E96" s="13"/>
      <c r="F96" s="13"/>
      <c r="G96" s="13"/>
    </row>
    <row r="97" customFormat="false" ht="24" hidden="false" customHeight="true" outlineLevel="0" collapsed="false">
      <c r="B97" s="33" t="s">
        <v>130</v>
      </c>
      <c r="C97" s="34"/>
      <c r="D97" s="35" t="n">
        <f aca="false">Inputs!D$22</f>
        <v>2023</v>
      </c>
      <c r="E97" s="35" t="n">
        <f aca="false">Inputs!E$22</f>
        <v>2024</v>
      </c>
      <c r="F97" s="35" t="n">
        <f aca="false">Inputs!F$22</f>
        <v>2025</v>
      </c>
    </row>
    <row r="98" customFormat="false" ht="15" hidden="false" customHeight="false" outlineLevel="0" collapsed="false">
      <c r="B98" s="39" t="s">
        <v>296</v>
      </c>
      <c r="D98" s="40" t="n">
        <f aca="false">SUMIFS(Sales_COGS,Sales_Year,Inputs!D$22)</f>
        <v>613977</v>
      </c>
      <c r="E98" s="40" t="n">
        <f aca="false">SUMIFS(Sales_COGS,Sales_Year,Inputs!E$22)</f>
        <v>668558</v>
      </c>
      <c r="F98" s="40" t="n">
        <f aca="false">SUMIFS(Sales_COGS,Sales_Year,Inputs!F$22)</f>
        <v>722548</v>
      </c>
    </row>
    <row r="99" customFormat="false" ht="15" hidden="false" customHeight="false" outlineLevel="0" collapsed="false">
      <c r="B99" s="39" t="s">
        <v>297</v>
      </c>
      <c r="D99" s="40" t="n">
        <f aca="false">SUMIFS(Exp_Amt,Exp_Year,Inputs!D$22,Exp_Line,"Sales commissions &amp; incentives")</f>
        <v>13034</v>
      </c>
      <c r="E99" s="40" t="n">
        <f aca="false">SUMIFS(Exp_Amt,Exp_Year,Inputs!E$22,Exp_Line,"Sales commissions &amp; incentives")</f>
        <v>14338</v>
      </c>
      <c r="F99" s="40" t="n">
        <f aca="false">SUMIFS(Exp_Amt,Exp_Year,Inputs!F$22,Exp_Line,"Sales commissions &amp; incentives")</f>
        <v>15695</v>
      </c>
    </row>
    <row r="100" customFormat="false" ht="15" hidden="false" customHeight="false" outlineLevel="0" collapsed="false">
      <c r="B100" s="39" t="s">
        <v>298</v>
      </c>
      <c r="D100" s="40" t="n">
        <f aca="false">SUMIFS(Exp_Amt,Exp_Year,Inputs!D$22,Exp_Line,"Advertising &amp; promotions")</f>
        <v>7890</v>
      </c>
      <c r="E100" s="40" t="n">
        <f aca="false">SUMIFS(Exp_Amt,Exp_Year,Inputs!E$22,Exp_Line,"Advertising &amp; promotions")</f>
        <v>8683</v>
      </c>
      <c r="F100" s="40" t="n">
        <f aca="false">SUMIFS(Exp_Amt,Exp_Year,Inputs!F$22,Exp_Line,"Advertising &amp; promotions")</f>
        <v>9363</v>
      </c>
    </row>
    <row r="101" customFormat="false" ht="15" hidden="false" customHeight="false" outlineLevel="0" collapsed="false">
      <c r="B101" s="39" t="s">
        <v>299</v>
      </c>
      <c r="D101" s="40" t="n">
        <f aca="false">SUMIFS(Exp_Amt,Exp_Year,Inputs!D$22,Exp_Line,"Freight &amp; delivery")</f>
        <v>19617</v>
      </c>
      <c r="E101" s="40" t="n">
        <f aca="false">SUMIFS(Exp_Amt,Exp_Year,Inputs!E$22,Exp_Line,"Freight &amp; delivery")</f>
        <v>21643</v>
      </c>
      <c r="F101" s="40" t="n">
        <f aca="false">SUMIFS(Exp_Amt,Exp_Year,Inputs!F$22,Exp_Line,"Freight &amp; delivery")</f>
        <v>23337</v>
      </c>
    </row>
    <row r="102" customFormat="false" ht="15" hidden="false" customHeight="false" outlineLevel="0" collapsed="false">
      <c r="B102" s="39" t="s">
        <v>300</v>
      </c>
      <c r="D102" s="40" t="n">
        <f aca="false">SUMIFS(Exp_Amt,Exp_Year,Inputs!D$22,Exp_Line,"Warehouse rent &amp; utilities")</f>
        <v>22849</v>
      </c>
      <c r="E102" s="40" t="n">
        <f aca="false">SUMIFS(Exp_Amt,Exp_Year,Inputs!E$22,Exp_Line,"Warehouse rent &amp; utilities")</f>
        <v>23767</v>
      </c>
      <c r="F102" s="40" t="n">
        <f aca="false">SUMIFS(Exp_Amt,Exp_Year,Inputs!F$22,Exp_Line,"Warehouse rent &amp; utilities")</f>
        <v>24992</v>
      </c>
    </row>
    <row r="103" customFormat="false" ht="15" hidden="false" customHeight="false" outlineLevel="0" collapsed="false">
      <c r="B103" s="39" t="s">
        <v>301</v>
      </c>
      <c r="D103" s="40" t="n">
        <f aca="false">SUMIFS(Exp_Amt,Exp_Year,Inputs!D$22,Exp_Line,"Selling &amp; logistics staff costs")</f>
        <v>29826</v>
      </c>
      <c r="E103" s="40" t="n">
        <f aca="false">SUMIFS(Exp_Amt,Exp_Year,Inputs!E$22,Exp_Line,"Selling &amp; logistics staff costs")</f>
        <v>31499</v>
      </c>
      <c r="F103" s="40" t="n">
        <f aca="false">SUMIFS(Exp_Amt,Exp_Year,Inputs!F$22,Exp_Line,"Selling &amp; logistics staff costs")</f>
        <v>32690</v>
      </c>
    </row>
    <row r="104" customFormat="false" ht="15" hidden="false" customHeight="false" outlineLevel="0" collapsed="false">
      <c r="B104" s="39" t="s">
        <v>302</v>
      </c>
      <c r="D104" s="40" t="n">
        <f aca="false">SUMIFS(Exp_Amt,Exp_Year,Inputs!D$22,Exp_Line,"Salaries &amp; wages (G&amp;A)")</f>
        <v>27660</v>
      </c>
      <c r="E104" s="40" t="n">
        <f aca="false">SUMIFS(Exp_Amt,Exp_Year,Inputs!E$22,Exp_Line,"Salaries &amp; wages (G&amp;A)")</f>
        <v>28920</v>
      </c>
      <c r="F104" s="40" t="n">
        <f aca="false">SUMIFS(Exp_Amt,Exp_Year,Inputs!F$22,Exp_Line,"Salaries &amp; wages (G&amp;A)")</f>
        <v>30213</v>
      </c>
    </row>
    <row r="105" customFormat="false" ht="15" hidden="false" customHeight="false" outlineLevel="0" collapsed="false">
      <c r="B105" s="39" t="s">
        <v>303</v>
      </c>
      <c r="D105" s="40" t="n">
        <f aca="false">SUMIFS(Exp_Amt,Exp_Year,Inputs!D$22,Exp_Line,"Employee benefits &amp; contributions")</f>
        <v>7451</v>
      </c>
      <c r="E105" s="40" t="n">
        <f aca="false">SUMIFS(Exp_Amt,Exp_Year,Inputs!E$22,Exp_Line,"Employee benefits &amp; contributions")</f>
        <v>7808</v>
      </c>
      <c r="F105" s="40" t="n">
        <f aca="false">SUMIFS(Exp_Amt,Exp_Year,Inputs!F$22,Exp_Line,"Employee benefits &amp; contributions")</f>
        <v>8130</v>
      </c>
    </row>
    <row r="106" customFormat="false" ht="15" hidden="false" customHeight="false" outlineLevel="0" collapsed="false">
      <c r="B106" s="39" t="s">
        <v>304</v>
      </c>
      <c r="D106" s="40" t="n">
        <f aca="false">SUMIFS(Exp_Amt,Exp_Year,Inputs!D$22,Exp_Line,"Professional fees")</f>
        <v>4055</v>
      </c>
      <c r="E106" s="40" t="n">
        <f aca="false">SUMIFS(Exp_Amt,Exp_Year,Inputs!E$22,Exp_Line,"Professional fees")</f>
        <v>4266</v>
      </c>
      <c r="F106" s="40" t="n">
        <f aca="false">SUMIFS(Exp_Amt,Exp_Year,Inputs!F$22,Exp_Line,"Professional fees")</f>
        <v>4500</v>
      </c>
    </row>
    <row r="107" customFormat="false" ht="15" hidden="false" customHeight="false" outlineLevel="0" collapsed="false">
      <c r="B107" s="39" t="s">
        <v>305</v>
      </c>
      <c r="D107" s="40" t="n">
        <f aca="false">SUMIFS(Exp_Amt,Exp_Year,Inputs!D$22,Exp_Line,"Office rent &amp; utilities")</f>
        <v>6240</v>
      </c>
      <c r="E107" s="40" t="n">
        <f aca="false">SUMIFS(Exp_Amt,Exp_Year,Inputs!E$22,Exp_Line,"Office rent &amp; utilities")</f>
        <v>6572</v>
      </c>
      <c r="F107" s="40" t="n">
        <f aca="false">SUMIFS(Exp_Amt,Exp_Year,Inputs!F$22,Exp_Line,"Office rent &amp; utilities")</f>
        <v>6839</v>
      </c>
    </row>
    <row r="108" customFormat="false" ht="15" hidden="false" customHeight="false" outlineLevel="0" collapsed="false">
      <c r="B108" s="39" t="s">
        <v>306</v>
      </c>
      <c r="D108" s="40" t="n">
        <f aca="false">SUMIFS(Exp_Amt,Exp_Year,Inputs!D$22,Exp_Line,"Repairs &amp; maintenance")</f>
        <v>2535</v>
      </c>
      <c r="E108" s="40" t="n">
        <f aca="false">SUMIFS(Exp_Amt,Exp_Year,Inputs!E$22,Exp_Line,"Repairs &amp; maintenance")</f>
        <v>2672</v>
      </c>
      <c r="F108" s="40" t="n">
        <f aca="false">SUMIFS(Exp_Amt,Exp_Year,Inputs!F$22,Exp_Line,"Repairs &amp; maintenance")</f>
        <v>2729</v>
      </c>
    </row>
    <row r="109" customFormat="false" ht="15" hidden="false" customHeight="false" outlineLevel="0" collapsed="false">
      <c r="B109" s="39" t="s">
        <v>307</v>
      </c>
      <c r="D109" s="40" t="n">
        <f aca="false">SUMIFS(Exp_Amt,Exp_Year,Inputs!D$22,Exp_Line,"Taxes, licenses &amp; insurance")</f>
        <v>5055</v>
      </c>
      <c r="E109" s="40" t="n">
        <f aca="false">SUMIFS(Exp_Amt,Exp_Year,Inputs!E$22,Exp_Line,"Taxes, licenses &amp; insurance")</f>
        <v>5318</v>
      </c>
      <c r="F109" s="40" t="n">
        <f aca="false">SUMIFS(Exp_Amt,Exp_Year,Inputs!F$22,Exp_Line,"Taxes, licenses &amp; insurance")</f>
        <v>5484</v>
      </c>
    </row>
    <row r="110" customFormat="false" ht="15" hidden="false" customHeight="false" outlineLevel="0" collapsed="false">
      <c r="B110" s="39" t="s">
        <v>308</v>
      </c>
      <c r="D110" s="40" t="n">
        <f aca="false">SUMIFS(Exp_Amt,Exp_Year,Inputs!D$22,Exp_Line,"Communication, IT &amp; supplies")</f>
        <v>4088</v>
      </c>
      <c r="E110" s="40" t="n">
        <f aca="false">SUMIFS(Exp_Amt,Exp_Year,Inputs!E$22,Exp_Line,"Communication, IT &amp; supplies")</f>
        <v>4299</v>
      </c>
      <c r="F110" s="40" t="n">
        <f aca="false">SUMIFS(Exp_Amt,Exp_Year,Inputs!F$22,Exp_Line,"Communication, IT &amp; supplies")</f>
        <v>4463</v>
      </c>
    </row>
    <row r="111" customFormat="false" ht="15" hidden="false" customHeight="false" outlineLevel="0" collapsed="false">
      <c r="B111" s="39" t="s">
        <v>309</v>
      </c>
      <c r="D111" s="40" t="n">
        <f aca="false">SUMIFS(Exp_Amt,Exp_Year,Inputs!D$22,Exp_Line,"Bad debts &amp; credit losses")</f>
        <v>1231</v>
      </c>
      <c r="E111" s="40" t="n">
        <f aca="false">SUMIFS(Exp_Amt,Exp_Year,Inputs!E$22,Exp_Line,"Bad debts &amp; credit losses")</f>
        <v>1342</v>
      </c>
      <c r="F111" s="40" t="n">
        <f aca="false">SUMIFS(Exp_Amt,Exp_Year,Inputs!F$22,Exp_Line,"Bad debts &amp; credit losses")</f>
        <v>1469</v>
      </c>
    </row>
    <row r="112" customFormat="false" ht="15" hidden="false" customHeight="false" outlineLevel="0" collapsed="false">
      <c r="B112" s="39" t="s">
        <v>92</v>
      </c>
      <c r="D112" s="44" t="n">
        <f aca="false">Schedules!D62</f>
        <v>17389</v>
      </c>
      <c r="E112" s="44" t="n">
        <f aca="false">Schedules!E62</f>
        <v>19250</v>
      </c>
      <c r="F112" s="44" t="n">
        <f aca="false">Schedules!F62</f>
        <v>21257</v>
      </c>
    </row>
    <row r="113" customFormat="false" ht="15" hidden="false" customHeight="false" outlineLevel="0" collapsed="false">
      <c r="B113" s="41" t="s">
        <v>310</v>
      </c>
      <c r="C113" s="42"/>
      <c r="D113" s="43" t="n">
        <f aca="false">SUM(D98:D112)</f>
        <v>782897</v>
      </c>
      <c r="E113" s="43" t="n">
        <f aca="false">SUM(E98:E112)</f>
        <v>848935</v>
      </c>
      <c r="F113" s="43" t="n">
        <f aca="false">SUM(F98:F112)</f>
        <v>913709</v>
      </c>
    </row>
    <row r="115" customFormat="false" ht="15" hidden="false" customHeight="false" outlineLevel="0" collapsed="false">
      <c r="B115" s="12" t="s">
        <v>311</v>
      </c>
      <c r="C115" s="13"/>
      <c r="D115" s="13"/>
      <c r="E115" s="13"/>
      <c r="F115" s="13"/>
      <c r="G115" s="13"/>
    </row>
    <row r="116" customFormat="false" ht="24" hidden="false" customHeight="true" outlineLevel="0" collapsed="false">
      <c r="B116" s="33" t="s">
        <v>130</v>
      </c>
      <c r="C116" s="34"/>
      <c r="D116" s="35" t="n">
        <f aca="false">Inputs!D$22</f>
        <v>2023</v>
      </c>
      <c r="E116" s="35" t="n">
        <f aca="false">Inputs!E$22</f>
        <v>2024</v>
      </c>
      <c r="F116" s="35" t="n">
        <f aca="false">Inputs!F$22</f>
        <v>2025</v>
      </c>
    </row>
    <row r="117" customFormat="false" ht="15" hidden="false" customHeight="false" outlineLevel="0" collapsed="false">
      <c r="B117" s="39" t="s">
        <v>147</v>
      </c>
      <c r="D117" s="44" t="n">
        <f aca="false">Income_Statement!D18</f>
        <v>30325</v>
      </c>
      <c r="E117" s="44" t="n">
        <f aca="false">Income_Statement!E18</f>
        <v>39071</v>
      </c>
      <c r="F117" s="44" t="n">
        <f aca="false">Income_Statement!F18</f>
        <v>50294</v>
      </c>
    </row>
    <row r="118" customFormat="false" ht="15" hidden="false" customHeight="false" outlineLevel="0" collapsed="false">
      <c r="B118" s="39" t="s">
        <v>312</v>
      </c>
      <c r="D118" s="40" t="n">
        <f aca="false">ROUND(D117*Tax_Rate,0)</f>
        <v>7581</v>
      </c>
      <c r="E118" s="40" t="n">
        <f aca="false">ROUND(E117*Tax_Rate,0)</f>
        <v>9768</v>
      </c>
      <c r="F118" s="40" t="n">
        <f aca="false">ROUND(F117*Tax_Rate,0)</f>
        <v>12574</v>
      </c>
    </row>
    <row r="119" customFormat="false" ht="15" hidden="false" customHeight="false" outlineLevel="0" collapsed="false">
      <c r="B119" s="39" t="s">
        <v>313</v>
      </c>
      <c r="D119" s="40" t="n">
        <f aca="false">ROUND(Inputs!D28*Tax_Rate,0)</f>
        <v>300</v>
      </c>
      <c r="E119" s="40" t="n">
        <f aca="false">ROUND(Inputs!E28*Tax_Rate,0)</f>
        <v>338</v>
      </c>
      <c r="F119" s="40" t="n">
        <f aca="false">ROUND(Inputs!F28*Tax_Rate,0)</f>
        <v>375</v>
      </c>
    </row>
    <row r="120" customFormat="false" ht="15" hidden="false" customHeight="false" outlineLevel="0" collapsed="false">
      <c r="B120" s="39" t="s">
        <v>314</v>
      </c>
      <c r="D120" s="40" t="n">
        <f aca="false">-ROUND(Schedules!D91*Tax_Rate,0)</f>
        <v>-194</v>
      </c>
      <c r="E120" s="40" t="n">
        <f aca="false">-ROUND(Schedules!E91*Tax_Rate,0)</f>
        <v>-218</v>
      </c>
      <c r="F120" s="40" t="n">
        <f aca="false">-ROUND(Schedules!F91*Tax_Rate,0)</f>
        <v>-302</v>
      </c>
    </row>
    <row r="121" customFormat="false" ht="15" hidden="false" customHeight="false" outlineLevel="0" collapsed="false">
      <c r="B121" s="39" t="s">
        <v>315</v>
      </c>
      <c r="D121" s="40" t="n">
        <f aca="false">Schedules!D101-SUM(D118:D120)</f>
        <v>1</v>
      </c>
      <c r="E121" s="40" t="n">
        <f aca="false">Schedules!E101-SUM(E118:E120)</f>
        <v>-1</v>
      </c>
      <c r="F121" s="40" t="n">
        <f aca="false">Schedules!F101-SUM(F118:F120)</f>
        <v>0</v>
      </c>
    </row>
    <row r="122" customFormat="false" ht="15" hidden="false" customHeight="false" outlineLevel="0" collapsed="false">
      <c r="B122" s="39" t="s">
        <v>316</v>
      </c>
      <c r="D122" s="44" t="n">
        <f aca="false">Schedules!D102</f>
        <v>155</v>
      </c>
      <c r="E122" s="44" t="n">
        <f aca="false">Schedules!E102</f>
        <v>175</v>
      </c>
      <c r="F122" s="44" t="n">
        <f aca="false">Schedules!F102</f>
        <v>241</v>
      </c>
    </row>
    <row r="123" customFormat="false" ht="15" hidden="false" customHeight="false" outlineLevel="0" collapsed="false">
      <c r="B123" s="41" t="s">
        <v>148</v>
      </c>
      <c r="C123" s="42"/>
      <c r="D123" s="43" t="n">
        <f aca="false">SUM(D118:D122)</f>
        <v>7843</v>
      </c>
      <c r="E123" s="43" t="n">
        <f aca="false">SUM(E118:E122)</f>
        <v>10062</v>
      </c>
      <c r="F123" s="43" t="n">
        <f aca="false">SUM(F118:F122)</f>
        <v>12888</v>
      </c>
    </row>
    <row r="124" customFormat="false" ht="15" hidden="false" customHeight="false" outlineLevel="0" collapsed="false">
      <c r="B124" s="39" t="s">
        <v>317</v>
      </c>
      <c r="D124" s="50" t="n">
        <f aca="false">IFERROR(D123/D117,0)</f>
        <v>0.258631492168178</v>
      </c>
      <c r="E124" s="50" t="n">
        <f aca="false">IFERROR(E123/E117,0)</f>
        <v>0.257531161219319</v>
      </c>
      <c r="F124" s="50" t="n">
        <f aca="false">IFERROR(F123/F117,0)</f>
        <v>0.25625323100171</v>
      </c>
    </row>
    <row r="125" customFormat="false" ht="15" hidden="false" customHeight="false" outlineLevel="0" collapsed="false">
      <c r="B125" s="39" t="s">
        <v>318</v>
      </c>
      <c r="D125" s="50" t="n">
        <f aca="false">Tax_Rate</f>
        <v>0.25</v>
      </c>
      <c r="E125" s="50" t="n">
        <f aca="false">Tax_Rate</f>
        <v>0.25</v>
      </c>
      <c r="F125" s="50" t="n">
        <f aca="false">Tax_Rate</f>
        <v>0.25</v>
      </c>
    </row>
    <row r="126" customFormat="false" ht="15" hidden="false" customHeight="false" outlineLevel="0" collapsed="false">
      <c r="B126" s="39" t="s">
        <v>319</v>
      </c>
      <c r="D126" s="44" t="n">
        <f aca="false">Balance_Sheet!D23</f>
        <v>1691</v>
      </c>
      <c r="E126" s="44" t="n">
        <f aca="false">Balance_Sheet!E23</f>
        <v>1977</v>
      </c>
      <c r="F126" s="44" t="n">
        <f aca="false">Balance_Sheet!F23</f>
        <v>2529</v>
      </c>
    </row>
    <row r="128" customFormat="false" ht="15" hidden="false" customHeight="false" outlineLevel="0" collapsed="false">
      <c r="B128" s="12" t="s">
        <v>320</v>
      </c>
      <c r="C128" s="13"/>
      <c r="D128" s="13"/>
      <c r="E128" s="13"/>
      <c r="F128" s="13"/>
      <c r="G128" s="13"/>
    </row>
    <row r="129" customFormat="false" ht="24" hidden="false" customHeight="true" outlineLevel="0" collapsed="false">
      <c r="B129" s="33" t="s">
        <v>130</v>
      </c>
      <c r="C129" s="34"/>
      <c r="D129" s="35" t="n">
        <f aca="false">Inputs!D$22</f>
        <v>2023</v>
      </c>
      <c r="E129" s="35" t="n">
        <f aca="false">Inputs!E$22</f>
        <v>2024</v>
      </c>
      <c r="F129" s="35" t="n">
        <f aca="false">Inputs!F$22</f>
        <v>2025</v>
      </c>
    </row>
    <row r="130" customFormat="false" ht="15" hidden="false" customHeight="false" outlineLevel="0" collapsed="false">
      <c r="B130" s="39" t="s">
        <v>321</v>
      </c>
      <c r="D130" s="40" t="n">
        <f aca="false">Schedules!D87-Balance_Sheet!D8</f>
        <v>77784</v>
      </c>
      <c r="E130" s="40" t="n">
        <f aca="false">Schedules!E87-Balance_Sheet!E8</f>
        <v>71540</v>
      </c>
      <c r="F130" s="40" t="n">
        <f aca="false">Schedules!F87-Balance_Sheet!F8</f>
        <v>51252</v>
      </c>
    </row>
    <row r="131" customFormat="false" ht="15" hidden="false" customHeight="false" outlineLevel="0" collapsed="false">
      <c r="B131" s="39" t="s">
        <v>322</v>
      </c>
      <c r="D131" s="57" t="n">
        <f aca="false">IFERROR(Balance_Sheet!D12/Balance_Sheet!D26,0)</f>
        <v>1.57550099572465</v>
      </c>
      <c r="E131" s="57" t="n">
        <f aca="false">IFERROR(Balance_Sheet!E12/Balance_Sheet!E26,0)</f>
        <v>1.76093716347189</v>
      </c>
      <c r="F131" s="57" t="n">
        <f aca="false">IFERROR(Balance_Sheet!F12/Balance_Sheet!F26,0)</f>
        <v>1.75515074326367</v>
      </c>
    </row>
    <row r="132" customFormat="false" ht="15" hidden="false" customHeight="false" outlineLevel="0" collapsed="false">
      <c r="B132" s="39" t="s">
        <v>323</v>
      </c>
      <c r="D132" s="40" t="n">
        <f aca="false">Balance_Sheet!D8+Balance_Sheet!D9-Balance_Sheet!D26</f>
        <v>-4411</v>
      </c>
      <c r="E132" s="40" t="n">
        <f aca="false">Balance_Sheet!E8+Balance_Sheet!E9-Balance_Sheet!E26</f>
        <v>20379</v>
      </c>
      <c r="F132" s="40" t="n">
        <f aca="false">Balance_Sheet!F8+Balance_Sheet!F9-Balance_Sheet!F26</f>
        <v>19533</v>
      </c>
    </row>
    <row r="133" customFormat="false" ht="42" hidden="false" customHeight="true" outlineLevel="0" collapsed="false">
      <c r="B133" s="10" t="s">
        <v>324</v>
      </c>
      <c r="C133" s="10"/>
      <c r="D133" s="10"/>
      <c r="E133" s="10"/>
      <c r="F133" s="10"/>
      <c r="G133" s="10"/>
    </row>
    <row r="135" customFormat="false" ht="15" hidden="false" customHeight="false" outlineLevel="0" collapsed="false">
      <c r="B135" s="12" t="s">
        <v>325</v>
      </c>
      <c r="C135" s="13"/>
      <c r="D135" s="13"/>
      <c r="E135" s="13"/>
      <c r="F135" s="13"/>
      <c r="G135" s="13"/>
    </row>
    <row r="136" customFormat="false" ht="18" hidden="false" customHeight="true" outlineLevel="0" collapsed="false">
      <c r="B136" s="10" t="s">
        <v>326</v>
      </c>
      <c r="C136" s="10"/>
      <c r="D136" s="10"/>
      <c r="E136" s="10"/>
      <c r="F136" s="10"/>
      <c r="G136" s="10"/>
    </row>
  </sheetData>
  <mergeCells count="10">
    <mergeCell ref="B6:G6"/>
    <mergeCell ref="B9:G9"/>
    <mergeCell ref="B10:G10"/>
    <mergeCell ref="B11:G11"/>
    <mergeCell ref="B12:G12"/>
    <mergeCell ref="B13:G13"/>
    <mergeCell ref="B14:G14"/>
    <mergeCell ref="B15:G15"/>
    <mergeCell ref="B133:G133"/>
    <mergeCell ref="B136:G1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G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6" min="3" style="0" width="14"/>
    <col collapsed="false" customWidth="true" hidden="false" outlineLevel="0" max="7" min="7" style="0" width="40"/>
  </cols>
  <sheetData>
    <row r="1" customFormat="false" ht="24" hidden="false" customHeight="true" outlineLevel="0" collapsed="false">
      <c r="B1" s="17" t="s">
        <v>327</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5" customFormat="false" ht="24" hidden="false" customHeight="true" outlineLevel="0" collapsed="false">
      <c r="B5" s="33" t="s">
        <v>130</v>
      </c>
      <c r="C5" s="35" t="n">
        <f aca="false">Inputs!C$22</f>
        <v>2022</v>
      </c>
      <c r="D5" s="35" t="n">
        <f aca="false">Inputs!D$22</f>
        <v>2023</v>
      </c>
      <c r="E5" s="35" t="n">
        <f aca="false">Inputs!E$22</f>
        <v>2024</v>
      </c>
      <c r="F5" s="35" t="n">
        <f aca="false">Inputs!F$22</f>
        <v>2025</v>
      </c>
    </row>
    <row r="6" customFormat="false" ht="15" hidden="false" customHeight="false" outlineLevel="0" collapsed="false">
      <c r="B6" s="12" t="s">
        <v>328</v>
      </c>
      <c r="C6" s="13"/>
      <c r="D6" s="13"/>
      <c r="E6" s="13"/>
      <c r="F6" s="13"/>
      <c r="G6" s="13"/>
    </row>
    <row r="7" customFormat="false" ht="15" hidden="false" customHeight="false" outlineLevel="0" collapsed="false">
      <c r="B7" s="48" t="s">
        <v>329</v>
      </c>
    </row>
    <row r="8" customFormat="false" ht="15" hidden="false" customHeight="false" outlineLevel="0" collapsed="false">
      <c r="B8" s="39" t="s">
        <v>266</v>
      </c>
      <c r="D8" s="40" t="n">
        <f aca="false">C11</f>
        <v>60000</v>
      </c>
      <c r="E8" s="40" t="n">
        <f aca="false">D11</f>
        <v>60000</v>
      </c>
      <c r="F8" s="40" t="n">
        <f aca="false">E11</f>
        <v>60000</v>
      </c>
    </row>
    <row r="9" customFormat="false" ht="15" hidden="false" customHeight="false" outlineLevel="0" collapsed="false">
      <c r="B9" s="39" t="s">
        <v>267</v>
      </c>
      <c r="D9" s="44" t="n">
        <f aca="false">Inputs!D74</f>
        <v>0</v>
      </c>
      <c r="E9" s="44" t="n">
        <f aca="false">Inputs!E74</f>
        <v>0</v>
      </c>
      <c r="F9" s="44" t="n">
        <f aca="false">Inputs!F74</f>
        <v>0</v>
      </c>
    </row>
    <row r="10" customFormat="false" ht="15" hidden="false" customHeight="false" outlineLevel="0" collapsed="false">
      <c r="B10" s="39" t="s">
        <v>268</v>
      </c>
      <c r="D10" s="40" t="n">
        <f aca="false">-Inputs!D80</f>
        <v>-0</v>
      </c>
      <c r="E10" s="40" t="n">
        <f aca="false">-Inputs!E80</f>
        <v>-0</v>
      </c>
      <c r="F10" s="40" t="n">
        <f aca="false">-Inputs!F80</f>
        <v>-0</v>
      </c>
    </row>
    <row r="11" customFormat="false" ht="15" hidden="false" customHeight="false" outlineLevel="0" collapsed="false">
      <c r="B11" s="41" t="s">
        <v>269</v>
      </c>
      <c r="C11" s="53" t="n">
        <f aca="false">Inputs!$D$66</f>
        <v>60000</v>
      </c>
      <c r="D11" s="43" t="n">
        <f aca="false">SUM(D8:D10)</f>
        <v>60000</v>
      </c>
      <c r="E11" s="43" t="n">
        <f aca="false">SUM(E8:E10)</f>
        <v>60000</v>
      </c>
      <c r="F11" s="43" t="n">
        <f aca="false">SUM(F8:F10)</f>
        <v>60000</v>
      </c>
    </row>
    <row r="12" customFormat="false" ht="15" hidden="false" customHeight="false" outlineLevel="0" collapsed="false">
      <c r="B12" s="39" t="s">
        <v>270</v>
      </c>
      <c r="D12" s="40" t="n">
        <f aca="false">C15</f>
        <v>0</v>
      </c>
      <c r="E12" s="40" t="n">
        <f aca="false">D15</f>
        <v>0</v>
      </c>
      <c r="F12" s="40" t="n">
        <f aca="false">E15</f>
        <v>0</v>
      </c>
    </row>
    <row r="13" customFormat="false" ht="15" hidden="false" customHeight="false" outlineLevel="0" collapsed="false">
      <c r="B13" s="39" t="s">
        <v>271</v>
      </c>
      <c r="D13" s="40" t="n">
        <f aca="false">IF(Inputs!$C$66=0,0,MAX(0,MIN(ROUND((D8+0.5*D9+0.5*D10)/Inputs!$C$66,0),D11-(D12+D14))))</f>
        <v>0</v>
      </c>
      <c r="E13" s="40" t="n">
        <f aca="false">IF(Inputs!$C$66=0,0,MAX(0,MIN(ROUND((E8+0.5*E9+0.5*E10)/Inputs!$C$66,0),E11-(E12+E14))))</f>
        <v>0</v>
      </c>
      <c r="F13" s="40" t="n">
        <f aca="false">IF(Inputs!$C$66=0,0,MAX(0,MIN(ROUND((F8+0.5*F9+0.5*F10)/Inputs!$C$66,0),F11-(F12+F14))))</f>
        <v>0</v>
      </c>
    </row>
    <row r="14" customFormat="false" ht="15" hidden="false" customHeight="false" outlineLevel="0" collapsed="false">
      <c r="B14" s="39" t="s">
        <v>268</v>
      </c>
      <c r="D14" s="40" t="n">
        <f aca="false">-Inputs!D86</f>
        <v>-0</v>
      </c>
      <c r="E14" s="40" t="n">
        <f aca="false">-Inputs!E86</f>
        <v>-0</v>
      </c>
      <c r="F14" s="40" t="n">
        <f aca="false">-Inputs!F86</f>
        <v>-0</v>
      </c>
    </row>
    <row r="15" customFormat="false" ht="15" hidden="false" customHeight="false" outlineLevel="0" collapsed="false">
      <c r="B15" s="41" t="s">
        <v>272</v>
      </c>
      <c r="C15" s="53" t="n">
        <f aca="false">Inputs!$E$66</f>
        <v>0</v>
      </c>
      <c r="D15" s="43" t="n">
        <f aca="false">SUM(D12:D14)</f>
        <v>0</v>
      </c>
      <c r="E15" s="43" t="n">
        <f aca="false">SUM(E12:E14)</f>
        <v>0</v>
      </c>
      <c r="F15" s="43" t="n">
        <f aca="false">SUM(F12:F14)</f>
        <v>0</v>
      </c>
    </row>
    <row r="16" customFormat="false" ht="15" hidden="false" customHeight="false" outlineLevel="0" collapsed="false">
      <c r="B16" s="8" t="s">
        <v>330</v>
      </c>
      <c r="C16" s="37" t="n">
        <f aca="false">C11-C15</f>
        <v>60000</v>
      </c>
      <c r="D16" s="37" t="n">
        <f aca="false">D11-D15</f>
        <v>60000</v>
      </c>
      <c r="E16" s="37" t="n">
        <f aca="false">E11-E15</f>
        <v>60000</v>
      </c>
      <c r="F16" s="37" t="n">
        <f aca="false">F11-F15</f>
        <v>60000</v>
      </c>
    </row>
    <row r="17" customFormat="false" ht="15" hidden="false" customHeight="false" outlineLevel="0" collapsed="false">
      <c r="B17" s="48" t="s">
        <v>331</v>
      </c>
    </row>
    <row r="18" customFormat="false" ht="15" hidden="false" customHeight="false" outlineLevel="0" collapsed="false">
      <c r="B18" s="39" t="s">
        <v>266</v>
      </c>
      <c r="D18" s="40" t="n">
        <f aca="false">C21</f>
        <v>96000</v>
      </c>
      <c r="E18" s="40" t="n">
        <f aca="false">D21</f>
        <v>100500</v>
      </c>
      <c r="F18" s="40" t="n">
        <f aca="false">E21</f>
        <v>111500</v>
      </c>
    </row>
    <row r="19" customFormat="false" ht="15" hidden="false" customHeight="false" outlineLevel="0" collapsed="false">
      <c r="B19" s="39" t="s">
        <v>267</v>
      </c>
      <c r="D19" s="44" t="n">
        <f aca="false">Inputs!D75</f>
        <v>4500</v>
      </c>
      <c r="E19" s="44" t="n">
        <f aca="false">Inputs!E75</f>
        <v>11000</v>
      </c>
      <c r="F19" s="44" t="n">
        <f aca="false">Inputs!F75</f>
        <v>6500</v>
      </c>
    </row>
    <row r="20" customFormat="false" ht="15" hidden="false" customHeight="false" outlineLevel="0" collapsed="false">
      <c r="B20" s="39" t="s">
        <v>268</v>
      </c>
      <c r="D20" s="40" t="n">
        <f aca="false">-Inputs!D81</f>
        <v>-0</v>
      </c>
      <c r="E20" s="40" t="n">
        <f aca="false">-Inputs!E81</f>
        <v>-0</v>
      </c>
      <c r="F20" s="40" t="n">
        <f aca="false">-Inputs!F81</f>
        <v>-0</v>
      </c>
    </row>
    <row r="21" customFormat="false" ht="15" hidden="false" customHeight="false" outlineLevel="0" collapsed="false">
      <c r="B21" s="41" t="s">
        <v>269</v>
      </c>
      <c r="C21" s="53" t="n">
        <f aca="false">Inputs!$D$67</f>
        <v>96000</v>
      </c>
      <c r="D21" s="43" t="n">
        <f aca="false">SUM(D18:D20)</f>
        <v>100500</v>
      </c>
      <c r="E21" s="43" t="n">
        <f aca="false">SUM(E18:E20)</f>
        <v>111500</v>
      </c>
      <c r="F21" s="43" t="n">
        <f aca="false">SUM(F18:F20)</f>
        <v>118000</v>
      </c>
    </row>
    <row r="22" customFormat="false" ht="15" hidden="false" customHeight="false" outlineLevel="0" collapsed="false">
      <c r="B22" s="39" t="s">
        <v>270</v>
      </c>
      <c r="D22" s="40" t="n">
        <f aca="false">C25</f>
        <v>26000</v>
      </c>
      <c r="E22" s="40" t="n">
        <f aca="false">D25</f>
        <v>29275</v>
      </c>
      <c r="F22" s="40" t="n">
        <f aca="false">E25</f>
        <v>32808</v>
      </c>
    </row>
    <row r="23" customFormat="false" ht="15" hidden="false" customHeight="false" outlineLevel="0" collapsed="false">
      <c r="B23" s="39" t="s">
        <v>271</v>
      </c>
      <c r="D23" s="40" t="n">
        <f aca="false">IF(Inputs!$C$67=0,0,MAX(0,MIN(ROUND((D18+0.5*D19+0.5*D20)/Inputs!$C$67,0),D21-(D22+D24))))</f>
        <v>3275</v>
      </c>
      <c r="E23" s="40" t="n">
        <f aca="false">IF(Inputs!$C$67=0,0,MAX(0,MIN(ROUND((E18+0.5*E19+0.5*E20)/Inputs!$C$67,0),E21-(E22+E24))))</f>
        <v>3533</v>
      </c>
      <c r="F23" s="40" t="n">
        <f aca="false">IF(Inputs!$C$67=0,0,MAX(0,MIN(ROUND((F18+0.5*F19+0.5*F20)/Inputs!$C$67,0),F21-(F22+F24))))</f>
        <v>3825</v>
      </c>
    </row>
    <row r="24" customFormat="false" ht="15" hidden="false" customHeight="false" outlineLevel="0" collapsed="false">
      <c r="B24" s="39" t="s">
        <v>268</v>
      </c>
      <c r="D24" s="40" t="n">
        <f aca="false">-Inputs!D87</f>
        <v>-0</v>
      </c>
      <c r="E24" s="40" t="n">
        <f aca="false">-Inputs!E87</f>
        <v>-0</v>
      </c>
      <c r="F24" s="40" t="n">
        <f aca="false">-Inputs!F87</f>
        <v>-0</v>
      </c>
    </row>
    <row r="25" customFormat="false" ht="15" hidden="false" customHeight="false" outlineLevel="0" collapsed="false">
      <c r="B25" s="41" t="s">
        <v>272</v>
      </c>
      <c r="C25" s="53" t="n">
        <f aca="false">Inputs!$E$67</f>
        <v>26000</v>
      </c>
      <c r="D25" s="43" t="n">
        <f aca="false">SUM(D22:D24)</f>
        <v>29275</v>
      </c>
      <c r="E25" s="43" t="n">
        <f aca="false">SUM(E22:E24)</f>
        <v>32808</v>
      </c>
      <c r="F25" s="43" t="n">
        <f aca="false">SUM(F22:F24)</f>
        <v>36633</v>
      </c>
    </row>
    <row r="26" customFormat="false" ht="15" hidden="false" customHeight="false" outlineLevel="0" collapsed="false">
      <c r="B26" s="8" t="s">
        <v>330</v>
      </c>
      <c r="C26" s="37" t="n">
        <f aca="false">C21-C25</f>
        <v>70000</v>
      </c>
      <c r="D26" s="37" t="n">
        <f aca="false">D21-D25</f>
        <v>71225</v>
      </c>
      <c r="E26" s="37" t="n">
        <f aca="false">E21-E25</f>
        <v>78692</v>
      </c>
      <c r="F26" s="37" t="n">
        <f aca="false">F21-F25</f>
        <v>81367</v>
      </c>
    </row>
    <row r="27" customFormat="false" ht="15" hidden="false" customHeight="false" outlineLevel="0" collapsed="false">
      <c r="B27" s="48" t="s">
        <v>332</v>
      </c>
    </row>
    <row r="28" customFormat="false" ht="15" hidden="false" customHeight="false" outlineLevel="0" collapsed="false">
      <c r="B28" s="39" t="s">
        <v>266</v>
      </c>
      <c r="D28" s="40" t="n">
        <f aca="false">C31</f>
        <v>38000</v>
      </c>
      <c r="E28" s="40" t="n">
        <f aca="false">D31</f>
        <v>43200</v>
      </c>
      <c r="F28" s="40" t="n">
        <f aca="false">E31</f>
        <v>51600</v>
      </c>
    </row>
    <row r="29" customFormat="false" ht="15" hidden="false" customHeight="false" outlineLevel="0" collapsed="false">
      <c r="B29" s="39" t="s">
        <v>267</v>
      </c>
      <c r="D29" s="44" t="n">
        <f aca="false">Inputs!D76</f>
        <v>5200</v>
      </c>
      <c r="E29" s="44" t="n">
        <f aca="false">Inputs!E76</f>
        <v>8400</v>
      </c>
      <c r="F29" s="44" t="n">
        <f aca="false">Inputs!F76</f>
        <v>6800</v>
      </c>
    </row>
    <row r="30" customFormat="false" ht="15" hidden="false" customHeight="false" outlineLevel="0" collapsed="false">
      <c r="B30" s="39" t="s">
        <v>268</v>
      </c>
      <c r="D30" s="40" t="n">
        <f aca="false">-Inputs!D82</f>
        <v>-0</v>
      </c>
      <c r="E30" s="40" t="n">
        <f aca="false">-Inputs!E82</f>
        <v>-0</v>
      </c>
      <c r="F30" s="40" t="n">
        <f aca="false">-Inputs!F82</f>
        <v>-0</v>
      </c>
    </row>
    <row r="31" customFormat="false" ht="15" hidden="false" customHeight="false" outlineLevel="0" collapsed="false">
      <c r="B31" s="41" t="s">
        <v>269</v>
      </c>
      <c r="C31" s="53" t="n">
        <f aca="false">Inputs!$D$68</f>
        <v>38000</v>
      </c>
      <c r="D31" s="43" t="n">
        <f aca="false">SUM(D28:D30)</f>
        <v>43200</v>
      </c>
      <c r="E31" s="43" t="n">
        <f aca="false">SUM(E28:E30)</f>
        <v>51600</v>
      </c>
      <c r="F31" s="43" t="n">
        <f aca="false">SUM(F28:F30)</f>
        <v>58400</v>
      </c>
    </row>
    <row r="32" customFormat="false" ht="15" hidden="false" customHeight="false" outlineLevel="0" collapsed="false">
      <c r="B32" s="39" t="s">
        <v>270</v>
      </c>
      <c r="D32" s="40" t="n">
        <f aca="false">C35</f>
        <v>18500</v>
      </c>
      <c r="E32" s="40" t="n">
        <f aca="false">D35</f>
        <v>21883</v>
      </c>
      <c r="F32" s="40" t="n">
        <f aca="false">E35</f>
        <v>25833</v>
      </c>
    </row>
    <row r="33" customFormat="false" ht="15" hidden="false" customHeight="false" outlineLevel="0" collapsed="false">
      <c r="B33" s="39" t="s">
        <v>271</v>
      </c>
      <c r="D33" s="40" t="n">
        <f aca="false">IF(Inputs!$C$68=0,0,MAX(0,MIN(ROUND((D28+0.5*D29+0.5*D30)/Inputs!$C$68,0),D31-(D32+D34))))</f>
        <v>3383</v>
      </c>
      <c r="E33" s="40" t="n">
        <f aca="false">IF(Inputs!$C$68=0,0,MAX(0,MIN(ROUND((E28+0.5*E29+0.5*E30)/Inputs!$C$68,0),E31-(E32+E34))))</f>
        <v>3950</v>
      </c>
      <c r="F33" s="40" t="n">
        <f aca="false">IF(Inputs!$C$68=0,0,MAX(0,MIN(ROUND((F28+0.5*F29+0.5*F30)/Inputs!$C$68,0),F31-(F32+F34))))</f>
        <v>4583</v>
      </c>
    </row>
    <row r="34" customFormat="false" ht="15" hidden="false" customHeight="false" outlineLevel="0" collapsed="false">
      <c r="B34" s="39" t="s">
        <v>268</v>
      </c>
      <c r="D34" s="40" t="n">
        <f aca="false">-Inputs!D88</f>
        <v>-0</v>
      </c>
      <c r="E34" s="40" t="n">
        <f aca="false">-Inputs!E88</f>
        <v>-0</v>
      </c>
      <c r="F34" s="40" t="n">
        <f aca="false">-Inputs!F88</f>
        <v>-0</v>
      </c>
    </row>
    <row r="35" customFormat="false" ht="15" hidden="false" customHeight="false" outlineLevel="0" collapsed="false">
      <c r="B35" s="41" t="s">
        <v>272</v>
      </c>
      <c r="C35" s="53" t="n">
        <f aca="false">Inputs!$E$68</f>
        <v>18500</v>
      </c>
      <c r="D35" s="43" t="n">
        <f aca="false">SUM(D32:D34)</f>
        <v>21883</v>
      </c>
      <c r="E35" s="43" t="n">
        <f aca="false">SUM(E32:E34)</f>
        <v>25833</v>
      </c>
      <c r="F35" s="43" t="n">
        <f aca="false">SUM(F32:F34)</f>
        <v>30416</v>
      </c>
    </row>
    <row r="36" customFormat="false" ht="15" hidden="false" customHeight="false" outlineLevel="0" collapsed="false">
      <c r="B36" s="8" t="s">
        <v>330</v>
      </c>
      <c r="C36" s="37" t="n">
        <f aca="false">C31-C35</f>
        <v>19500</v>
      </c>
      <c r="D36" s="37" t="n">
        <f aca="false">D31-D35</f>
        <v>21317</v>
      </c>
      <c r="E36" s="37" t="n">
        <f aca="false">E31-E35</f>
        <v>25767</v>
      </c>
      <c r="F36" s="37" t="n">
        <f aca="false">F31-F35</f>
        <v>27984</v>
      </c>
    </row>
    <row r="37" customFormat="false" ht="15" hidden="false" customHeight="false" outlineLevel="0" collapsed="false">
      <c r="B37" s="48" t="s">
        <v>333</v>
      </c>
    </row>
    <row r="38" customFormat="false" ht="15" hidden="false" customHeight="false" outlineLevel="0" collapsed="false">
      <c r="B38" s="39" t="s">
        <v>266</v>
      </c>
      <c r="D38" s="40" t="n">
        <f aca="false">C41</f>
        <v>52000</v>
      </c>
      <c r="E38" s="40" t="n">
        <f aca="false">D41</f>
        <v>55400</v>
      </c>
      <c r="F38" s="40" t="n">
        <f aca="false">E41</f>
        <v>57400</v>
      </c>
    </row>
    <row r="39" customFormat="false" ht="15" hidden="false" customHeight="false" outlineLevel="0" collapsed="false">
      <c r="B39" s="39" t="s">
        <v>267</v>
      </c>
      <c r="D39" s="44" t="n">
        <f aca="false">Inputs!D77</f>
        <v>9800</v>
      </c>
      <c r="E39" s="44" t="n">
        <f aca="false">Inputs!E77</f>
        <v>7600</v>
      </c>
      <c r="F39" s="44" t="n">
        <f aca="false">Inputs!F77</f>
        <v>10400</v>
      </c>
    </row>
    <row r="40" customFormat="false" ht="15" hidden="false" customHeight="false" outlineLevel="0" collapsed="false">
      <c r="B40" s="39" t="s">
        <v>268</v>
      </c>
      <c r="D40" s="40" t="n">
        <f aca="false">-Inputs!D83</f>
        <v>-6400</v>
      </c>
      <c r="E40" s="40" t="n">
        <f aca="false">-Inputs!E83</f>
        <v>-5600</v>
      </c>
      <c r="F40" s="40" t="n">
        <f aca="false">-Inputs!F83</f>
        <v>-7200</v>
      </c>
    </row>
    <row r="41" customFormat="false" ht="15" hidden="false" customHeight="false" outlineLevel="0" collapsed="false">
      <c r="B41" s="41" t="s">
        <v>269</v>
      </c>
      <c r="C41" s="53" t="n">
        <f aca="false">Inputs!$D$69</f>
        <v>52000</v>
      </c>
      <c r="D41" s="43" t="n">
        <f aca="false">SUM(D38:D40)</f>
        <v>55400</v>
      </c>
      <c r="E41" s="43" t="n">
        <f aca="false">SUM(E38:E40)</f>
        <v>57400</v>
      </c>
      <c r="F41" s="43" t="n">
        <f aca="false">SUM(F38:F40)</f>
        <v>60600</v>
      </c>
    </row>
    <row r="42" customFormat="false" ht="15" hidden="false" customHeight="false" outlineLevel="0" collapsed="false">
      <c r="B42" s="39" t="s">
        <v>270</v>
      </c>
      <c r="D42" s="40" t="n">
        <f aca="false">C45</f>
        <v>31000</v>
      </c>
      <c r="E42" s="40" t="n">
        <f aca="false">D45</f>
        <v>32971</v>
      </c>
      <c r="F42" s="40" t="n">
        <f aca="false">E45</f>
        <v>36028</v>
      </c>
    </row>
    <row r="43" customFormat="false" ht="15" hidden="false" customHeight="false" outlineLevel="0" collapsed="false">
      <c r="B43" s="39" t="s">
        <v>271</v>
      </c>
      <c r="D43" s="40" t="n">
        <f aca="false">IF(Inputs!$C$69=0,0,MAX(0,MIN(ROUND((D38+0.5*D39+0.5*D40)/Inputs!$C$69,0),D41-(D42+D44))))</f>
        <v>7671</v>
      </c>
      <c r="E43" s="40" t="n">
        <f aca="false">IF(Inputs!$C$69=0,0,MAX(0,MIN(ROUND((E38+0.5*E39+0.5*E40)/Inputs!$C$69,0),E41-(E42+E44))))</f>
        <v>8057</v>
      </c>
      <c r="F43" s="40" t="n">
        <f aca="false">IF(Inputs!$C$69=0,0,MAX(0,MIN(ROUND((F38+0.5*F39+0.5*F40)/Inputs!$C$69,0),F41-(F42+F44))))</f>
        <v>8429</v>
      </c>
    </row>
    <row r="44" customFormat="false" ht="15" hidden="false" customHeight="false" outlineLevel="0" collapsed="false">
      <c r="B44" s="39" t="s">
        <v>268</v>
      </c>
      <c r="D44" s="40" t="n">
        <f aca="false">-Inputs!D89</f>
        <v>-5700</v>
      </c>
      <c r="E44" s="40" t="n">
        <f aca="false">-Inputs!E89</f>
        <v>-5000</v>
      </c>
      <c r="F44" s="40" t="n">
        <f aca="false">-Inputs!F89</f>
        <v>-6300</v>
      </c>
    </row>
    <row r="45" customFormat="false" ht="15" hidden="false" customHeight="false" outlineLevel="0" collapsed="false">
      <c r="B45" s="41" t="s">
        <v>272</v>
      </c>
      <c r="C45" s="53" t="n">
        <f aca="false">Inputs!$E$69</f>
        <v>31000</v>
      </c>
      <c r="D45" s="43" t="n">
        <f aca="false">SUM(D42:D44)</f>
        <v>32971</v>
      </c>
      <c r="E45" s="43" t="n">
        <f aca="false">SUM(E42:E44)</f>
        <v>36028</v>
      </c>
      <c r="F45" s="43" t="n">
        <f aca="false">SUM(F42:F44)</f>
        <v>38157</v>
      </c>
    </row>
    <row r="46" customFormat="false" ht="15" hidden="false" customHeight="false" outlineLevel="0" collapsed="false">
      <c r="B46" s="8" t="s">
        <v>330</v>
      </c>
      <c r="C46" s="37" t="n">
        <f aca="false">C41-C45</f>
        <v>21000</v>
      </c>
      <c r="D46" s="37" t="n">
        <f aca="false">D41-D45</f>
        <v>22429</v>
      </c>
      <c r="E46" s="37" t="n">
        <f aca="false">E41-E45</f>
        <v>21372</v>
      </c>
      <c r="F46" s="37" t="n">
        <f aca="false">F41-F45</f>
        <v>22443</v>
      </c>
    </row>
    <row r="47" customFormat="false" ht="15" hidden="false" customHeight="false" outlineLevel="0" collapsed="false">
      <c r="B47" s="48" t="s">
        <v>334</v>
      </c>
    </row>
    <row r="48" customFormat="false" ht="15" hidden="false" customHeight="false" outlineLevel="0" collapsed="false">
      <c r="B48" s="39" t="s">
        <v>266</v>
      </c>
      <c r="D48" s="40" t="n">
        <f aca="false">C51</f>
        <v>14000</v>
      </c>
      <c r="E48" s="40" t="n">
        <f aca="false">D51</f>
        <v>16600</v>
      </c>
      <c r="F48" s="40" t="n">
        <f aca="false">E51</f>
        <v>20500</v>
      </c>
    </row>
    <row r="49" customFormat="false" ht="15" hidden="false" customHeight="false" outlineLevel="0" collapsed="false">
      <c r="B49" s="39" t="s">
        <v>267</v>
      </c>
      <c r="D49" s="44" t="n">
        <f aca="false">Inputs!D78</f>
        <v>2600</v>
      </c>
      <c r="E49" s="44" t="n">
        <f aca="false">Inputs!E78</f>
        <v>3900</v>
      </c>
      <c r="F49" s="44" t="n">
        <f aca="false">Inputs!F78</f>
        <v>3200</v>
      </c>
    </row>
    <row r="50" customFormat="false" ht="15" hidden="false" customHeight="false" outlineLevel="0" collapsed="false">
      <c r="B50" s="39" t="s">
        <v>268</v>
      </c>
      <c r="D50" s="40" t="n">
        <f aca="false">-Inputs!D84</f>
        <v>-0</v>
      </c>
      <c r="E50" s="40" t="n">
        <f aca="false">-Inputs!E84</f>
        <v>-0</v>
      </c>
      <c r="F50" s="40" t="n">
        <f aca="false">-Inputs!F84</f>
        <v>-0</v>
      </c>
    </row>
    <row r="51" customFormat="false" ht="15" hidden="false" customHeight="false" outlineLevel="0" collapsed="false">
      <c r="B51" s="41" t="s">
        <v>269</v>
      </c>
      <c r="C51" s="53" t="n">
        <f aca="false">Inputs!$D$70</f>
        <v>14000</v>
      </c>
      <c r="D51" s="43" t="n">
        <f aca="false">SUM(D48:D50)</f>
        <v>16600</v>
      </c>
      <c r="E51" s="43" t="n">
        <f aca="false">SUM(E48:E50)</f>
        <v>20500</v>
      </c>
      <c r="F51" s="43" t="n">
        <f aca="false">SUM(F48:F50)</f>
        <v>23700</v>
      </c>
    </row>
    <row r="52" customFormat="false" ht="15" hidden="false" customHeight="false" outlineLevel="0" collapsed="false">
      <c r="B52" s="39" t="s">
        <v>270</v>
      </c>
      <c r="D52" s="40" t="n">
        <f aca="false">C55</f>
        <v>9800</v>
      </c>
      <c r="E52" s="40" t="n">
        <f aca="false">D55</f>
        <v>12860</v>
      </c>
      <c r="F52" s="40" t="n">
        <f aca="false">E55</f>
        <v>16570</v>
      </c>
    </row>
    <row r="53" customFormat="false" ht="15" hidden="false" customHeight="false" outlineLevel="0" collapsed="false">
      <c r="B53" s="39" t="s">
        <v>271</v>
      </c>
      <c r="D53" s="40" t="n">
        <f aca="false">IF(Inputs!$C$70=0,0,MAX(0,MIN(ROUND((D48+0.5*D49+0.5*D50)/Inputs!$C$70,0),D51-(D52+D54))))</f>
        <v>3060</v>
      </c>
      <c r="E53" s="40" t="n">
        <f aca="false">IF(Inputs!$C$70=0,0,MAX(0,MIN(ROUND((E48+0.5*E49+0.5*E50)/Inputs!$C$70,0),E51-(E52+E54))))</f>
        <v>3710</v>
      </c>
      <c r="F53" s="40" t="n">
        <f aca="false">IF(Inputs!$C$70=0,0,MAX(0,MIN(ROUND((F48+0.5*F49+0.5*F50)/Inputs!$C$70,0),F51-(F52+F54))))</f>
        <v>4420</v>
      </c>
    </row>
    <row r="54" customFormat="false" ht="15" hidden="false" customHeight="false" outlineLevel="0" collapsed="false">
      <c r="B54" s="39" t="s">
        <v>268</v>
      </c>
      <c r="D54" s="40" t="n">
        <f aca="false">-Inputs!D90</f>
        <v>-0</v>
      </c>
      <c r="E54" s="40" t="n">
        <f aca="false">-Inputs!E90</f>
        <v>-0</v>
      </c>
      <c r="F54" s="40" t="n">
        <f aca="false">-Inputs!F90</f>
        <v>-0</v>
      </c>
    </row>
    <row r="55" customFormat="false" ht="15" hidden="false" customHeight="false" outlineLevel="0" collapsed="false">
      <c r="B55" s="41" t="s">
        <v>272</v>
      </c>
      <c r="C55" s="53" t="n">
        <f aca="false">Inputs!$E$70</f>
        <v>9800</v>
      </c>
      <c r="D55" s="43" t="n">
        <f aca="false">SUM(D52:D54)</f>
        <v>12860</v>
      </c>
      <c r="E55" s="43" t="n">
        <f aca="false">SUM(E52:E54)</f>
        <v>16570</v>
      </c>
      <c r="F55" s="43" t="n">
        <f aca="false">SUM(F52:F54)</f>
        <v>20990</v>
      </c>
    </row>
    <row r="56" customFormat="false" ht="15" hidden="false" customHeight="false" outlineLevel="0" collapsed="false">
      <c r="B56" s="8" t="s">
        <v>330</v>
      </c>
      <c r="C56" s="37" t="n">
        <f aca="false">C51-C55</f>
        <v>4200</v>
      </c>
      <c r="D56" s="37" t="n">
        <f aca="false">D51-D55</f>
        <v>3740</v>
      </c>
      <c r="E56" s="37" t="n">
        <f aca="false">E51-E55</f>
        <v>3930</v>
      </c>
      <c r="F56" s="37" t="n">
        <f aca="false">F51-F55</f>
        <v>2710</v>
      </c>
    </row>
    <row r="57" customFormat="false" ht="15" hidden="false" customHeight="false" outlineLevel="0" collapsed="false">
      <c r="B57" s="48" t="s">
        <v>335</v>
      </c>
    </row>
    <row r="58" customFormat="false" ht="15" hidden="false" customHeight="false" outlineLevel="0" collapsed="false">
      <c r="B58" s="39" t="s">
        <v>336</v>
      </c>
      <c r="C58" s="40" t="n">
        <f aca="false">C11+C21+C31+C41+C51</f>
        <v>260000</v>
      </c>
      <c r="D58" s="40" t="n">
        <f aca="false">D11+D21+D31+D41+D51</f>
        <v>275700</v>
      </c>
      <c r="E58" s="40" t="n">
        <f aca="false">E11+E21+E31+E41+E51</f>
        <v>301000</v>
      </c>
      <c r="F58" s="40" t="n">
        <f aca="false">F11+F21+F31+F41+F51</f>
        <v>320700</v>
      </c>
    </row>
    <row r="59" customFormat="false" ht="15" hidden="false" customHeight="false" outlineLevel="0" collapsed="false">
      <c r="B59" s="39" t="s">
        <v>337</v>
      </c>
      <c r="C59" s="40" t="n">
        <f aca="false">C15+C25+C35+C45+C55</f>
        <v>85300</v>
      </c>
      <c r="D59" s="40" t="n">
        <f aca="false">D15+D25+D35+D45+D55</f>
        <v>96989</v>
      </c>
      <c r="E59" s="40" t="n">
        <f aca="false">E15+E25+E35+E45+E55</f>
        <v>111239</v>
      </c>
      <c r="F59" s="40" t="n">
        <f aca="false">F15+F25+F35+F45+F55</f>
        <v>126196</v>
      </c>
    </row>
    <row r="60" customFormat="false" ht="15" hidden="false" customHeight="false" outlineLevel="0" collapsed="false">
      <c r="B60" s="41" t="s">
        <v>265</v>
      </c>
      <c r="C60" s="43" t="n">
        <f aca="false">C16+C26+C36+C46+C56</f>
        <v>174700</v>
      </c>
      <c r="D60" s="43" t="n">
        <f aca="false">D16+D26+D36+D46+D56</f>
        <v>178711</v>
      </c>
      <c r="E60" s="43" t="n">
        <f aca="false">E16+E26+E36+E46+E56</f>
        <v>189761</v>
      </c>
      <c r="F60" s="43" t="n">
        <f aca="false">F16+F26+F36+F46+F56</f>
        <v>194504</v>
      </c>
    </row>
    <row r="61" customFormat="false" ht="15" hidden="false" customHeight="false" outlineLevel="0" collapsed="false">
      <c r="B61" s="39" t="s">
        <v>338</v>
      </c>
      <c r="D61" s="40" t="n">
        <f aca="false">D9+D19+D29+D39+D49</f>
        <v>22100</v>
      </c>
      <c r="E61" s="40" t="n">
        <f aca="false">E9+E19+E29+E39+E49</f>
        <v>30900</v>
      </c>
      <c r="F61" s="40" t="n">
        <f aca="false">F9+F19+F29+F39+F49</f>
        <v>26900</v>
      </c>
    </row>
    <row r="62" customFormat="false" ht="15" hidden="false" customHeight="false" outlineLevel="0" collapsed="false">
      <c r="B62" s="39" t="s">
        <v>339</v>
      </c>
      <c r="D62" s="40" t="n">
        <f aca="false">D13+D23+D33+D43+D53</f>
        <v>17389</v>
      </c>
      <c r="E62" s="40" t="n">
        <f aca="false">E13+E23+E33+E43+E53</f>
        <v>19250</v>
      </c>
      <c r="F62" s="40" t="n">
        <f aca="false">F13+F23+F33+F43+F53</f>
        <v>21257</v>
      </c>
    </row>
    <row r="63" customFormat="false" ht="15" hidden="false" customHeight="false" outlineLevel="0" collapsed="false">
      <c r="B63" s="39" t="s">
        <v>340</v>
      </c>
      <c r="D63" s="40" t="n">
        <f aca="false">D10+D20+D30+D40+D50</f>
        <v>-6400</v>
      </c>
      <c r="E63" s="40" t="n">
        <f aca="false">E10+E20+E30+E40+E50</f>
        <v>-5600</v>
      </c>
      <c r="F63" s="40" t="n">
        <f aca="false">F10+F20+F30+F40+F50</f>
        <v>-7200</v>
      </c>
    </row>
    <row r="64" customFormat="false" ht="15" hidden="false" customHeight="false" outlineLevel="0" collapsed="false">
      <c r="B64" s="39" t="s">
        <v>341</v>
      </c>
      <c r="D64" s="40" t="n">
        <f aca="false">D14+D24+D34+D44+D54</f>
        <v>-5700</v>
      </c>
      <c r="E64" s="40" t="n">
        <f aca="false">E14+E24+E34+E44+E54</f>
        <v>-5000</v>
      </c>
      <c r="F64" s="40" t="n">
        <f aca="false">F14+F24+F34+F44+F54</f>
        <v>-6300</v>
      </c>
    </row>
    <row r="65" customFormat="false" ht="15" hidden="false" customHeight="false" outlineLevel="0" collapsed="false">
      <c r="B65" s="39" t="s">
        <v>342</v>
      </c>
      <c r="D65" s="40" t="n">
        <f aca="false">-D63+D64</f>
        <v>700</v>
      </c>
      <c r="E65" s="40" t="n">
        <f aca="false">-E63+E64</f>
        <v>600</v>
      </c>
      <c r="F65" s="40" t="n">
        <f aca="false">-F63+F64</f>
        <v>900</v>
      </c>
    </row>
    <row r="66" customFormat="false" ht="15" hidden="false" customHeight="false" outlineLevel="0" collapsed="false">
      <c r="B66" s="39" t="s">
        <v>343</v>
      </c>
      <c r="D66" s="40" t="n">
        <f aca="false">Inputs!D92+Inputs!D93+Inputs!D94+Inputs!D95+Inputs!D96</f>
        <v>1100</v>
      </c>
      <c r="E66" s="40" t="n">
        <f aca="false">Inputs!E92+Inputs!E93+Inputs!E94+Inputs!E95+Inputs!E96</f>
        <v>450</v>
      </c>
      <c r="F66" s="40" t="n">
        <f aca="false">Inputs!F92+Inputs!F93+Inputs!F94+Inputs!F95+Inputs!F96</f>
        <v>1250</v>
      </c>
    </row>
    <row r="67" customFormat="false" ht="15" hidden="false" customHeight="false" outlineLevel="0" collapsed="false">
      <c r="B67" s="41" t="s">
        <v>344</v>
      </c>
      <c r="C67" s="42"/>
      <c r="D67" s="43" t="n">
        <f aca="false">D66-D65</f>
        <v>400</v>
      </c>
      <c r="E67" s="43" t="n">
        <f aca="false">E66-E65</f>
        <v>-150</v>
      </c>
      <c r="F67" s="43" t="n">
        <f aca="false">F66-F65</f>
        <v>350</v>
      </c>
    </row>
    <row r="69" customFormat="false" ht="15" hidden="false" customHeight="false" outlineLevel="0" collapsed="false">
      <c r="B69" s="12" t="s">
        <v>345</v>
      </c>
      <c r="C69" s="13"/>
      <c r="D69" s="13"/>
      <c r="E69" s="13"/>
      <c r="F69" s="13"/>
      <c r="G69" s="13"/>
    </row>
    <row r="70" customFormat="false" ht="15" hidden="false" customHeight="false" outlineLevel="0" collapsed="false">
      <c r="B70" s="39" t="s">
        <v>133</v>
      </c>
      <c r="D70" s="44" t="n">
        <f aca="false">Income_Statement!D7</f>
        <v>821118</v>
      </c>
      <c r="E70" s="44" t="n">
        <f aca="false">Income_Statement!E7</f>
        <v>897238</v>
      </c>
      <c r="F70" s="44" t="n">
        <f aca="false">Income_Statement!F7</f>
        <v>972442</v>
      </c>
    </row>
    <row r="71" customFormat="false" ht="15" hidden="false" customHeight="false" outlineLevel="0" collapsed="false">
      <c r="B71" s="39" t="s">
        <v>135</v>
      </c>
      <c r="D71" s="40" t="n">
        <f aca="false">-Income_Statement!D8</f>
        <v>613977</v>
      </c>
      <c r="E71" s="40" t="n">
        <f aca="false">-Income_Statement!E8</f>
        <v>668558</v>
      </c>
      <c r="F71" s="40" t="n">
        <f aca="false">-Income_Statement!F8</f>
        <v>722548</v>
      </c>
    </row>
    <row r="72" customFormat="false" ht="15" hidden="false" customHeight="false" outlineLevel="0" collapsed="false">
      <c r="B72" s="39" t="s">
        <v>346</v>
      </c>
      <c r="D72" s="40" t="n">
        <f aca="false">-(Income_Statement!D10+Income_Statement!D11)</f>
        <v>151531</v>
      </c>
      <c r="E72" s="40" t="n">
        <f aca="false">-(Income_Statement!E10+Income_Statement!E11)</f>
        <v>161127</v>
      </c>
      <c r="F72" s="40" t="n">
        <f aca="false">-(Income_Statement!F10+Income_Statement!F11)</f>
        <v>169904</v>
      </c>
    </row>
    <row r="73" customFormat="false" ht="15" hidden="false" customHeight="false" outlineLevel="0" collapsed="false">
      <c r="B73" s="8" t="s">
        <v>160</v>
      </c>
      <c r="C73" s="58" t="n">
        <f aca="false">Inputs!C39</f>
        <v>71000</v>
      </c>
      <c r="D73" s="37" t="n">
        <f aca="false">ROUND(Inputs!D32*D70/Days_Year,0)</f>
        <v>80987</v>
      </c>
      <c r="E73" s="37" t="n">
        <f aca="false">ROUND(Inputs!E32*E70/Days_Year,0)</f>
        <v>88495</v>
      </c>
      <c r="F73" s="37" t="n">
        <f aca="false">ROUND(Inputs!F32*F70/Days_Year,0)</f>
        <v>93248</v>
      </c>
    </row>
    <row r="74" customFormat="false" ht="15" hidden="false" customHeight="false" outlineLevel="0" collapsed="false">
      <c r="B74" s="8" t="s">
        <v>162</v>
      </c>
      <c r="C74" s="58" t="n">
        <f aca="false">Inputs!C40</f>
        <v>74500</v>
      </c>
      <c r="D74" s="37" t="n">
        <f aca="false">ROUND(Inputs!D33*D71/Days_Year,0)</f>
        <v>75696</v>
      </c>
      <c r="E74" s="37" t="n">
        <f aca="false">ROUND(Inputs!E33*E71/Days_Year,0)</f>
        <v>80593</v>
      </c>
      <c r="F74" s="37" t="n">
        <f aca="false">ROUND(Inputs!F33*F71/Days_Year,0)</f>
        <v>85122</v>
      </c>
    </row>
    <row r="75" customFormat="false" ht="15" hidden="false" customHeight="false" outlineLevel="0" collapsed="false">
      <c r="B75" s="8" t="s">
        <v>164</v>
      </c>
      <c r="C75" s="58" t="n">
        <f aca="false">Inputs!C41</f>
        <v>11200</v>
      </c>
      <c r="D75" s="37" t="n">
        <f aca="false">ROUND(Inputs!D35*D72,0)</f>
        <v>11365</v>
      </c>
      <c r="E75" s="37" t="n">
        <f aca="false">ROUND(Inputs!E35*E72,0)</f>
        <v>12085</v>
      </c>
      <c r="F75" s="37" t="n">
        <f aca="false">ROUND(Inputs!F35*F72,0)</f>
        <v>12743</v>
      </c>
    </row>
    <row r="76" customFormat="false" ht="15" hidden="false" customHeight="false" outlineLevel="0" collapsed="false">
      <c r="B76" s="8" t="s">
        <v>172</v>
      </c>
      <c r="C76" s="58" t="n">
        <f aca="false">Inputs!C42</f>
        <v>62300</v>
      </c>
      <c r="D76" s="37" t="n">
        <f aca="false">ROUND(Inputs!D34*D71/Days_Year,0)</f>
        <v>67285</v>
      </c>
      <c r="E76" s="37" t="n">
        <f aca="false">ROUND(Inputs!E34*E71/Days_Year,0)</f>
        <v>75098</v>
      </c>
      <c r="F76" s="37" t="n">
        <f aca="false">ROUND(Inputs!F34*F71/Days_Year,0)</f>
        <v>83143</v>
      </c>
    </row>
    <row r="77" customFormat="false" ht="15" hidden="false" customHeight="false" outlineLevel="0" collapsed="false">
      <c r="B77" s="8" t="s">
        <v>173</v>
      </c>
      <c r="C77" s="58" t="n">
        <f aca="false">Inputs!C43</f>
        <v>13400</v>
      </c>
      <c r="D77" s="37" t="n">
        <f aca="false">ROUND(Inputs!D36*D72,0)</f>
        <v>13638</v>
      </c>
      <c r="E77" s="37" t="n">
        <f aca="false">ROUND(Inputs!E36*E72,0)</f>
        <v>14501</v>
      </c>
      <c r="F77" s="37" t="n">
        <f aca="false">ROUND(Inputs!F36*F72,0)</f>
        <v>15291</v>
      </c>
    </row>
    <row r="79" customFormat="false" ht="15" hidden="false" customHeight="false" outlineLevel="0" collapsed="false">
      <c r="B79" s="12" t="s">
        <v>347</v>
      </c>
      <c r="C79" s="13"/>
      <c r="D79" s="13"/>
      <c r="E79" s="13"/>
      <c r="F79" s="13"/>
      <c r="G79" s="13"/>
    </row>
    <row r="80" customFormat="false" ht="15" hidden="false" customHeight="false" outlineLevel="0" collapsed="false">
      <c r="B80" s="8" t="s">
        <v>348</v>
      </c>
      <c r="C80" s="58" t="n">
        <f aca="false">Inputs!C51</f>
        <v>45000</v>
      </c>
      <c r="D80" s="58" t="n">
        <f aca="false">Inputs!D51</f>
        <v>48000</v>
      </c>
      <c r="E80" s="58" t="n">
        <f aca="false">Inputs!E51</f>
        <v>42000</v>
      </c>
      <c r="F80" s="58" t="n">
        <f aca="false">Inputs!F51</f>
        <v>38000</v>
      </c>
    </row>
    <row r="81" customFormat="false" ht="15" hidden="false" customHeight="false" outlineLevel="0" collapsed="false">
      <c r="B81" s="39" t="s">
        <v>349</v>
      </c>
      <c r="D81" s="40" t="n">
        <f aca="false">C84</f>
        <v>100000</v>
      </c>
      <c r="E81" s="40" t="n">
        <f aca="false">D84</f>
        <v>88000</v>
      </c>
      <c r="F81" s="40" t="n">
        <f aca="false">E84</f>
        <v>110000</v>
      </c>
    </row>
    <row r="82" customFormat="false" ht="15" hidden="false" customHeight="false" outlineLevel="0" collapsed="false">
      <c r="B82" s="39" t="s">
        <v>350</v>
      </c>
      <c r="D82" s="44" t="n">
        <f aca="false">Inputs!D52</f>
        <v>0</v>
      </c>
      <c r="E82" s="44" t="n">
        <f aca="false">Inputs!E52</f>
        <v>35000</v>
      </c>
      <c r="F82" s="44" t="n">
        <f aca="false">Inputs!F52</f>
        <v>0</v>
      </c>
    </row>
    <row r="83" customFormat="false" ht="15" hidden="false" customHeight="false" outlineLevel="0" collapsed="false">
      <c r="B83" s="39" t="s">
        <v>351</v>
      </c>
      <c r="D83" s="40" t="n">
        <f aca="false">-Inputs!D53</f>
        <v>-12000</v>
      </c>
      <c r="E83" s="40" t="n">
        <f aca="false">-Inputs!E53</f>
        <v>-13000</v>
      </c>
      <c r="F83" s="40" t="n">
        <f aca="false">-Inputs!F53</f>
        <v>-15000</v>
      </c>
    </row>
    <row r="84" customFormat="false" ht="15" hidden="false" customHeight="false" outlineLevel="0" collapsed="false">
      <c r="B84" s="41" t="s">
        <v>352</v>
      </c>
      <c r="C84" s="53" t="n">
        <f aca="false">Inputs!C45</f>
        <v>100000</v>
      </c>
      <c r="D84" s="43" t="n">
        <f aca="false">SUM(D81:D83)</f>
        <v>88000</v>
      </c>
      <c r="E84" s="43" t="n">
        <f aca="false">SUM(E81:E83)</f>
        <v>110000</v>
      </c>
      <c r="F84" s="43" t="n">
        <f aca="false">SUM(F81:F83)</f>
        <v>95000</v>
      </c>
    </row>
    <row r="85" customFormat="false" ht="15" hidden="false" customHeight="false" outlineLevel="0" collapsed="false">
      <c r="B85" s="39" t="s">
        <v>353</v>
      </c>
      <c r="C85" s="44" t="n">
        <f aca="false">Inputs!C54</f>
        <v>12000</v>
      </c>
      <c r="D85" s="44" t="n">
        <f aca="false">Inputs!D54</f>
        <v>13000</v>
      </c>
      <c r="E85" s="44" t="n">
        <f aca="false">Inputs!E54</f>
        <v>15000</v>
      </c>
      <c r="F85" s="44" t="n">
        <f aca="false">Inputs!F54</f>
        <v>16500</v>
      </c>
    </row>
    <row r="86" customFormat="false" ht="15" hidden="false" customHeight="false" outlineLevel="0" collapsed="false">
      <c r="B86" s="39" t="s">
        <v>354</v>
      </c>
      <c r="C86" s="40" t="n">
        <f aca="false">C84-C85</f>
        <v>88000</v>
      </c>
      <c r="D86" s="40" t="n">
        <f aca="false">D84-D85</f>
        <v>75000</v>
      </c>
      <c r="E86" s="40" t="n">
        <f aca="false">E84-E85</f>
        <v>95000</v>
      </c>
      <c r="F86" s="40" t="n">
        <f aca="false">F84-F85</f>
        <v>78500</v>
      </c>
    </row>
    <row r="87" customFormat="false" ht="15" hidden="false" customHeight="false" outlineLevel="0" collapsed="false">
      <c r="B87" s="8" t="s">
        <v>278</v>
      </c>
      <c r="C87" s="37" t="n">
        <f aca="false">C80+C84</f>
        <v>145000</v>
      </c>
      <c r="D87" s="37" t="n">
        <f aca="false">D80+D84</f>
        <v>136000</v>
      </c>
      <c r="E87" s="37" t="n">
        <f aca="false">E80+E84</f>
        <v>152000</v>
      </c>
      <c r="F87" s="37" t="n">
        <f aca="false">F80+F84</f>
        <v>133000</v>
      </c>
    </row>
    <row r="88" customFormat="false" ht="15" hidden="false" customHeight="false" outlineLevel="0" collapsed="false">
      <c r="B88" s="39" t="s">
        <v>355</v>
      </c>
      <c r="D88" s="40" t="n">
        <f aca="false">ROUND(Inputs!D24*AVERAGE(C80,D80),0)</f>
        <v>3371</v>
      </c>
      <c r="E88" s="40" t="n">
        <f aca="false">ROUND(Inputs!E24*AVERAGE(D80,E80),0)</f>
        <v>3555</v>
      </c>
      <c r="F88" s="40" t="n">
        <f aca="false">ROUND(Inputs!F24*AVERAGE(E80,F80),0)</f>
        <v>3240</v>
      </c>
    </row>
    <row r="89" customFormat="false" ht="15" hidden="false" customHeight="false" outlineLevel="0" collapsed="false">
      <c r="B89" s="39" t="s">
        <v>356</v>
      </c>
      <c r="D89" s="40" t="n">
        <f aca="false">ROUND(Inputs!D25*AVERAGE(C84,D84),0)</f>
        <v>7050</v>
      </c>
      <c r="E89" s="40" t="n">
        <f aca="false">ROUND(Inputs!E25*AVERAGE(D84,E84),0)</f>
        <v>7920</v>
      </c>
      <c r="F89" s="40" t="n">
        <f aca="false">ROUND(Inputs!F25*AVERAGE(E84,F84),0)</f>
        <v>8456</v>
      </c>
    </row>
    <row r="90" customFormat="false" ht="15" hidden="false" customHeight="false" outlineLevel="0" collapsed="false">
      <c r="B90" s="41" t="s">
        <v>357</v>
      </c>
      <c r="C90" s="42"/>
      <c r="D90" s="43" t="n">
        <f aca="false">D88+D89</f>
        <v>10421</v>
      </c>
      <c r="E90" s="43" t="n">
        <f aca="false">E88+E89</f>
        <v>11475</v>
      </c>
      <c r="F90" s="43" t="n">
        <f aca="false">F88+F89</f>
        <v>11696</v>
      </c>
    </row>
    <row r="91" customFormat="false" ht="15" hidden="false" customHeight="false" outlineLevel="0" collapsed="false">
      <c r="B91" s="39" t="s">
        <v>358</v>
      </c>
      <c r="D91" s="40" t="n">
        <f aca="false">ROUND(Inputs!D26*Balance_Sheet!C8,0)</f>
        <v>775</v>
      </c>
      <c r="E91" s="40" t="n">
        <f aca="false">ROUND(Inputs!E26*Balance_Sheet!D8,0)</f>
        <v>873</v>
      </c>
      <c r="F91" s="40" t="n">
        <f aca="false">ROUND(Inputs!F26*Balance_Sheet!E8,0)</f>
        <v>1207</v>
      </c>
    </row>
    <row r="93" customFormat="false" ht="15" hidden="false" customHeight="false" outlineLevel="0" collapsed="false">
      <c r="B93" s="12" t="s">
        <v>359</v>
      </c>
      <c r="C93" s="13"/>
      <c r="D93" s="13"/>
      <c r="E93" s="13"/>
      <c r="F93" s="13"/>
      <c r="G93" s="13"/>
    </row>
    <row r="94" customFormat="false" ht="15" hidden="false" customHeight="false" outlineLevel="0" collapsed="false">
      <c r="B94" s="39" t="s">
        <v>360</v>
      </c>
      <c r="D94" s="44" t="n">
        <f aca="false">Income_Statement!D18</f>
        <v>30325</v>
      </c>
      <c r="E94" s="44" t="n">
        <f aca="false">Income_Statement!E18</f>
        <v>39071</v>
      </c>
      <c r="F94" s="44" t="n">
        <f aca="false">Income_Statement!F18</f>
        <v>50294</v>
      </c>
    </row>
    <row r="95" customFormat="false" ht="15" hidden="false" customHeight="false" outlineLevel="0" collapsed="false">
      <c r="B95" s="39" t="s">
        <v>361</v>
      </c>
      <c r="D95" s="44" t="n">
        <f aca="false">Inputs!D28</f>
        <v>1200</v>
      </c>
      <c r="E95" s="44" t="n">
        <f aca="false">Inputs!E28</f>
        <v>1350</v>
      </c>
      <c r="F95" s="44" t="n">
        <f aca="false">Inputs!F28</f>
        <v>1500</v>
      </c>
    </row>
    <row r="96" customFormat="false" ht="15" hidden="false" customHeight="false" outlineLevel="0" collapsed="false">
      <c r="B96" s="39" t="s">
        <v>362</v>
      </c>
      <c r="D96" s="40" t="n">
        <f aca="false">-D91</f>
        <v>-775</v>
      </c>
      <c r="E96" s="40" t="n">
        <f aca="false">-E91</f>
        <v>-873</v>
      </c>
      <c r="F96" s="40" t="n">
        <f aca="false">-F91</f>
        <v>-1207</v>
      </c>
    </row>
    <row r="97" customFormat="false" ht="15" hidden="false" customHeight="false" outlineLevel="0" collapsed="false">
      <c r="B97" s="41" t="s">
        <v>363</v>
      </c>
      <c r="C97" s="42"/>
      <c r="D97" s="43" t="n">
        <f aca="false">SUM(D94:D96)</f>
        <v>30750</v>
      </c>
      <c r="E97" s="43" t="n">
        <f aca="false">SUM(E94:E96)</f>
        <v>39548</v>
      </c>
      <c r="F97" s="43" t="n">
        <f aca="false">SUM(F94:F96)</f>
        <v>50587</v>
      </c>
    </row>
    <row r="98" customFormat="false" ht="15" hidden="false" customHeight="false" outlineLevel="0" collapsed="false">
      <c r="B98" s="39" t="s">
        <v>364</v>
      </c>
      <c r="D98" s="40" t="n">
        <f aca="false">ROUND(MAX(0,D97)*Tax_Rate,0)</f>
        <v>7688</v>
      </c>
      <c r="E98" s="40" t="n">
        <f aca="false">ROUND(MAX(0,E97)*Tax_Rate,0)</f>
        <v>9887</v>
      </c>
      <c r="F98" s="40" t="n">
        <f aca="false">ROUND(MAX(0,F97)*Tax_Rate,0)</f>
        <v>12647</v>
      </c>
    </row>
    <row r="99" customFormat="false" ht="15" hidden="false" customHeight="false" outlineLevel="0" collapsed="false">
      <c r="B99" s="39" t="s">
        <v>365</v>
      </c>
      <c r="D99" s="40" t="n">
        <f aca="false">Income_Statement!D9+Income_Statement!D15</f>
        <v>208491</v>
      </c>
      <c r="E99" s="40" t="n">
        <f aca="false">Income_Statement!E9+Income_Statement!E15</f>
        <v>230200</v>
      </c>
      <c r="F99" s="40" t="n">
        <f aca="false">Income_Statement!F9+Income_Statement!F15</f>
        <v>251594</v>
      </c>
    </row>
    <row r="100" customFormat="false" ht="15" hidden="false" customHeight="false" outlineLevel="0" collapsed="false">
      <c r="B100" s="39" t="s">
        <v>366</v>
      </c>
      <c r="D100" s="40" t="n">
        <f aca="false">ROUND(D99*MCIT_Rate,0)</f>
        <v>4170</v>
      </c>
      <c r="E100" s="40" t="n">
        <f aca="false">ROUND(E99*MCIT_Rate,0)</f>
        <v>4604</v>
      </c>
      <c r="F100" s="40" t="n">
        <f aca="false">ROUND(F99*MCIT_Rate,0)</f>
        <v>5032</v>
      </c>
    </row>
    <row r="101" customFormat="false" ht="15" hidden="false" customHeight="false" outlineLevel="0" collapsed="false">
      <c r="B101" s="8" t="s">
        <v>367</v>
      </c>
      <c r="D101" s="37" t="n">
        <f aca="false">MAX(D98,D100)</f>
        <v>7688</v>
      </c>
      <c r="E101" s="37" t="n">
        <f aca="false">MAX(E98,E100)</f>
        <v>9887</v>
      </c>
      <c r="F101" s="37" t="n">
        <f aca="false">MAX(F98,F100)</f>
        <v>12647</v>
      </c>
    </row>
    <row r="102" customFormat="false" ht="15" hidden="false" customHeight="false" outlineLevel="0" collapsed="false">
      <c r="B102" s="39" t="s">
        <v>316</v>
      </c>
      <c r="D102" s="40" t="n">
        <f aca="false">ROUND(D91*Final_Tax_Rate,0)</f>
        <v>155</v>
      </c>
      <c r="E102" s="40" t="n">
        <f aca="false">ROUND(E91*Final_Tax_Rate,0)</f>
        <v>175</v>
      </c>
      <c r="F102" s="40" t="n">
        <f aca="false">ROUND(F91*Final_Tax_Rate,0)</f>
        <v>241</v>
      </c>
    </row>
    <row r="103" customFormat="false" ht="15" hidden="false" customHeight="false" outlineLevel="0" collapsed="false">
      <c r="B103" s="41" t="s">
        <v>368</v>
      </c>
      <c r="C103" s="42"/>
      <c r="D103" s="43" t="n">
        <f aca="false">D101+D102</f>
        <v>7843</v>
      </c>
      <c r="E103" s="43" t="n">
        <f aca="false">E101+E102</f>
        <v>10062</v>
      </c>
      <c r="F103" s="43" t="n">
        <f aca="false">F101+F102</f>
        <v>12888</v>
      </c>
    </row>
    <row r="104" customFormat="false" ht="15" hidden="false" customHeight="false" outlineLevel="0" collapsed="false">
      <c r="B104" s="39" t="s">
        <v>317</v>
      </c>
      <c r="D104" s="50" t="n">
        <f aca="false">IFERROR(D103/D94,0)</f>
        <v>0.258631492168178</v>
      </c>
      <c r="E104" s="50" t="n">
        <f aca="false">IFERROR(E103/E94,0)</f>
        <v>0.257531161219319</v>
      </c>
      <c r="F104" s="50" t="n">
        <f aca="false">IFERROR(F103/F94,0)</f>
        <v>0.25625323100171</v>
      </c>
    </row>
    <row r="105" customFormat="false" ht="15" hidden="false" customHeight="false" outlineLevel="0" collapsed="false">
      <c r="B105" s="39" t="s">
        <v>369</v>
      </c>
      <c r="C105" s="44" t="n">
        <f aca="false">Inputs!C44</f>
        <v>2800</v>
      </c>
      <c r="D105" s="40" t="n">
        <f aca="false">ROUND(D101*(1-Inputs!D29),0)</f>
        <v>1691</v>
      </c>
      <c r="E105" s="40" t="n">
        <f aca="false">ROUND(E101*(1-Inputs!E29),0)</f>
        <v>1977</v>
      </c>
      <c r="F105" s="40" t="n">
        <f aca="false">ROUND(F101*(1-Inputs!F29),0)</f>
        <v>2529</v>
      </c>
    </row>
    <row r="106" customFormat="false" ht="15" hidden="false" customHeight="false" outlineLevel="0" collapsed="false">
      <c r="B106" s="39" t="s">
        <v>370</v>
      </c>
      <c r="D106" s="40" t="n">
        <f aca="false">D103-(D105-C105)</f>
        <v>8952</v>
      </c>
      <c r="E106" s="40" t="n">
        <f aca="false">E103-(E105-D105)</f>
        <v>9776</v>
      </c>
      <c r="F106" s="40" t="n">
        <f aca="false">F103-(F105-E105)</f>
        <v>12336</v>
      </c>
    </row>
    <row r="107" customFormat="false" ht="15" hidden="false" customHeight="false" outlineLevel="0" collapsed="false">
      <c r="B107" s="39" t="s">
        <v>371</v>
      </c>
      <c r="D107" s="59" t="n">
        <f aca="false">WORKDAY(DATE(D$5+1,4,15)-1,1)</f>
        <v>45397</v>
      </c>
      <c r="E107" s="59" t="n">
        <f aca="false">WORKDAY(DATE(E$5+1,4,15)-1,1)</f>
        <v>45762</v>
      </c>
      <c r="F107" s="59" t="n">
        <f aca="false">WORKDAY(DATE(F$5+1,4,15)-1,1)</f>
        <v>46127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K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4"/>
    <col collapsed="false" customWidth="true" hidden="false" outlineLevel="0" max="5" min="3" style="0" width="14"/>
    <col collapsed="false" customWidth="true" hidden="false" outlineLevel="0" max="6" min="6" style="0" width="13"/>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1" min="10" style="0" width="13"/>
  </cols>
  <sheetData>
    <row r="1" customFormat="false" ht="24" hidden="false" customHeight="true" outlineLevel="0" collapsed="false">
      <c r="B1" s="17" t="s">
        <v>372</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373</v>
      </c>
    </row>
    <row r="5" customFormat="false" ht="33.75" hidden="false" customHeight="true" outlineLevel="0" collapsed="false">
      <c r="B5" s="49" t="s">
        <v>130</v>
      </c>
      <c r="C5" s="35" t="n">
        <f aca="false">Inputs!D$22</f>
        <v>2023</v>
      </c>
      <c r="D5" s="35" t="n">
        <f aca="false">Inputs!E$22</f>
        <v>2024</v>
      </c>
      <c r="E5" s="35" t="n">
        <f aca="false">Inputs!F$22</f>
        <v>2025</v>
      </c>
      <c r="F5" s="36" t="s">
        <v>374</v>
      </c>
      <c r="G5" s="36" t="s">
        <v>375</v>
      </c>
      <c r="H5" s="36" t="s">
        <v>376</v>
      </c>
      <c r="I5" s="36" t="s">
        <v>375</v>
      </c>
      <c r="J5" s="36" t="s">
        <v>377</v>
      </c>
      <c r="K5" s="36" t="s">
        <v>378</v>
      </c>
    </row>
    <row r="6" customFormat="false" ht="15" hidden="false" customHeight="false" outlineLevel="0" collapsed="false">
      <c r="B6" s="12" t="s">
        <v>379</v>
      </c>
      <c r="C6" s="13"/>
      <c r="D6" s="13"/>
      <c r="E6" s="13"/>
      <c r="F6" s="13"/>
      <c r="G6" s="13"/>
      <c r="H6" s="13"/>
      <c r="I6" s="13"/>
      <c r="J6" s="13"/>
      <c r="K6" s="13"/>
    </row>
    <row r="7" customFormat="false" ht="15" hidden="false" customHeight="false" outlineLevel="0" collapsed="false">
      <c r="B7" s="8" t="s">
        <v>133</v>
      </c>
      <c r="C7" s="58" t="n">
        <f aca="false">Income_Statement!D7</f>
        <v>821118</v>
      </c>
      <c r="D7" s="58" t="n">
        <f aca="false">Income_Statement!E7</f>
        <v>897238</v>
      </c>
      <c r="E7" s="58" t="n">
        <f aca="false">Income_Statement!F7</f>
        <v>972442</v>
      </c>
      <c r="F7" s="37" t="n">
        <f aca="false">D7-C7</f>
        <v>76120</v>
      </c>
      <c r="G7" s="60" t="n">
        <f aca="false">IFERROR(F7/ABS(C7),0)</f>
        <v>0.0927028758351419</v>
      </c>
      <c r="H7" s="37" t="n">
        <f aca="false">E7-D7</f>
        <v>75204</v>
      </c>
      <c r="I7" s="60" t="n">
        <f aca="false">IFERROR(H7/ABS(D7),0)</f>
        <v>0.0838172257528103</v>
      </c>
      <c r="J7" s="61" t="str">
        <f aca="false">IF(ABS(G7)&gt;Var_Threshold,IF(G7&gt;0,"▲ ","▼ ")&amp;TEXT(ABS(G7),"0.0%"),"–")</f>
        <v>–</v>
      </c>
      <c r="K7" s="61" t="str">
        <f aca="false">IF(ABS(I7)&gt;Var_Threshold,IF(I7&gt;0,"▲ ","▼ ")&amp;TEXT(ABS(I7),"0.0%"),"–")</f>
        <v>–</v>
      </c>
    </row>
    <row r="8" customFormat="false" ht="15" hidden="false" customHeight="false" outlineLevel="0" collapsed="false">
      <c r="B8" s="39" t="s">
        <v>135</v>
      </c>
      <c r="C8" s="44" t="n">
        <f aca="false">Income_Statement!D8</f>
        <v>-613977</v>
      </c>
      <c r="D8" s="44" t="n">
        <f aca="false">Income_Statement!E8</f>
        <v>-668558</v>
      </c>
      <c r="E8" s="44" t="n">
        <f aca="false">Income_Statement!F8</f>
        <v>-722548</v>
      </c>
      <c r="F8" s="40" t="n">
        <f aca="false">D8-C8</f>
        <v>-54581</v>
      </c>
      <c r="G8" s="50" t="n">
        <f aca="false">IFERROR(F8/ABS(C8),0)</f>
        <v>-0.0888974668432205</v>
      </c>
      <c r="H8" s="40" t="n">
        <f aca="false">E8-D8</f>
        <v>-53990</v>
      </c>
      <c r="I8" s="50" t="n">
        <f aca="false">IFERROR(H8/ABS(D8),0)</f>
        <v>-0.0807558955243973</v>
      </c>
      <c r="J8" s="61" t="str">
        <f aca="false">IF(ABS(G8)&gt;Var_Threshold,IF(G8&gt;0,"▲ ","▼ ")&amp;TEXT(ABS(G8),"0.0%"),"–")</f>
        <v>–</v>
      </c>
      <c r="K8" s="61" t="str">
        <f aca="false">IF(ABS(I8)&gt;Var_Threshold,IF(I8&gt;0,"▲ ","▼ ")&amp;TEXT(ABS(I8),"0.0%"),"–")</f>
        <v>–</v>
      </c>
    </row>
    <row r="9" customFormat="false" ht="15" hidden="false" customHeight="false" outlineLevel="0" collapsed="false">
      <c r="B9" s="8" t="s">
        <v>137</v>
      </c>
      <c r="C9" s="58" t="n">
        <f aca="false">Income_Statement!D9</f>
        <v>207141</v>
      </c>
      <c r="D9" s="58" t="n">
        <f aca="false">Income_Statement!E9</f>
        <v>228680</v>
      </c>
      <c r="E9" s="58" t="n">
        <f aca="false">Income_Statement!F9</f>
        <v>249894</v>
      </c>
      <c r="F9" s="37" t="n">
        <f aca="false">D9-C9</f>
        <v>21539</v>
      </c>
      <c r="G9" s="60" t="n">
        <f aca="false">IFERROR(F9/ABS(C9),0)</f>
        <v>0.103982311565552</v>
      </c>
      <c r="H9" s="37" t="n">
        <f aca="false">E9-D9</f>
        <v>21214</v>
      </c>
      <c r="I9" s="60" t="n">
        <f aca="false">IFERROR(H9/ABS(D9),0)</f>
        <v>0.0927671855868463</v>
      </c>
      <c r="J9" s="61" t="str">
        <f aca="false">IF(ABS(G9)&gt;Var_Threshold,IF(G9&gt;0,"▲ ","▼ ")&amp;TEXT(ABS(G9),"0.0%"),"–")</f>
        <v>▲ 10.4%</v>
      </c>
      <c r="K9" s="61" t="str">
        <f aca="false">IF(ABS(I9)&gt;Var_Threshold,IF(I9&gt;0,"▲ ","▼ ")&amp;TEXT(ABS(I9),"0.0%"),"–")</f>
        <v>–</v>
      </c>
    </row>
    <row r="10" customFormat="false" ht="15" hidden="false" customHeight="false" outlineLevel="0" collapsed="false">
      <c r="B10" s="39" t="s">
        <v>138</v>
      </c>
      <c r="C10" s="44" t="n">
        <f aca="false">Income_Statement!D10</f>
        <v>-93216</v>
      </c>
      <c r="D10" s="44" t="n">
        <f aca="false">Income_Statement!E10</f>
        <v>-99930</v>
      </c>
      <c r="E10" s="44" t="n">
        <f aca="false">Income_Statement!F10</f>
        <v>-106077</v>
      </c>
      <c r="F10" s="40" t="n">
        <f aca="false">D10-C10</f>
        <v>-6714</v>
      </c>
      <c r="G10" s="50" t="n">
        <f aca="false">IFERROR(F10/ABS(C10),0)</f>
        <v>-0.0720262615859938</v>
      </c>
      <c r="H10" s="40" t="n">
        <f aca="false">E10-D10</f>
        <v>-6147</v>
      </c>
      <c r="I10" s="50" t="n">
        <f aca="false">IFERROR(H10/ABS(D10),0)</f>
        <v>-0.061513059141399</v>
      </c>
      <c r="J10" s="61" t="str">
        <f aca="false">IF(ABS(G10)&gt;Var_Threshold,IF(G10&gt;0,"▲ ","▼ ")&amp;TEXT(ABS(G10),"0.0%"),"–")</f>
        <v>–</v>
      </c>
      <c r="K10" s="61" t="str">
        <f aca="false">IF(ABS(I10)&gt;Var_Threshold,IF(I10&gt;0,"▲ ","▼ ")&amp;TEXT(ABS(I10),"0.0%"),"–")</f>
        <v>–</v>
      </c>
    </row>
    <row r="11" customFormat="false" ht="15" hidden="false" customHeight="false" outlineLevel="0" collapsed="false">
      <c r="B11" s="39" t="s">
        <v>139</v>
      </c>
      <c r="C11" s="44" t="n">
        <f aca="false">Income_Statement!D11</f>
        <v>-58315</v>
      </c>
      <c r="D11" s="44" t="n">
        <f aca="false">Income_Statement!E11</f>
        <v>-61197</v>
      </c>
      <c r="E11" s="44" t="n">
        <f aca="false">Income_Statement!F11</f>
        <v>-63827</v>
      </c>
      <c r="F11" s="40" t="n">
        <f aca="false">D11-C11</f>
        <v>-2882</v>
      </c>
      <c r="G11" s="50" t="n">
        <f aca="false">IFERROR(F11/ABS(C11),0)</f>
        <v>-0.0494212466775272</v>
      </c>
      <c r="H11" s="40" t="n">
        <f aca="false">E11-D11</f>
        <v>-2630</v>
      </c>
      <c r="I11" s="50" t="n">
        <f aca="false">IFERROR(H11/ABS(D11),0)</f>
        <v>-0.0429759628739971</v>
      </c>
      <c r="J11" s="61" t="str">
        <f aca="false">IF(ABS(G11)&gt;Var_Threshold,IF(G11&gt;0,"▲ ","▼ ")&amp;TEXT(ABS(G11),"0.0%"),"–")</f>
        <v>–</v>
      </c>
      <c r="K11" s="61" t="str">
        <f aca="false">IF(ABS(I11)&gt;Var_Threshold,IF(I11&gt;0,"▲ ","▼ ")&amp;TEXT(ABS(I11),"0.0%"),"–")</f>
        <v>–</v>
      </c>
    </row>
    <row r="12" customFormat="false" ht="15" hidden="false" customHeight="false" outlineLevel="0" collapsed="false">
      <c r="B12" s="39" t="s">
        <v>92</v>
      </c>
      <c r="C12" s="44" t="n">
        <f aca="false">Income_Statement!D12</f>
        <v>-17389</v>
      </c>
      <c r="D12" s="44" t="n">
        <f aca="false">Income_Statement!E12</f>
        <v>-19250</v>
      </c>
      <c r="E12" s="44" t="n">
        <f aca="false">Income_Statement!F12</f>
        <v>-21257</v>
      </c>
      <c r="F12" s="40" t="n">
        <f aca="false">D12-C12</f>
        <v>-1861</v>
      </c>
      <c r="G12" s="50" t="n">
        <f aca="false">IFERROR(F12/ABS(C12),0)</f>
        <v>-0.107021680372649</v>
      </c>
      <c r="H12" s="40" t="n">
        <f aca="false">E12-D12</f>
        <v>-2007</v>
      </c>
      <c r="I12" s="50" t="n">
        <f aca="false">IFERROR(H12/ABS(D12),0)</f>
        <v>-0.10425974025974</v>
      </c>
      <c r="J12" s="61" t="str">
        <f aca="false">IF(ABS(G12)&gt;Var_Threshold,IF(G12&gt;0,"▲ ","▼ ")&amp;TEXT(ABS(G12),"0.0%"),"–")</f>
        <v>▼ 10.7%</v>
      </c>
      <c r="K12" s="61" t="str">
        <f aca="false">IF(ABS(I12)&gt;Var_Threshold,IF(I12&gt;0,"▲ ","▼ ")&amp;TEXT(ABS(I12),"0.0%"),"–")</f>
        <v>▼ 10.4%</v>
      </c>
    </row>
    <row r="13" customFormat="false" ht="15" hidden="false" customHeight="false" outlineLevel="0" collapsed="false">
      <c r="B13" s="8" t="s">
        <v>141</v>
      </c>
      <c r="C13" s="58" t="n">
        <f aca="false">Income_Statement!D13</f>
        <v>38221</v>
      </c>
      <c r="D13" s="58" t="n">
        <f aca="false">Income_Statement!E13</f>
        <v>48303</v>
      </c>
      <c r="E13" s="58" t="n">
        <f aca="false">Income_Statement!F13</f>
        <v>58733</v>
      </c>
      <c r="F13" s="37" t="n">
        <f aca="false">D13-C13</f>
        <v>10082</v>
      </c>
      <c r="G13" s="60" t="n">
        <f aca="false">IFERROR(F13/ABS(C13),0)</f>
        <v>0.263781690693598</v>
      </c>
      <c r="H13" s="37" t="n">
        <f aca="false">E13-D13</f>
        <v>10430</v>
      </c>
      <c r="I13" s="60" t="n">
        <f aca="false">IFERROR(H13/ABS(D13),0)</f>
        <v>0.215928617270149</v>
      </c>
      <c r="J13" s="61" t="str">
        <f aca="false">IF(ABS(G13)&gt;Var_Threshold,IF(G13&gt;0,"▲ ","▼ ")&amp;TEXT(ABS(G13),"0.0%"),"–")</f>
        <v>▲ 26.4%</v>
      </c>
      <c r="K13" s="61" t="str">
        <f aca="false">IF(ABS(I13)&gt;Var_Threshold,IF(I13&gt;0,"▲ ","▼ ")&amp;TEXT(ABS(I13),"0.0%"),"–")</f>
        <v>▲ 21.6%</v>
      </c>
    </row>
    <row r="14" customFormat="false" ht="15" hidden="false" customHeight="false" outlineLevel="0" collapsed="false">
      <c r="B14" s="39" t="s">
        <v>142</v>
      </c>
      <c r="C14" s="44" t="n">
        <f aca="false">Income_Statement!D14</f>
        <v>400</v>
      </c>
      <c r="D14" s="44" t="n">
        <f aca="false">Income_Statement!E14</f>
        <v>-150</v>
      </c>
      <c r="E14" s="44" t="n">
        <f aca="false">Income_Statement!F14</f>
        <v>350</v>
      </c>
      <c r="F14" s="40" t="n">
        <f aca="false">D14-C14</f>
        <v>-550</v>
      </c>
      <c r="G14" s="50" t="n">
        <f aca="false">IFERROR(F14/ABS(C14),0)</f>
        <v>-1.375</v>
      </c>
      <c r="H14" s="40" t="n">
        <f aca="false">E14-D14</f>
        <v>500</v>
      </c>
      <c r="I14" s="50" t="n">
        <f aca="false">IFERROR(H14/ABS(D14),0)</f>
        <v>3.33333333333333</v>
      </c>
      <c r="J14" s="61" t="str">
        <f aca="false">IF(ABS(G14)&gt;Var_Threshold,IF(G14&gt;0,"▲ ","▼ ")&amp;TEXT(ABS(G14),"0.0%"),"–")</f>
        <v>▼ 137.5%</v>
      </c>
      <c r="K14" s="61" t="str">
        <f aca="false">IF(ABS(I14)&gt;Var_Threshold,IF(I14&gt;0,"▲ ","▼ ")&amp;TEXT(ABS(I14),"0.0%"),"–")</f>
        <v>▲ 333.3%</v>
      </c>
    </row>
    <row r="15" customFormat="false" ht="15" hidden="false" customHeight="false" outlineLevel="0" collapsed="false">
      <c r="B15" s="39" t="s">
        <v>143</v>
      </c>
      <c r="C15" s="44" t="n">
        <f aca="false">Income_Statement!D15</f>
        <v>1350</v>
      </c>
      <c r="D15" s="44" t="n">
        <f aca="false">Income_Statement!E15</f>
        <v>1520</v>
      </c>
      <c r="E15" s="44" t="n">
        <f aca="false">Income_Statement!F15</f>
        <v>1700</v>
      </c>
      <c r="F15" s="40" t="n">
        <f aca="false">D15-C15</f>
        <v>170</v>
      </c>
      <c r="G15" s="50" t="n">
        <f aca="false">IFERROR(F15/ABS(C15),0)</f>
        <v>0.125925925925926</v>
      </c>
      <c r="H15" s="40" t="n">
        <f aca="false">E15-D15</f>
        <v>180</v>
      </c>
      <c r="I15" s="50" t="n">
        <f aca="false">IFERROR(H15/ABS(D15),0)</f>
        <v>0.118421052631579</v>
      </c>
      <c r="J15" s="61" t="str">
        <f aca="false">IF(ABS(G15)&gt;Var_Threshold,IF(G15&gt;0,"▲ ","▼ ")&amp;TEXT(ABS(G15),"0.0%"),"–")</f>
        <v>▲ 12.6%</v>
      </c>
      <c r="K15" s="61" t="str">
        <f aca="false">IF(ABS(I15)&gt;Var_Threshold,IF(I15&gt;0,"▲ ","▼ ")&amp;TEXT(ABS(I15),"0.0%"),"–")</f>
        <v>▲ 11.8%</v>
      </c>
    </row>
    <row r="16" customFormat="false" ht="15" hidden="false" customHeight="false" outlineLevel="0" collapsed="false">
      <c r="B16" s="39" t="s">
        <v>144</v>
      </c>
      <c r="C16" s="44" t="n">
        <f aca="false">Income_Statement!D16</f>
        <v>775</v>
      </c>
      <c r="D16" s="44" t="n">
        <f aca="false">Income_Statement!E16</f>
        <v>873</v>
      </c>
      <c r="E16" s="44" t="n">
        <f aca="false">Income_Statement!F16</f>
        <v>1207</v>
      </c>
      <c r="F16" s="40" t="n">
        <f aca="false">D16-C16</f>
        <v>98</v>
      </c>
      <c r="G16" s="50" t="n">
        <f aca="false">IFERROR(F16/ABS(C16),0)</f>
        <v>0.126451612903226</v>
      </c>
      <c r="H16" s="40" t="n">
        <f aca="false">E16-D16</f>
        <v>334</v>
      </c>
      <c r="I16" s="50" t="n">
        <f aca="false">IFERROR(H16/ABS(D16),0)</f>
        <v>0.382588774341352</v>
      </c>
      <c r="J16" s="61" t="str">
        <f aca="false">IF(ABS(G16)&gt;Var_Threshold,IF(G16&gt;0,"▲ ","▼ ")&amp;TEXT(ABS(G16),"0.0%"),"–")</f>
        <v>▲ 12.6%</v>
      </c>
      <c r="K16" s="61" t="str">
        <f aca="false">IF(ABS(I16)&gt;Var_Threshold,IF(I16&gt;0,"▲ ","▼ ")&amp;TEXT(ABS(I16),"0.0%"),"–")</f>
        <v>▲ 38.3%</v>
      </c>
    </row>
    <row r="17" customFormat="false" ht="15" hidden="false" customHeight="false" outlineLevel="0" collapsed="false">
      <c r="B17" s="39" t="s">
        <v>145</v>
      </c>
      <c r="C17" s="44" t="n">
        <f aca="false">Income_Statement!D17</f>
        <v>-10421</v>
      </c>
      <c r="D17" s="44" t="n">
        <f aca="false">Income_Statement!E17</f>
        <v>-11475</v>
      </c>
      <c r="E17" s="44" t="n">
        <f aca="false">Income_Statement!F17</f>
        <v>-11696</v>
      </c>
      <c r="F17" s="40" t="n">
        <f aca="false">D17-C17</f>
        <v>-1054</v>
      </c>
      <c r="G17" s="50" t="n">
        <f aca="false">IFERROR(F17/ABS(C17),0)</f>
        <v>-0.101141924959217</v>
      </c>
      <c r="H17" s="40" t="n">
        <f aca="false">E17-D17</f>
        <v>-221</v>
      </c>
      <c r="I17" s="50" t="n">
        <f aca="false">IFERROR(H17/ABS(D17),0)</f>
        <v>-0.0192592592592593</v>
      </c>
      <c r="J17" s="61" t="str">
        <f aca="false">IF(ABS(G17)&gt;Var_Threshold,IF(G17&gt;0,"▲ ","▼ ")&amp;TEXT(ABS(G17),"0.0%"),"–")</f>
        <v>▼ 10.1%</v>
      </c>
      <c r="K17" s="61" t="str">
        <f aca="false">IF(ABS(I17)&gt;Var_Threshold,IF(I17&gt;0,"▲ ","▼ ")&amp;TEXT(ABS(I17),"0.0%"),"–")</f>
        <v>–</v>
      </c>
    </row>
    <row r="18" customFormat="false" ht="15" hidden="false" customHeight="false" outlineLevel="0" collapsed="false">
      <c r="B18" s="8" t="s">
        <v>147</v>
      </c>
      <c r="C18" s="58" t="n">
        <f aca="false">Income_Statement!D18</f>
        <v>30325</v>
      </c>
      <c r="D18" s="58" t="n">
        <f aca="false">Income_Statement!E18</f>
        <v>39071</v>
      </c>
      <c r="E18" s="58" t="n">
        <f aca="false">Income_Statement!F18</f>
        <v>50294</v>
      </c>
      <c r="F18" s="37" t="n">
        <f aca="false">D18-C18</f>
        <v>8746</v>
      </c>
      <c r="G18" s="60" t="n">
        <f aca="false">IFERROR(F18/ABS(C18),0)</f>
        <v>0.28840890354493</v>
      </c>
      <c r="H18" s="37" t="n">
        <f aca="false">E18-D18</f>
        <v>11223</v>
      </c>
      <c r="I18" s="60" t="n">
        <f aca="false">IFERROR(H18/ABS(D18),0)</f>
        <v>0.287246295206163</v>
      </c>
      <c r="J18" s="61" t="str">
        <f aca="false">IF(ABS(G18)&gt;Var_Threshold,IF(G18&gt;0,"▲ ","▼ ")&amp;TEXT(ABS(G18),"0.0%"),"–")</f>
        <v>▲ 28.8%</v>
      </c>
      <c r="K18" s="61" t="str">
        <f aca="false">IF(ABS(I18)&gt;Var_Threshold,IF(I18&gt;0,"▲ ","▼ ")&amp;TEXT(ABS(I18),"0.0%"),"–")</f>
        <v>▲ 28.7%</v>
      </c>
    </row>
    <row r="19" customFormat="false" ht="15" hidden="false" customHeight="false" outlineLevel="0" collapsed="false">
      <c r="B19" s="39" t="s">
        <v>148</v>
      </c>
      <c r="C19" s="44" t="n">
        <f aca="false">Income_Statement!D19</f>
        <v>-7843</v>
      </c>
      <c r="D19" s="44" t="n">
        <f aca="false">Income_Statement!E19</f>
        <v>-10062</v>
      </c>
      <c r="E19" s="44" t="n">
        <f aca="false">Income_Statement!F19</f>
        <v>-12888</v>
      </c>
      <c r="F19" s="40" t="n">
        <f aca="false">D19-C19</f>
        <v>-2219</v>
      </c>
      <c r="G19" s="50" t="n">
        <f aca="false">IFERROR(F19/ABS(C19),0)</f>
        <v>-0.282927451230397</v>
      </c>
      <c r="H19" s="40" t="n">
        <f aca="false">E19-D19</f>
        <v>-2826</v>
      </c>
      <c r="I19" s="50" t="n">
        <f aca="false">IFERROR(H19/ABS(D19),0)</f>
        <v>-0.280858676207513</v>
      </c>
      <c r="J19" s="61" t="str">
        <f aca="false">IF(ABS(G19)&gt;Var_Threshold,IF(G19&gt;0,"▲ ","▼ ")&amp;TEXT(ABS(G19),"0.0%"),"–")</f>
        <v>▼ 28.3%</v>
      </c>
      <c r="K19" s="61" t="str">
        <f aca="false">IF(ABS(I19)&gt;Var_Threshold,IF(I19&gt;0,"▲ ","▼ ")&amp;TEXT(ABS(I19),"0.0%"),"–")</f>
        <v>▼ 28.1%</v>
      </c>
    </row>
    <row r="20" customFormat="false" ht="15" hidden="false" customHeight="false" outlineLevel="0" collapsed="false">
      <c r="B20" s="8" t="s">
        <v>150</v>
      </c>
      <c r="C20" s="58" t="n">
        <f aca="false">Income_Statement!D20</f>
        <v>22482</v>
      </c>
      <c r="D20" s="58" t="n">
        <f aca="false">Income_Statement!E20</f>
        <v>29009</v>
      </c>
      <c r="E20" s="58" t="n">
        <f aca="false">Income_Statement!F20</f>
        <v>37406</v>
      </c>
      <c r="F20" s="37" t="n">
        <f aca="false">D20-C20</f>
        <v>6527</v>
      </c>
      <c r="G20" s="60" t="n">
        <f aca="false">IFERROR(F20/ABS(C20),0)</f>
        <v>0.290321145805533</v>
      </c>
      <c r="H20" s="37" t="n">
        <f aca="false">E20-D20</f>
        <v>8397</v>
      </c>
      <c r="I20" s="60" t="n">
        <f aca="false">IFERROR(H20/ABS(D20),0)</f>
        <v>0.289461891137233</v>
      </c>
      <c r="J20" s="61" t="str">
        <f aca="false">IF(ABS(G20)&gt;Var_Threshold,IF(G20&gt;0,"▲ ","▼ ")&amp;TEXT(ABS(G20),"0.0%"),"–")</f>
        <v>▲ 29.0%</v>
      </c>
      <c r="K20" s="61" t="str">
        <f aca="false">IF(ABS(I20)&gt;Var_Threshold,IF(I20&gt;0,"▲ ","▼ ")&amp;TEXT(ABS(I20),"0.0%"),"–")</f>
        <v>▲ 28.9%</v>
      </c>
    </row>
    <row r="21" customFormat="false" ht="15" hidden="false" customHeight="false" outlineLevel="0" collapsed="false">
      <c r="B21" s="39" t="s">
        <v>152</v>
      </c>
      <c r="C21" s="44" t="n">
        <f aca="false">Income_Statement!D23</f>
        <v>39971</v>
      </c>
      <c r="D21" s="44" t="n">
        <f aca="false">Income_Statement!E23</f>
        <v>49673</v>
      </c>
      <c r="E21" s="44" t="n">
        <f aca="false">Income_Statement!F23</f>
        <v>60783</v>
      </c>
      <c r="F21" s="40" t="n">
        <f aca="false">D21-C21</f>
        <v>9702</v>
      </c>
      <c r="G21" s="50" t="n">
        <f aca="false">IFERROR(F21/ABS(C21),0)</f>
        <v>0.242725976332841</v>
      </c>
      <c r="H21" s="40" t="n">
        <f aca="false">E21-D21</f>
        <v>11110</v>
      </c>
      <c r="I21" s="50" t="n">
        <f aca="false">IFERROR(H21/ABS(D21),0)</f>
        <v>0.223662754413867</v>
      </c>
      <c r="J21" s="61" t="str">
        <f aca="false">IF(ABS(G21)&gt;Var_Threshold,IF(G21&gt;0,"▲ ","▼ ")&amp;TEXT(ABS(G21),"0.0%"),"–")</f>
        <v>▲ 24.3%</v>
      </c>
      <c r="K21" s="61" t="str">
        <f aca="false">IF(ABS(I21)&gt;Var_Threshold,IF(I21&gt;0,"▲ ","▼ ")&amp;TEXT(ABS(I21),"0.0%"),"–")</f>
        <v>▲ 22.4%</v>
      </c>
    </row>
    <row r="22" customFormat="false" ht="15" hidden="false" customHeight="false" outlineLevel="0" collapsed="false">
      <c r="B22" s="8" t="s">
        <v>121</v>
      </c>
      <c r="C22" s="58" t="n">
        <f aca="false">Income_Statement!D24</f>
        <v>57360</v>
      </c>
      <c r="D22" s="58" t="n">
        <f aca="false">Income_Statement!E24</f>
        <v>68923</v>
      </c>
      <c r="E22" s="58" t="n">
        <f aca="false">Income_Statement!F24</f>
        <v>82040</v>
      </c>
      <c r="F22" s="37" t="n">
        <f aca="false">D22-C22</f>
        <v>11563</v>
      </c>
      <c r="G22" s="60" t="n">
        <f aca="false">IFERROR(F22/ABS(C22),0)</f>
        <v>0.201586471408647</v>
      </c>
      <c r="H22" s="37" t="n">
        <f aca="false">E22-D22</f>
        <v>13117</v>
      </c>
      <c r="I22" s="60" t="n">
        <f aca="false">IFERROR(H22/ABS(D22),0)</f>
        <v>0.190313828475255</v>
      </c>
      <c r="J22" s="61" t="str">
        <f aca="false">IF(ABS(G22)&gt;Var_Threshold,IF(G22&gt;0,"▲ ","▼ ")&amp;TEXT(ABS(G22),"0.0%"),"–")</f>
        <v>▲ 20.2%</v>
      </c>
      <c r="K22" s="61" t="str">
        <f aca="false">IF(ABS(I22)&gt;Var_Threshold,IF(I22&gt;0,"▲ ","▼ ")&amp;TEXT(ABS(I22),"0.0%"),"–")</f>
        <v>▲ 19.0%</v>
      </c>
    </row>
    <row r="23" customFormat="false" ht="15" hidden="false" customHeight="false" outlineLevel="0" collapsed="false">
      <c r="B23" s="39" t="s">
        <v>153</v>
      </c>
      <c r="C23" s="44" t="n">
        <f aca="false">Income_Statement!D25</f>
        <v>168920</v>
      </c>
      <c r="D23" s="44" t="n">
        <f aca="false">Income_Statement!E25</f>
        <v>180377</v>
      </c>
      <c r="E23" s="44" t="n">
        <f aca="false">Income_Statement!F25</f>
        <v>191161</v>
      </c>
      <c r="F23" s="40" t="n">
        <f aca="false">D23-C23</f>
        <v>11457</v>
      </c>
      <c r="G23" s="50" t="n">
        <f aca="false">IFERROR(F23/ABS(C23),0)</f>
        <v>0.0678250059199621</v>
      </c>
      <c r="H23" s="40" t="n">
        <f aca="false">E23-D23</f>
        <v>10784</v>
      </c>
      <c r="I23" s="50" t="n">
        <f aca="false">IFERROR(H23/ABS(D23),0)</f>
        <v>0.0597858928799126</v>
      </c>
      <c r="J23" s="61" t="str">
        <f aca="false">IF(ABS(G23)&gt;Var_Threshold,IF(G23&gt;0,"▲ ","▼ ")&amp;TEXT(ABS(G23),"0.0%"),"–")</f>
        <v>–</v>
      </c>
      <c r="K23" s="61" t="str">
        <f aca="false">IF(ABS(I23)&gt;Var_Threshold,IF(I23&gt;0,"▲ ","▼ ")&amp;TEXT(ABS(I23),"0.0%"),"–")</f>
        <v>–</v>
      </c>
    </row>
    <row r="24" customFormat="false" ht="15" hidden="false" customHeight="false" outlineLevel="0" collapsed="false">
      <c r="B24" s="12" t="s">
        <v>380</v>
      </c>
      <c r="C24" s="13"/>
      <c r="D24" s="13"/>
      <c r="E24" s="13"/>
      <c r="F24" s="13"/>
      <c r="G24" s="13"/>
      <c r="H24" s="13"/>
      <c r="I24" s="13"/>
      <c r="J24" s="13"/>
      <c r="K24" s="13"/>
    </row>
    <row r="25" customFormat="false" ht="15" hidden="false" customHeight="false" outlineLevel="0" collapsed="false">
      <c r="B25" s="39" t="s">
        <v>158</v>
      </c>
      <c r="C25" s="44" t="n">
        <f aca="false">Balance_Sheet!D8</f>
        <v>58216</v>
      </c>
      <c r="D25" s="44" t="n">
        <f aca="false">Balance_Sheet!E8</f>
        <v>80460</v>
      </c>
      <c r="E25" s="44" t="n">
        <f aca="false">Balance_Sheet!F8</f>
        <v>81748</v>
      </c>
      <c r="F25" s="40" t="n">
        <f aca="false">D25-C25</f>
        <v>22244</v>
      </c>
      <c r="G25" s="50" t="n">
        <f aca="false">IFERROR(F25/ABS(C25),0)</f>
        <v>0.3820942696166</v>
      </c>
      <c r="H25" s="40" t="n">
        <f aca="false">E25-D25</f>
        <v>1288</v>
      </c>
      <c r="I25" s="50" t="n">
        <f aca="false">IFERROR(H25/ABS(D25),0)</f>
        <v>0.0160079542629878</v>
      </c>
      <c r="J25" s="61" t="str">
        <f aca="false">IF(ABS(G25)&gt;Var_Threshold,IF(G25&gt;0,"▲ ","▼ ")&amp;TEXT(ABS(G25),"0.0%"),"–")</f>
        <v>▲ 38.2%</v>
      </c>
      <c r="K25" s="61" t="str">
        <f aca="false">IF(ABS(I25)&gt;Var_Threshold,IF(I25&gt;0,"▲ ","▼ ")&amp;TEXT(ABS(I25),"0.0%"),"–")</f>
        <v>–</v>
      </c>
    </row>
    <row r="26" customFormat="false" ht="15" hidden="false" customHeight="false" outlineLevel="0" collapsed="false">
      <c r="B26" s="39" t="s">
        <v>160</v>
      </c>
      <c r="C26" s="44" t="n">
        <f aca="false">Balance_Sheet!D9</f>
        <v>80987</v>
      </c>
      <c r="D26" s="44" t="n">
        <f aca="false">Balance_Sheet!E9</f>
        <v>88495</v>
      </c>
      <c r="E26" s="44" t="n">
        <f aca="false">Balance_Sheet!F9</f>
        <v>93248</v>
      </c>
      <c r="F26" s="40" t="n">
        <f aca="false">D26-C26</f>
        <v>7508</v>
      </c>
      <c r="G26" s="50" t="n">
        <f aca="false">IFERROR(F26/ABS(C26),0)</f>
        <v>0.0927062368034376</v>
      </c>
      <c r="H26" s="40" t="n">
        <f aca="false">E26-D26</f>
        <v>4753</v>
      </c>
      <c r="I26" s="50" t="n">
        <f aca="false">IFERROR(H26/ABS(D26),0)</f>
        <v>0.0537092491101192</v>
      </c>
      <c r="J26" s="61" t="str">
        <f aca="false">IF(ABS(G26)&gt;Var_Threshold,IF(G26&gt;0,"▲ ","▼ ")&amp;TEXT(ABS(G26),"0.0%"),"–")</f>
        <v>–</v>
      </c>
      <c r="K26" s="61" t="str">
        <f aca="false">IF(ABS(I26)&gt;Var_Threshold,IF(I26&gt;0,"▲ ","▼ ")&amp;TEXT(ABS(I26),"0.0%"),"–")</f>
        <v>–</v>
      </c>
    </row>
    <row r="27" customFormat="false" ht="15" hidden="false" customHeight="false" outlineLevel="0" collapsed="false">
      <c r="B27" s="39" t="s">
        <v>162</v>
      </c>
      <c r="C27" s="44" t="n">
        <f aca="false">Balance_Sheet!D10</f>
        <v>75696</v>
      </c>
      <c r="D27" s="44" t="n">
        <f aca="false">Balance_Sheet!E10</f>
        <v>80593</v>
      </c>
      <c r="E27" s="44" t="n">
        <f aca="false">Balance_Sheet!F10</f>
        <v>85122</v>
      </c>
      <c r="F27" s="40" t="n">
        <f aca="false">D27-C27</f>
        <v>4897</v>
      </c>
      <c r="G27" s="50" t="n">
        <f aca="false">IFERROR(F27/ABS(C27),0)</f>
        <v>0.0646929824561404</v>
      </c>
      <c r="H27" s="40" t="n">
        <f aca="false">E27-D27</f>
        <v>4529</v>
      </c>
      <c r="I27" s="50" t="n">
        <f aca="false">IFERROR(H27/ABS(D27),0)</f>
        <v>0.0561959475388681</v>
      </c>
      <c r="J27" s="61" t="str">
        <f aca="false">IF(ABS(G27)&gt;Var_Threshold,IF(G27&gt;0,"▲ ","▼ ")&amp;TEXT(ABS(G27),"0.0%"),"–")</f>
        <v>–</v>
      </c>
      <c r="K27" s="61" t="str">
        <f aca="false">IF(ABS(I27)&gt;Var_Threshold,IF(I27&gt;0,"▲ ","▼ ")&amp;TEXT(ABS(I27),"0.0%"),"–")</f>
        <v>–</v>
      </c>
    </row>
    <row r="28" customFormat="false" ht="15" hidden="false" customHeight="false" outlineLevel="0" collapsed="false">
      <c r="B28" s="39" t="s">
        <v>164</v>
      </c>
      <c r="C28" s="44" t="n">
        <f aca="false">Balance_Sheet!D11</f>
        <v>11365</v>
      </c>
      <c r="D28" s="44" t="n">
        <f aca="false">Balance_Sheet!E11</f>
        <v>12085</v>
      </c>
      <c r="E28" s="44" t="n">
        <f aca="false">Balance_Sheet!F11</f>
        <v>12743</v>
      </c>
      <c r="F28" s="40" t="n">
        <f aca="false">D28-C28</f>
        <v>720</v>
      </c>
      <c r="G28" s="50" t="n">
        <f aca="false">IFERROR(F28/ABS(C28),0)</f>
        <v>0.0633523977122745</v>
      </c>
      <c r="H28" s="40" t="n">
        <f aca="false">E28-D28</f>
        <v>658</v>
      </c>
      <c r="I28" s="50" t="n">
        <f aca="false">IFERROR(H28/ABS(D28),0)</f>
        <v>0.0544476623913943</v>
      </c>
      <c r="J28" s="61" t="str">
        <f aca="false">IF(ABS(G28)&gt;Var_Threshold,IF(G28&gt;0,"▲ ","▼ ")&amp;TEXT(ABS(G28),"0.0%"),"–")</f>
        <v>–</v>
      </c>
      <c r="K28" s="61" t="str">
        <f aca="false">IF(ABS(I28)&gt;Var_Threshold,IF(I28&gt;0,"▲ ","▼ ")&amp;TEXT(ABS(I28),"0.0%"),"–")</f>
        <v>–</v>
      </c>
    </row>
    <row r="29" customFormat="false" ht="15" hidden="false" customHeight="false" outlineLevel="0" collapsed="false">
      <c r="B29" s="8" t="s">
        <v>165</v>
      </c>
      <c r="C29" s="58" t="n">
        <f aca="false">Balance_Sheet!D12</f>
        <v>226264</v>
      </c>
      <c r="D29" s="58" t="n">
        <f aca="false">Balance_Sheet!E12</f>
        <v>261633</v>
      </c>
      <c r="E29" s="58" t="n">
        <f aca="false">Balance_Sheet!F12</f>
        <v>272861</v>
      </c>
      <c r="F29" s="37" t="n">
        <f aca="false">D29-C29</f>
        <v>35369</v>
      </c>
      <c r="G29" s="60" t="n">
        <f aca="false">IFERROR(F29/ABS(C29),0)</f>
        <v>0.156317399144362</v>
      </c>
      <c r="H29" s="37" t="n">
        <f aca="false">E29-D29</f>
        <v>11228</v>
      </c>
      <c r="I29" s="60" t="n">
        <f aca="false">IFERROR(H29/ABS(D29),0)</f>
        <v>0.0429150756976375</v>
      </c>
      <c r="J29" s="61" t="str">
        <f aca="false">IF(ABS(G29)&gt;Var_Threshold,IF(G29&gt;0,"▲ ","▼ ")&amp;TEXT(ABS(G29),"0.0%"),"–")</f>
        <v>▲ 15.6%</v>
      </c>
      <c r="K29" s="61" t="str">
        <f aca="false">IF(ABS(I29)&gt;Var_Threshold,IF(I29&gt;0,"▲ ","▼ ")&amp;TEXT(ABS(I29),"0.0%"),"–")</f>
        <v>–</v>
      </c>
    </row>
    <row r="30" customFormat="false" ht="15" hidden="false" customHeight="false" outlineLevel="0" collapsed="false">
      <c r="B30" s="39" t="s">
        <v>167</v>
      </c>
      <c r="C30" s="44" t="n">
        <f aca="false">Balance_Sheet!D14</f>
        <v>178711</v>
      </c>
      <c r="D30" s="44" t="n">
        <f aca="false">Balance_Sheet!E14</f>
        <v>189761</v>
      </c>
      <c r="E30" s="44" t="n">
        <f aca="false">Balance_Sheet!F14</f>
        <v>194504</v>
      </c>
      <c r="F30" s="40" t="n">
        <f aca="false">D30-C30</f>
        <v>11050</v>
      </c>
      <c r="G30" s="50" t="n">
        <f aca="false">IFERROR(F30/ABS(C30),0)</f>
        <v>0.0618316723648796</v>
      </c>
      <c r="H30" s="40" t="n">
        <f aca="false">E30-D30</f>
        <v>4743</v>
      </c>
      <c r="I30" s="50" t="n">
        <f aca="false">IFERROR(H30/ABS(D30),0)</f>
        <v>0.0249945984686</v>
      </c>
      <c r="J30" s="61" t="str">
        <f aca="false">IF(ABS(G30)&gt;Var_Threshold,IF(G30&gt;0,"▲ ","▼ ")&amp;TEXT(ABS(G30),"0.0%"),"–")</f>
        <v>–</v>
      </c>
      <c r="K30" s="61" t="str">
        <f aca="false">IF(ABS(I30)&gt;Var_Threshold,IF(I30&gt;0,"▲ ","▼ ")&amp;TEXT(ABS(I30),"0.0%"),"–")</f>
        <v>–</v>
      </c>
    </row>
    <row r="31" customFormat="false" ht="15" hidden="false" customHeight="false" outlineLevel="0" collapsed="false">
      <c r="B31" s="39" t="s">
        <v>168</v>
      </c>
      <c r="C31" s="44" t="n">
        <f aca="false">Balance_Sheet!D15</f>
        <v>10200</v>
      </c>
      <c r="D31" s="44" t="n">
        <f aca="false">Balance_Sheet!E15</f>
        <v>10500</v>
      </c>
      <c r="E31" s="44" t="n">
        <f aca="false">Balance_Sheet!F15</f>
        <v>11100</v>
      </c>
      <c r="F31" s="40" t="n">
        <f aca="false">D31-C31</f>
        <v>300</v>
      </c>
      <c r="G31" s="50" t="n">
        <f aca="false">IFERROR(F31/ABS(C31),0)</f>
        <v>0.0294117647058824</v>
      </c>
      <c r="H31" s="40" t="n">
        <f aca="false">E31-D31</f>
        <v>600</v>
      </c>
      <c r="I31" s="50" t="n">
        <f aca="false">IFERROR(H31/ABS(D31),0)</f>
        <v>0.0571428571428571</v>
      </c>
      <c r="J31" s="61" t="str">
        <f aca="false">IF(ABS(G31)&gt;Var_Threshold,IF(G31&gt;0,"▲ ","▼ ")&amp;TEXT(ABS(G31),"0.0%"),"–")</f>
        <v>–</v>
      </c>
      <c r="K31" s="61" t="str">
        <f aca="false">IF(ABS(I31)&gt;Var_Threshold,IF(I31&gt;0,"▲ ","▼ ")&amp;TEXT(ABS(I31),"0.0%"),"–")</f>
        <v>–</v>
      </c>
    </row>
    <row r="32" customFormat="false" ht="15" hidden="false" customHeight="false" outlineLevel="0" collapsed="false">
      <c r="B32" s="8" t="s">
        <v>169</v>
      </c>
      <c r="C32" s="58" t="n">
        <f aca="false">Balance_Sheet!D16</f>
        <v>188911</v>
      </c>
      <c r="D32" s="58" t="n">
        <f aca="false">Balance_Sheet!E16</f>
        <v>200261</v>
      </c>
      <c r="E32" s="58" t="n">
        <f aca="false">Balance_Sheet!F16</f>
        <v>205604</v>
      </c>
      <c r="F32" s="37" t="n">
        <f aca="false">D32-C32</f>
        <v>11350</v>
      </c>
      <c r="G32" s="60" t="n">
        <f aca="false">IFERROR(F32/ABS(C32),0)</f>
        <v>0.0600812022592649</v>
      </c>
      <c r="H32" s="37" t="n">
        <f aca="false">E32-D32</f>
        <v>5343</v>
      </c>
      <c r="I32" s="60" t="n">
        <f aca="false">IFERROR(H32/ABS(D32),0)</f>
        <v>0.0266801823620176</v>
      </c>
      <c r="J32" s="61" t="str">
        <f aca="false">IF(ABS(G32)&gt;Var_Threshold,IF(G32&gt;0,"▲ ","▼ ")&amp;TEXT(ABS(G32),"0.0%"),"–")</f>
        <v>–</v>
      </c>
      <c r="K32" s="61" t="str">
        <f aca="false">IF(ABS(I32)&gt;Var_Threshold,IF(I32&gt;0,"▲ ","▼ ")&amp;TEXT(ABS(I32),"0.0%"),"–")</f>
        <v>–</v>
      </c>
    </row>
    <row r="33" customFormat="false" ht="15" hidden="false" customHeight="false" outlineLevel="0" collapsed="false">
      <c r="B33" s="8" t="s">
        <v>123</v>
      </c>
      <c r="C33" s="58" t="n">
        <f aca="false">Balance_Sheet!D17</f>
        <v>415175</v>
      </c>
      <c r="D33" s="58" t="n">
        <f aca="false">Balance_Sheet!E17</f>
        <v>461894</v>
      </c>
      <c r="E33" s="58" t="n">
        <f aca="false">Balance_Sheet!F17</f>
        <v>478465</v>
      </c>
      <c r="F33" s="37" t="n">
        <f aca="false">D33-C33</f>
        <v>46719</v>
      </c>
      <c r="G33" s="60" t="n">
        <f aca="false">IFERROR(F33/ABS(C33),0)</f>
        <v>0.11252845185765</v>
      </c>
      <c r="H33" s="37" t="n">
        <f aca="false">E33-D33</f>
        <v>16571</v>
      </c>
      <c r="I33" s="60" t="n">
        <f aca="false">IFERROR(H33/ABS(D33),0)</f>
        <v>0.0358761967031397</v>
      </c>
      <c r="J33" s="61" t="str">
        <f aca="false">IF(ABS(G33)&gt;Var_Threshold,IF(G33&gt;0,"▲ ","▼ ")&amp;TEXT(ABS(G33),"0.0%"),"–")</f>
        <v>▲ 11.3%</v>
      </c>
      <c r="K33" s="61" t="str">
        <f aca="false">IF(ABS(I33)&gt;Var_Threshold,IF(I33&gt;0,"▲ ","▼ ")&amp;TEXT(ABS(I33),"0.0%"),"–")</f>
        <v>–</v>
      </c>
    </row>
    <row r="34" customFormat="false" ht="15" hidden="false" customHeight="false" outlineLevel="0" collapsed="false">
      <c r="B34" s="39" t="s">
        <v>172</v>
      </c>
      <c r="C34" s="44" t="n">
        <f aca="false">Balance_Sheet!D21</f>
        <v>67285</v>
      </c>
      <c r="D34" s="44" t="n">
        <f aca="false">Balance_Sheet!E21</f>
        <v>75098</v>
      </c>
      <c r="E34" s="44" t="n">
        <f aca="false">Balance_Sheet!F21</f>
        <v>83143</v>
      </c>
      <c r="F34" s="40" t="n">
        <f aca="false">D34-C34</f>
        <v>7813</v>
      </c>
      <c r="G34" s="50" t="n">
        <f aca="false">IFERROR(F34/ABS(C34),0)</f>
        <v>0.116118005498997</v>
      </c>
      <c r="H34" s="40" t="n">
        <f aca="false">E34-D34</f>
        <v>8045</v>
      </c>
      <c r="I34" s="50" t="n">
        <f aca="false">IFERROR(H34/ABS(D34),0)</f>
        <v>0.107126687794615</v>
      </c>
      <c r="J34" s="61" t="str">
        <f aca="false">IF(ABS(G34)&gt;Var_Threshold,IF(G34&gt;0,"▲ ","▼ ")&amp;TEXT(ABS(G34),"0.0%"),"–")</f>
        <v>▲ 11.6%</v>
      </c>
      <c r="K34" s="61" t="str">
        <f aca="false">IF(ABS(I34)&gt;Var_Threshold,IF(I34&gt;0,"▲ ","▼ ")&amp;TEXT(ABS(I34),"0.0%"),"–")</f>
        <v>▲ 10.7%</v>
      </c>
    </row>
    <row r="35" customFormat="false" ht="15" hidden="false" customHeight="false" outlineLevel="0" collapsed="false">
      <c r="B35" s="39" t="s">
        <v>173</v>
      </c>
      <c r="C35" s="44" t="n">
        <f aca="false">Balance_Sheet!D22</f>
        <v>13638</v>
      </c>
      <c r="D35" s="44" t="n">
        <f aca="false">Balance_Sheet!E22</f>
        <v>14501</v>
      </c>
      <c r="E35" s="44" t="n">
        <f aca="false">Balance_Sheet!F22</f>
        <v>15291</v>
      </c>
      <c r="F35" s="40" t="n">
        <f aca="false">D35-C35</f>
        <v>863</v>
      </c>
      <c r="G35" s="50" t="n">
        <f aca="false">IFERROR(F35/ABS(C35),0)</f>
        <v>0.0632790731778853</v>
      </c>
      <c r="H35" s="40" t="n">
        <f aca="false">E35-D35</f>
        <v>790</v>
      </c>
      <c r="I35" s="50" t="n">
        <f aca="false">IFERROR(H35/ABS(D35),0)</f>
        <v>0.054479001448176</v>
      </c>
      <c r="J35" s="61" t="str">
        <f aca="false">IF(ABS(G35)&gt;Var_Threshold,IF(G35&gt;0,"▲ ","▼ ")&amp;TEXT(ABS(G35),"0.0%"),"–")</f>
        <v>–</v>
      </c>
      <c r="K35" s="61" t="str">
        <f aca="false">IF(ABS(I35)&gt;Var_Threshold,IF(I35&gt;0,"▲ ","▼ ")&amp;TEXT(ABS(I35),"0.0%"),"–")</f>
        <v>–</v>
      </c>
    </row>
    <row r="36" customFormat="false" ht="15" hidden="false" customHeight="false" outlineLevel="0" collapsed="false">
      <c r="B36" s="39" t="s">
        <v>174</v>
      </c>
      <c r="C36" s="44" t="n">
        <f aca="false">Balance_Sheet!D23</f>
        <v>1691</v>
      </c>
      <c r="D36" s="44" t="n">
        <f aca="false">Balance_Sheet!E23</f>
        <v>1977</v>
      </c>
      <c r="E36" s="44" t="n">
        <f aca="false">Balance_Sheet!F23</f>
        <v>2529</v>
      </c>
      <c r="F36" s="40" t="n">
        <f aca="false">D36-C36</f>
        <v>286</v>
      </c>
      <c r="G36" s="50" t="n">
        <f aca="false">IFERROR(F36/ABS(C36),0)</f>
        <v>0.169130691898285</v>
      </c>
      <c r="H36" s="40" t="n">
        <f aca="false">E36-D36</f>
        <v>552</v>
      </c>
      <c r="I36" s="50" t="n">
        <f aca="false">IFERROR(H36/ABS(D36),0)</f>
        <v>0.279210925644917</v>
      </c>
      <c r="J36" s="61" t="str">
        <f aca="false">IF(ABS(G36)&gt;Var_Threshold,IF(G36&gt;0,"▲ ","▼ ")&amp;TEXT(ABS(G36),"0.0%"),"–")</f>
        <v>▲ 16.9%</v>
      </c>
      <c r="K36" s="61" t="str">
        <f aca="false">IF(ABS(I36)&gt;Var_Threshold,IF(I36&gt;0,"▲ ","▼ ")&amp;TEXT(ABS(I36),"0.0%"),"–")</f>
        <v>▲ 27.9%</v>
      </c>
    </row>
    <row r="37" customFormat="false" ht="15" hidden="false" customHeight="false" outlineLevel="0" collapsed="false">
      <c r="B37" s="39" t="s">
        <v>175</v>
      </c>
      <c r="C37" s="44" t="n">
        <f aca="false">Balance_Sheet!D24</f>
        <v>48000</v>
      </c>
      <c r="D37" s="44" t="n">
        <f aca="false">Balance_Sheet!E24</f>
        <v>42000</v>
      </c>
      <c r="E37" s="44" t="n">
        <f aca="false">Balance_Sheet!F24</f>
        <v>38000</v>
      </c>
      <c r="F37" s="40" t="n">
        <f aca="false">D37-C37</f>
        <v>-6000</v>
      </c>
      <c r="G37" s="50" t="n">
        <f aca="false">IFERROR(F37/ABS(C37),0)</f>
        <v>-0.125</v>
      </c>
      <c r="H37" s="40" t="n">
        <f aca="false">E37-D37</f>
        <v>-4000</v>
      </c>
      <c r="I37" s="50" t="n">
        <f aca="false">IFERROR(H37/ABS(D37),0)</f>
        <v>-0.0952380952380952</v>
      </c>
      <c r="J37" s="61" t="str">
        <f aca="false">IF(ABS(G37)&gt;Var_Threshold,IF(G37&gt;0,"▲ ","▼ ")&amp;TEXT(ABS(G37),"0.0%"),"–")</f>
        <v>▼ 12.5%</v>
      </c>
      <c r="K37" s="61" t="str">
        <f aca="false">IF(ABS(I37)&gt;Var_Threshold,IF(I37&gt;0,"▲ ","▼ ")&amp;TEXT(ABS(I37),"0.0%"),"–")</f>
        <v>–</v>
      </c>
    </row>
    <row r="38" customFormat="false" ht="15" hidden="false" customHeight="false" outlineLevel="0" collapsed="false">
      <c r="B38" s="39" t="s">
        <v>176</v>
      </c>
      <c r="C38" s="44" t="n">
        <f aca="false">Balance_Sheet!D25</f>
        <v>13000</v>
      </c>
      <c r="D38" s="44" t="n">
        <f aca="false">Balance_Sheet!E25</f>
        <v>15000</v>
      </c>
      <c r="E38" s="44" t="n">
        <f aca="false">Balance_Sheet!F25</f>
        <v>16500</v>
      </c>
      <c r="F38" s="40" t="n">
        <f aca="false">D38-C38</f>
        <v>2000</v>
      </c>
      <c r="G38" s="50" t="n">
        <f aca="false">IFERROR(F38/ABS(C38),0)</f>
        <v>0.153846153846154</v>
      </c>
      <c r="H38" s="40" t="n">
        <f aca="false">E38-D38</f>
        <v>1500</v>
      </c>
      <c r="I38" s="50" t="n">
        <f aca="false">IFERROR(H38/ABS(D38),0)</f>
        <v>0.1</v>
      </c>
      <c r="J38" s="61" t="str">
        <f aca="false">IF(ABS(G38)&gt;Var_Threshold,IF(G38&gt;0,"▲ ","▼ ")&amp;TEXT(ABS(G38),"0.0%"),"–")</f>
        <v>▲ 15.4%</v>
      </c>
      <c r="K38" s="61" t="str">
        <f aca="false">IF(ABS(I38)&gt;Var_Threshold,IF(I38&gt;0,"▲ ","▼ ")&amp;TEXT(ABS(I38),"0.0%"),"–")</f>
        <v>–</v>
      </c>
    </row>
    <row r="39" customFormat="false" ht="15" hidden="false" customHeight="false" outlineLevel="0" collapsed="false">
      <c r="B39" s="8" t="s">
        <v>177</v>
      </c>
      <c r="C39" s="58" t="n">
        <f aca="false">Balance_Sheet!D26</f>
        <v>143614</v>
      </c>
      <c r="D39" s="58" t="n">
        <f aca="false">Balance_Sheet!E26</f>
        <v>148576</v>
      </c>
      <c r="E39" s="58" t="n">
        <f aca="false">Balance_Sheet!F26</f>
        <v>155463</v>
      </c>
      <c r="F39" s="37" t="n">
        <f aca="false">D39-C39</f>
        <v>4962</v>
      </c>
      <c r="G39" s="60" t="n">
        <f aca="false">IFERROR(F39/ABS(C39),0)</f>
        <v>0.0345509490718175</v>
      </c>
      <c r="H39" s="37" t="n">
        <f aca="false">E39-D39</f>
        <v>6887</v>
      </c>
      <c r="I39" s="60" t="n">
        <f aca="false">IFERROR(H39/ABS(D39),0)</f>
        <v>0.0463533814344174</v>
      </c>
      <c r="J39" s="61" t="str">
        <f aca="false">IF(ABS(G39)&gt;Var_Threshold,IF(G39&gt;0,"▲ ","▼ ")&amp;TEXT(ABS(G39),"0.0%"),"–")</f>
        <v>–</v>
      </c>
      <c r="K39" s="61" t="str">
        <f aca="false">IF(ABS(I39)&gt;Var_Threshold,IF(I39&gt;0,"▲ ","▼ ")&amp;TEXT(ABS(I39),"0.0%"),"–")</f>
        <v>–</v>
      </c>
    </row>
    <row r="40" customFormat="false" ht="15" hidden="false" customHeight="false" outlineLevel="0" collapsed="false">
      <c r="B40" s="39" t="s">
        <v>179</v>
      </c>
      <c r="C40" s="44" t="n">
        <f aca="false">Balance_Sheet!D28</f>
        <v>75000</v>
      </c>
      <c r="D40" s="44" t="n">
        <f aca="false">Balance_Sheet!E28</f>
        <v>95000</v>
      </c>
      <c r="E40" s="44" t="n">
        <f aca="false">Balance_Sheet!F28</f>
        <v>78500</v>
      </c>
      <c r="F40" s="40" t="n">
        <f aca="false">D40-C40</f>
        <v>20000</v>
      </c>
      <c r="G40" s="50" t="n">
        <f aca="false">IFERROR(F40/ABS(C40),0)</f>
        <v>0.266666666666667</v>
      </c>
      <c r="H40" s="40" t="n">
        <f aca="false">E40-D40</f>
        <v>-16500</v>
      </c>
      <c r="I40" s="50" t="n">
        <f aca="false">IFERROR(H40/ABS(D40),0)</f>
        <v>-0.173684210526316</v>
      </c>
      <c r="J40" s="61" t="str">
        <f aca="false">IF(ABS(G40)&gt;Var_Threshold,IF(G40&gt;0,"▲ ","▼ ")&amp;TEXT(ABS(G40),"0.0%"),"–")</f>
        <v>▲ 26.7%</v>
      </c>
      <c r="K40" s="61" t="str">
        <f aca="false">IF(ABS(I40)&gt;Var_Threshold,IF(I40&gt;0,"▲ ","▼ ")&amp;TEXT(ABS(I40),"0.0%"),"–")</f>
        <v>▼ 17.4%</v>
      </c>
    </row>
    <row r="41" customFormat="false" ht="15" hidden="false" customHeight="false" outlineLevel="0" collapsed="false">
      <c r="B41" s="8" t="s">
        <v>180</v>
      </c>
      <c r="C41" s="58" t="n">
        <f aca="false">Balance_Sheet!D29</f>
        <v>218614</v>
      </c>
      <c r="D41" s="58" t="n">
        <f aca="false">Balance_Sheet!E29</f>
        <v>243576</v>
      </c>
      <c r="E41" s="58" t="n">
        <f aca="false">Balance_Sheet!F29</f>
        <v>233963</v>
      </c>
      <c r="F41" s="37" t="n">
        <f aca="false">D41-C41</f>
        <v>24962</v>
      </c>
      <c r="G41" s="60" t="n">
        <f aca="false">IFERROR(F41/ABS(C41),0)</f>
        <v>0.114182989195568</v>
      </c>
      <c r="H41" s="37" t="n">
        <f aca="false">E41-D41</f>
        <v>-9613</v>
      </c>
      <c r="I41" s="60" t="n">
        <f aca="false">IFERROR(H41/ABS(D41),0)</f>
        <v>-0.039466121456958</v>
      </c>
      <c r="J41" s="61" t="str">
        <f aca="false">IF(ABS(G41)&gt;Var_Threshold,IF(G41&gt;0,"▲ ","▼ ")&amp;TEXT(ABS(G41),"0.0%"),"–")</f>
        <v>▲ 11.4%</v>
      </c>
      <c r="K41" s="61" t="str">
        <f aca="false">IF(ABS(I41)&gt;Var_Threshold,IF(I41&gt;0,"▲ ","▼ ")&amp;TEXT(ABS(I41),"0.0%"),"–")</f>
        <v>–</v>
      </c>
    </row>
    <row r="42" customFormat="false" ht="15" hidden="false" customHeight="false" outlineLevel="0" collapsed="false">
      <c r="B42" s="39" t="s">
        <v>182</v>
      </c>
      <c r="C42" s="44" t="n">
        <f aca="false">Balance_Sheet!D31</f>
        <v>120000</v>
      </c>
      <c r="D42" s="44" t="n">
        <f aca="false">Balance_Sheet!E31</f>
        <v>120000</v>
      </c>
      <c r="E42" s="44" t="n">
        <f aca="false">Balance_Sheet!F31</f>
        <v>120000</v>
      </c>
      <c r="F42" s="40" t="n">
        <f aca="false">D42-C42</f>
        <v>0</v>
      </c>
      <c r="G42" s="50" t="n">
        <f aca="false">IFERROR(F42/ABS(C42),0)</f>
        <v>0</v>
      </c>
      <c r="H42" s="40" t="n">
        <f aca="false">E42-D42</f>
        <v>0</v>
      </c>
      <c r="I42" s="50" t="n">
        <f aca="false">IFERROR(H42/ABS(D42),0)</f>
        <v>0</v>
      </c>
      <c r="J42" s="61" t="str">
        <f aca="false">IF(ABS(G42)&gt;Var_Threshold,IF(G42&gt;0,"▲ ","▼ ")&amp;TEXT(ABS(G42),"0.0%"),"–")</f>
        <v>–</v>
      </c>
      <c r="K42" s="61" t="str">
        <f aca="false">IF(ABS(I42)&gt;Var_Threshold,IF(I42&gt;0,"▲ ","▼ ")&amp;TEXT(ABS(I42),"0.0%"),"–")</f>
        <v>–</v>
      </c>
    </row>
    <row r="43" customFormat="false" ht="15" hidden="false" customHeight="false" outlineLevel="0" collapsed="false">
      <c r="B43" s="39" t="s">
        <v>184</v>
      </c>
      <c r="C43" s="44" t="n">
        <f aca="false">Balance_Sheet!D32</f>
        <v>18000</v>
      </c>
      <c r="D43" s="44" t="n">
        <f aca="false">Balance_Sheet!E32</f>
        <v>18000</v>
      </c>
      <c r="E43" s="44" t="n">
        <f aca="false">Balance_Sheet!F32</f>
        <v>18000</v>
      </c>
      <c r="F43" s="40" t="n">
        <f aca="false">D43-C43</f>
        <v>0</v>
      </c>
      <c r="G43" s="50" t="n">
        <f aca="false">IFERROR(F43/ABS(C43),0)</f>
        <v>0</v>
      </c>
      <c r="H43" s="40" t="n">
        <f aca="false">E43-D43</f>
        <v>0</v>
      </c>
      <c r="I43" s="50" t="n">
        <f aca="false">IFERROR(H43/ABS(D43),0)</f>
        <v>0</v>
      </c>
      <c r="J43" s="61" t="str">
        <f aca="false">IF(ABS(G43)&gt;Var_Threshold,IF(G43&gt;0,"▲ ","▼ ")&amp;TEXT(ABS(G43),"0.0%"),"–")</f>
        <v>–</v>
      </c>
      <c r="K43" s="61" t="str">
        <f aca="false">IF(ABS(I43)&gt;Var_Threshold,IF(I43&gt;0,"▲ ","▼ ")&amp;TEXT(ABS(I43),"0.0%"),"–")</f>
        <v>–</v>
      </c>
    </row>
    <row r="44" customFormat="false" ht="15" hidden="false" customHeight="false" outlineLevel="0" collapsed="false">
      <c r="B44" s="39" t="s">
        <v>185</v>
      </c>
      <c r="C44" s="44" t="n">
        <f aca="false">Balance_Sheet!D33</f>
        <v>58561</v>
      </c>
      <c r="D44" s="44" t="n">
        <f aca="false">Balance_Sheet!E33</f>
        <v>80318</v>
      </c>
      <c r="E44" s="44" t="n">
        <f aca="false">Balance_Sheet!F33</f>
        <v>106502</v>
      </c>
      <c r="F44" s="40" t="n">
        <f aca="false">D44-C44</f>
        <v>21757</v>
      </c>
      <c r="G44" s="50" t="n">
        <f aca="false">IFERROR(F44/ABS(C44),0)</f>
        <v>0.37152712556138</v>
      </c>
      <c r="H44" s="40" t="n">
        <f aca="false">E44-D44</f>
        <v>26184</v>
      </c>
      <c r="I44" s="50" t="n">
        <f aca="false">IFERROR(H44/ABS(D44),0)</f>
        <v>0.326004133569063</v>
      </c>
      <c r="J44" s="61" t="str">
        <f aca="false">IF(ABS(G44)&gt;Var_Threshold,IF(G44&gt;0,"▲ ","▼ ")&amp;TEXT(ABS(G44),"0.0%"),"–")</f>
        <v>▲ 37.2%</v>
      </c>
      <c r="K44" s="61" t="str">
        <f aca="false">IF(ABS(I44)&gt;Var_Threshold,IF(I44&gt;0,"▲ ","▼ ")&amp;TEXT(ABS(I44),"0.0%"),"–")</f>
        <v>▲ 32.6%</v>
      </c>
    </row>
    <row r="45" customFormat="false" ht="15" hidden="false" customHeight="false" outlineLevel="0" collapsed="false">
      <c r="B45" s="8" t="s">
        <v>186</v>
      </c>
      <c r="C45" s="58" t="n">
        <f aca="false">Balance_Sheet!D34</f>
        <v>196561</v>
      </c>
      <c r="D45" s="58" t="n">
        <f aca="false">Balance_Sheet!E34</f>
        <v>218318</v>
      </c>
      <c r="E45" s="58" t="n">
        <f aca="false">Balance_Sheet!F34</f>
        <v>244502</v>
      </c>
      <c r="F45" s="37" t="n">
        <f aca="false">D45-C45</f>
        <v>21757</v>
      </c>
      <c r="G45" s="60" t="n">
        <f aca="false">IFERROR(F45/ABS(C45),0)</f>
        <v>0.110688285061635</v>
      </c>
      <c r="H45" s="37" t="n">
        <f aca="false">E45-D45</f>
        <v>26184</v>
      </c>
      <c r="I45" s="60" t="n">
        <f aca="false">IFERROR(H45/ABS(D45),0)</f>
        <v>0.119935140483148</v>
      </c>
      <c r="J45" s="61" t="str">
        <f aca="false">IF(ABS(G45)&gt;Var_Threshold,IF(G45&gt;0,"▲ ","▼ ")&amp;TEXT(ABS(G45),"0.0%"),"–")</f>
        <v>▲ 11.1%</v>
      </c>
      <c r="K45" s="61" t="str">
        <f aca="false">IF(ABS(I45)&gt;Var_Threshold,IF(I45&gt;0,"▲ ","▼ ")&amp;TEXT(ABS(I45),"0.0%"),"–")</f>
        <v>▲ 12.0%</v>
      </c>
    </row>
    <row r="46" customFormat="false" ht="15" hidden="false" customHeight="false" outlineLevel="0" collapsed="false">
      <c r="B46" s="8" t="s">
        <v>187</v>
      </c>
      <c r="C46" s="58" t="n">
        <f aca="false">Balance_Sheet!D35</f>
        <v>415175</v>
      </c>
      <c r="D46" s="58" t="n">
        <f aca="false">Balance_Sheet!E35</f>
        <v>461894</v>
      </c>
      <c r="E46" s="58" t="n">
        <f aca="false">Balance_Sheet!F35</f>
        <v>478465</v>
      </c>
      <c r="F46" s="37" t="n">
        <f aca="false">D46-C46</f>
        <v>46719</v>
      </c>
      <c r="G46" s="60" t="n">
        <f aca="false">IFERROR(F46/ABS(C46),0)</f>
        <v>0.11252845185765</v>
      </c>
      <c r="H46" s="37" t="n">
        <f aca="false">E46-D46</f>
        <v>16571</v>
      </c>
      <c r="I46" s="60" t="n">
        <f aca="false">IFERROR(H46/ABS(D46),0)</f>
        <v>0.0358761967031397</v>
      </c>
      <c r="J46" s="61" t="str">
        <f aca="false">IF(ABS(G46)&gt;Var_Threshold,IF(G46&gt;0,"▲ ","▼ ")&amp;TEXT(ABS(G46),"0.0%"),"–")</f>
        <v>▲ 11.3%</v>
      </c>
      <c r="K46" s="61" t="str">
        <f aca="false">IF(ABS(I46)&gt;Var_Threshold,IF(I46&gt;0,"▲ ","▼ ")&amp;TEXT(ABS(I46),"0.0%"),"–")</f>
        <v>–</v>
      </c>
    </row>
  </sheetData>
  <conditionalFormatting sqref="J6:K46">
    <cfRule type="expression" priority="2" aboveAverage="0" equalAverage="0" bottom="0" percent="0" rank="0" text="" dxfId="4">
      <formula>AND(LEN(J6)&gt;1,LEFT(J6,1)&lt;&gt;"–")</formula>
    </cfRule>
  </conditionalFormatting>
  <conditionalFormatting sqref="F6:F46">
    <cfRule type="cellIs" priority="3" operator="lessThan" aboveAverage="0" equalAverage="0" bottom="0" percent="0" rank="0" text="" dxfId="5">
      <formula>0</formula>
    </cfRule>
  </conditionalFormatting>
  <conditionalFormatting sqref="H6:H46">
    <cfRule type="cellIs" priority="4"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4"/>
    <col collapsed="false" customWidth="true" hidden="false" outlineLevel="0" max="5" min="3" style="0" width="14"/>
    <col collapsed="false" customWidth="true" hidden="false" outlineLevel="0" max="8" min="6" style="0" width="12"/>
    <col collapsed="false" customWidth="true" hidden="false" outlineLevel="0" max="9" min="9" style="0" width="14"/>
  </cols>
  <sheetData>
    <row r="1" customFormat="false" ht="24" hidden="false" customHeight="true" outlineLevel="0" collapsed="false">
      <c r="B1" s="17" t="s">
        <v>381</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382</v>
      </c>
    </row>
    <row r="5" customFormat="false" ht="33.75" hidden="false" customHeight="true" outlineLevel="0" collapsed="false">
      <c r="B5" s="49" t="s">
        <v>130</v>
      </c>
      <c r="C5" s="35" t="n">
        <f aca="false">Inputs!D$22</f>
        <v>2023</v>
      </c>
      <c r="D5" s="35" t="n">
        <f aca="false">Inputs!E$22</f>
        <v>2024</v>
      </c>
      <c r="E5" s="35" t="n">
        <f aca="false">Inputs!F$22</f>
        <v>2025</v>
      </c>
      <c r="F5" s="62" t="str">
        <f aca="false">"% FY"&amp;Inputs!D$22</f>
        <v>% FY2023</v>
      </c>
      <c r="G5" s="62" t="str">
        <f aca="false">"% FY"&amp;Inputs!E$22</f>
        <v>% FY2024</v>
      </c>
      <c r="H5" s="62" t="str">
        <f aca="false">"% FY"&amp;Inputs!F$22</f>
        <v>% FY2025</v>
      </c>
      <c r="I5" s="36" t="s">
        <v>383</v>
      </c>
    </row>
    <row r="6" customFormat="false" ht="15" hidden="false" customHeight="false" outlineLevel="0" collapsed="false">
      <c r="B6" s="12" t="s">
        <v>379</v>
      </c>
      <c r="C6" s="13"/>
      <c r="D6" s="13"/>
      <c r="E6" s="13"/>
      <c r="F6" s="13"/>
      <c r="G6" s="13"/>
      <c r="H6" s="13"/>
      <c r="I6" s="13"/>
    </row>
    <row r="7" customFormat="false" ht="15" hidden="false" customHeight="false" outlineLevel="0" collapsed="false">
      <c r="B7" s="8" t="s">
        <v>133</v>
      </c>
      <c r="C7" s="58" t="n">
        <f aca="false">Income_Statement!D7</f>
        <v>821118</v>
      </c>
      <c r="D7" s="58" t="n">
        <f aca="false">Income_Statement!E7</f>
        <v>897238</v>
      </c>
      <c r="E7" s="58" t="n">
        <f aca="false">Income_Statement!F7</f>
        <v>972442</v>
      </c>
      <c r="F7" s="50" t="n">
        <f aca="false">IFERROR(C7/C$7,0)</f>
        <v>1</v>
      </c>
      <c r="G7" s="50" t="n">
        <f aca="false">IFERROR(D7/D$7,0)</f>
        <v>1</v>
      </c>
      <c r="H7" s="50" t="n">
        <f aca="false">IFERROR(E7/E$7,0)</f>
        <v>1</v>
      </c>
      <c r="I7" s="50" t="n">
        <f aca="false">H7-F7</f>
        <v>0</v>
      </c>
    </row>
    <row r="8" customFormat="false" ht="15" hidden="false" customHeight="false" outlineLevel="0" collapsed="false">
      <c r="B8" s="39" t="s">
        <v>135</v>
      </c>
      <c r="C8" s="44" t="n">
        <f aca="false">Income_Statement!D8</f>
        <v>-613977</v>
      </c>
      <c r="D8" s="44" t="n">
        <f aca="false">Income_Statement!E8</f>
        <v>-668558</v>
      </c>
      <c r="E8" s="44" t="n">
        <f aca="false">Income_Statement!F8</f>
        <v>-722548</v>
      </c>
      <c r="F8" s="50" t="n">
        <f aca="false">IFERROR(C8/C$7,0)</f>
        <v>-0.747732968952087</v>
      </c>
      <c r="G8" s="50" t="n">
        <f aca="false">IFERROR(D8/D$7,0)</f>
        <v>-0.74512894014743</v>
      </c>
      <c r="H8" s="50" t="n">
        <f aca="false">IFERROR(E8/E$7,0)</f>
        <v>-0.743024262629545</v>
      </c>
      <c r="I8" s="50" t="n">
        <f aca="false">H8-F8</f>
        <v>0.00470870632254228</v>
      </c>
    </row>
    <row r="9" customFormat="false" ht="15" hidden="false" customHeight="false" outlineLevel="0" collapsed="false">
      <c r="B9" s="8" t="s">
        <v>137</v>
      </c>
      <c r="C9" s="58" t="n">
        <f aca="false">Income_Statement!D9</f>
        <v>207141</v>
      </c>
      <c r="D9" s="58" t="n">
        <f aca="false">Income_Statement!E9</f>
        <v>228680</v>
      </c>
      <c r="E9" s="58" t="n">
        <f aca="false">Income_Statement!F9</f>
        <v>249894</v>
      </c>
      <c r="F9" s="50" t="n">
        <f aca="false">IFERROR(C9/C$7,0)</f>
        <v>0.252267031047913</v>
      </c>
      <c r="G9" s="50" t="n">
        <f aca="false">IFERROR(D9/D$7,0)</f>
        <v>0.25487105985257</v>
      </c>
      <c r="H9" s="50" t="n">
        <f aca="false">IFERROR(E9/E$7,0)</f>
        <v>0.256975737370455</v>
      </c>
      <c r="I9" s="50" t="n">
        <f aca="false">H9-F9</f>
        <v>0.00470870632254228</v>
      </c>
    </row>
    <row r="10" customFormat="false" ht="15" hidden="false" customHeight="false" outlineLevel="0" collapsed="false">
      <c r="B10" s="39" t="s">
        <v>138</v>
      </c>
      <c r="C10" s="44" t="n">
        <f aca="false">Income_Statement!D10</f>
        <v>-93216</v>
      </c>
      <c r="D10" s="44" t="n">
        <f aca="false">Income_Statement!E10</f>
        <v>-99930</v>
      </c>
      <c r="E10" s="44" t="n">
        <f aca="false">Income_Statement!F10</f>
        <v>-106077</v>
      </c>
      <c r="F10" s="50" t="n">
        <f aca="false">IFERROR(C10/C$7,0)</f>
        <v>-0.113523269493544</v>
      </c>
      <c r="G10" s="50" t="n">
        <f aca="false">IFERROR(D10/D$7,0)</f>
        <v>-0.111375131236082</v>
      </c>
      <c r="H10" s="50" t="n">
        <f aca="false">IFERROR(E10/E$7,0)</f>
        <v>-0.109083112411846</v>
      </c>
      <c r="I10" s="50" t="n">
        <f aca="false">H10-F10</f>
        <v>0.00444015708169854</v>
      </c>
    </row>
    <row r="11" customFormat="false" ht="15" hidden="false" customHeight="false" outlineLevel="0" collapsed="false">
      <c r="B11" s="39" t="s">
        <v>139</v>
      </c>
      <c r="C11" s="44" t="n">
        <f aca="false">Income_Statement!D11</f>
        <v>-58315</v>
      </c>
      <c r="D11" s="44" t="n">
        <f aca="false">Income_Statement!E11</f>
        <v>-61197</v>
      </c>
      <c r="E11" s="44" t="n">
        <f aca="false">Income_Statement!F11</f>
        <v>-63827</v>
      </c>
      <c r="F11" s="50" t="n">
        <f aca="false">IFERROR(C11/C$7,0)</f>
        <v>-0.0710190252801668</v>
      </c>
      <c r="G11" s="50" t="n">
        <f aca="false">IFERROR(D11/D$7,0)</f>
        <v>-0.0682059832508209</v>
      </c>
      <c r="H11" s="50" t="n">
        <f aca="false">IFERROR(E11/E$7,0)</f>
        <v>-0.0656357911320161</v>
      </c>
      <c r="I11" s="50" t="n">
        <f aca="false">H11-F11</f>
        <v>0.00538323414815069</v>
      </c>
    </row>
    <row r="12" customFormat="false" ht="15" hidden="false" customHeight="false" outlineLevel="0" collapsed="false">
      <c r="B12" s="39" t="s">
        <v>92</v>
      </c>
      <c r="C12" s="44" t="n">
        <f aca="false">Income_Statement!D12</f>
        <v>-17389</v>
      </c>
      <c r="D12" s="44" t="n">
        <f aca="false">Income_Statement!E12</f>
        <v>-19250</v>
      </c>
      <c r="E12" s="44" t="n">
        <f aca="false">Income_Statement!F12</f>
        <v>-21257</v>
      </c>
      <c r="F12" s="50" t="n">
        <f aca="false">IFERROR(C12/C$7,0)</f>
        <v>-0.0211772242235586</v>
      </c>
      <c r="G12" s="50" t="n">
        <f aca="false">IFERROR(D12/D$7,0)</f>
        <v>-0.0214547310746981</v>
      </c>
      <c r="H12" s="50" t="n">
        <f aca="false">IFERROR(E12/E$7,0)</f>
        <v>-0.0218594013833216</v>
      </c>
      <c r="I12" s="50" t="n">
        <f aca="false">H12-F12</f>
        <v>-0.000682177159762966</v>
      </c>
    </row>
    <row r="13" customFormat="false" ht="15" hidden="false" customHeight="false" outlineLevel="0" collapsed="false">
      <c r="B13" s="8" t="s">
        <v>141</v>
      </c>
      <c r="C13" s="58" t="n">
        <f aca="false">Income_Statement!D13</f>
        <v>38221</v>
      </c>
      <c r="D13" s="58" t="n">
        <f aca="false">Income_Statement!E13</f>
        <v>48303</v>
      </c>
      <c r="E13" s="58" t="n">
        <f aca="false">Income_Statement!F13</f>
        <v>58733</v>
      </c>
      <c r="F13" s="50" t="n">
        <f aca="false">IFERROR(C13/C$7,0)</f>
        <v>0.0465475120506432</v>
      </c>
      <c r="G13" s="50" t="n">
        <f aca="false">IFERROR(D13/D$7,0)</f>
        <v>0.0538352142909685</v>
      </c>
      <c r="H13" s="50" t="n">
        <f aca="false">IFERROR(E13/E$7,0)</f>
        <v>0.0603974324432717</v>
      </c>
      <c r="I13" s="50" t="n">
        <f aca="false">H13-F13</f>
        <v>0.0138499203926285</v>
      </c>
    </row>
    <row r="14" customFormat="false" ht="15" hidden="false" customHeight="false" outlineLevel="0" collapsed="false">
      <c r="B14" s="39" t="s">
        <v>142</v>
      </c>
      <c r="C14" s="44" t="n">
        <f aca="false">Income_Statement!D14</f>
        <v>400</v>
      </c>
      <c r="D14" s="44" t="n">
        <f aca="false">Income_Statement!E14</f>
        <v>-150</v>
      </c>
      <c r="E14" s="44" t="n">
        <f aca="false">Income_Statement!F14</f>
        <v>350</v>
      </c>
      <c r="F14" s="50" t="n">
        <f aca="false">IFERROR(C14/C$7,0)</f>
        <v>0.000487140703285033</v>
      </c>
      <c r="G14" s="50" t="n">
        <f aca="false">IFERROR(D14/D$7,0)</f>
        <v>-0.000167179722659985</v>
      </c>
      <c r="H14" s="50" t="n">
        <f aca="false">IFERROR(E14/E$7,0)</f>
        <v>0.000359918637821073</v>
      </c>
      <c r="I14" s="50" t="n">
        <f aca="false">H14-F14</f>
        <v>-0.00012722206546396</v>
      </c>
    </row>
    <row r="15" customFormat="false" ht="15" hidden="false" customHeight="false" outlineLevel="0" collapsed="false">
      <c r="B15" s="39" t="s">
        <v>143</v>
      </c>
      <c r="C15" s="44" t="n">
        <f aca="false">Income_Statement!D15</f>
        <v>1350</v>
      </c>
      <c r="D15" s="44" t="n">
        <f aca="false">Income_Statement!E15</f>
        <v>1520</v>
      </c>
      <c r="E15" s="44" t="n">
        <f aca="false">Income_Statement!F15</f>
        <v>1700</v>
      </c>
      <c r="F15" s="50" t="n">
        <f aca="false">IFERROR(C15/C$7,0)</f>
        <v>0.00164409987358699</v>
      </c>
      <c r="G15" s="50" t="n">
        <f aca="false">IFERROR(D15/D$7,0)</f>
        <v>0.00169408785628785</v>
      </c>
      <c r="H15" s="50" t="n">
        <f aca="false">IFERROR(E15/E$7,0)</f>
        <v>0.00174817624084521</v>
      </c>
      <c r="I15" s="50" t="n">
        <f aca="false">H15-F15</f>
        <v>0.000104076367258225</v>
      </c>
    </row>
    <row r="16" customFormat="false" ht="15" hidden="false" customHeight="false" outlineLevel="0" collapsed="false">
      <c r="B16" s="39" t="s">
        <v>144</v>
      </c>
      <c r="C16" s="44" t="n">
        <f aca="false">Income_Statement!D16</f>
        <v>775</v>
      </c>
      <c r="D16" s="44" t="n">
        <f aca="false">Income_Statement!E16</f>
        <v>873</v>
      </c>
      <c r="E16" s="44" t="n">
        <f aca="false">Income_Statement!F16</f>
        <v>1207</v>
      </c>
      <c r="F16" s="50" t="n">
        <f aca="false">IFERROR(C16/C$7,0)</f>
        <v>0.000943835112614752</v>
      </c>
      <c r="G16" s="50" t="n">
        <f aca="false">IFERROR(D16/D$7,0)</f>
        <v>0.000972985985881115</v>
      </c>
      <c r="H16" s="50" t="n">
        <f aca="false">IFERROR(E16/E$7,0)</f>
        <v>0.0012412051310001</v>
      </c>
      <c r="I16" s="50" t="n">
        <f aca="false">H16-F16</f>
        <v>0.000297370018385349</v>
      </c>
    </row>
    <row r="17" customFormat="false" ht="15" hidden="false" customHeight="false" outlineLevel="0" collapsed="false">
      <c r="B17" s="39" t="s">
        <v>145</v>
      </c>
      <c r="C17" s="44" t="n">
        <f aca="false">Income_Statement!D17</f>
        <v>-10421</v>
      </c>
      <c r="D17" s="44" t="n">
        <f aca="false">Income_Statement!E17</f>
        <v>-11475</v>
      </c>
      <c r="E17" s="44" t="n">
        <f aca="false">Income_Statement!F17</f>
        <v>-11696</v>
      </c>
      <c r="F17" s="50" t="n">
        <f aca="false">IFERROR(C17/C$7,0)</f>
        <v>-0.0126912331723333</v>
      </c>
      <c r="G17" s="50" t="n">
        <f aca="false">IFERROR(D17/D$7,0)</f>
        <v>-0.0127892487834889</v>
      </c>
      <c r="H17" s="50" t="n">
        <f aca="false">IFERROR(E17/E$7,0)</f>
        <v>-0.0120274525370151</v>
      </c>
      <c r="I17" s="50" t="n">
        <f aca="false">H17-F17</f>
        <v>0.000663780635318269</v>
      </c>
    </row>
    <row r="18" customFormat="false" ht="15" hidden="false" customHeight="false" outlineLevel="0" collapsed="false">
      <c r="B18" s="8" t="s">
        <v>147</v>
      </c>
      <c r="C18" s="58" t="n">
        <f aca="false">Income_Statement!D18</f>
        <v>30325</v>
      </c>
      <c r="D18" s="58" t="n">
        <f aca="false">Income_Statement!E18</f>
        <v>39071</v>
      </c>
      <c r="E18" s="58" t="n">
        <f aca="false">Income_Statement!F18</f>
        <v>50294</v>
      </c>
      <c r="F18" s="50" t="n">
        <f aca="false">IFERROR(C18/C$7,0)</f>
        <v>0.0369313545677966</v>
      </c>
      <c r="G18" s="50" t="n">
        <f aca="false">IFERROR(D18/D$7,0)</f>
        <v>0.0435458596269886</v>
      </c>
      <c r="H18" s="50" t="n">
        <f aca="false">IFERROR(E18/E$7,0)</f>
        <v>0.051719279915923</v>
      </c>
      <c r="I18" s="50" t="n">
        <f aca="false">H18-F18</f>
        <v>0.0147879253481264</v>
      </c>
    </row>
    <row r="19" customFormat="false" ht="15" hidden="false" customHeight="false" outlineLevel="0" collapsed="false">
      <c r="B19" s="39" t="s">
        <v>148</v>
      </c>
      <c r="C19" s="44" t="n">
        <f aca="false">Income_Statement!D19</f>
        <v>-7843</v>
      </c>
      <c r="D19" s="44" t="n">
        <f aca="false">Income_Statement!E19</f>
        <v>-10062</v>
      </c>
      <c r="E19" s="44" t="n">
        <f aca="false">Income_Statement!F19</f>
        <v>-12888</v>
      </c>
      <c r="F19" s="50" t="n">
        <f aca="false">IFERROR(C19/C$7,0)</f>
        <v>-0.00955161133966129</v>
      </c>
      <c r="G19" s="50" t="n">
        <f aca="false">IFERROR(D19/D$7,0)</f>
        <v>-0.0112144157960318</v>
      </c>
      <c r="H19" s="50" t="n">
        <f aca="false">IFERROR(E19/E$7,0)</f>
        <v>-0.0132532325835371</v>
      </c>
      <c r="I19" s="50" t="n">
        <f aca="false">H19-F19</f>
        <v>-0.00370162124387582</v>
      </c>
    </row>
    <row r="20" customFormat="false" ht="15" hidden="false" customHeight="false" outlineLevel="0" collapsed="false">
      <c r="B20" s="8" t="s">
        <v>150</v>
      </c>
      <c r="C20" s="58" t="n">
        <f aca="false">Income_Statement!D20</f>
        <v>22482</v>
      </c>
      <c r="D20" s="58" t="n">
        <f aca="false">Income_Statement!E20</f>
        <v>29009</v>
      </c>
      <c r="E20" s="58" t="n">
        <f aca="false">Income_Statement!F20</f>
        <v>37406</v>
      </c>
      <c r="F20" s="50" t="n">
        <f aca="false">IFERROR(C20/C$7,0)</f>
        <v>0.0273797432281353</v>
      </c>
      <c r="G20" s="50" t="n">
        <f aca="false">IFERROR(D20/D$7,0)</f>
        <v>0.0323314438309568</v>
      </c>
      <c r="H20" s="50" t="n">
        <f aca="false">IFERROR(E20/E$7,0)</f>
        <v>0.0384660473323859</v>
      </c>
      <c r="I20" s="50" t="n">
        <f aca="false">H20-F20</f>
        <v>0.0110863041042506</v>
      </c>
    </row>
    <row r="21" customFormat="false" ht="15" hidden="false" customHeight="false" outlineLevel="0" collapsed="false">
      <c r="B21" s="39" t="s">
        <v>152</v>
      </c>
      <c r="C21" s="44" t="n">
        <f aca="false">Income_Statement!D23</f>
        <v>39971</v>
      </c>
      <c r="D21" s="44" t="n">
        <f aca="false">Income_Statement!E23</f>
        <v>49673</v>
      </c>
      <c r="E21" s="44" t="n">
        <f aca="false">Income_Statement!F23</f>
        <v>60783</v>
      </c>
      <c r="F21" s="50" t="n">
        <f aca="false">IFERROR(C21/C$7,0)</f>
        <v>0.0486787526275152</v>
      </c>
      <c r="G21" s="50" t="n">
        <f aca="false">IFERROR(D21/D$7,0)</f>
        <v>0.0553621224245964</v>
      </c>
      <c r="H21" s="50" t="n">
        <f aca="false">IFERROR(E21/E$7,0)</f>
        <v>0.062505527321938</v>
      </c>
      <c r="I21" s="50" t="n">
        <f aca="false">H21-F21</f>
        <v>0.0138267746944228</v>
      </c>
    </row>
    <row r="22" customFormat="false" ht="15" hidden="false" customHeight="false" outlineLevel="0" collapsed="false">
      <c r="B22" s="8" t="s">
        <v>121</v>
      </c>
      <c r="C22" s="58" t="n">
        <f aca="false">Income_Statement!D24</f>
        <v>57360</v>
      </c>
      <c r="D22" s="58" t="n">
        <f aca="false">Income_Statement!E24</f>
        <v>68923</v>
      </c>
      <c r="E22" s="58" t="n">
        <f aca="false">Income_Statement!F24</f>
        <v>82040</v>
      </c>
      <c r="F22" s="50" t="n">
        <f aca="false">IFERROR(C22/C$7,0)</f>
        <v>0.0698559768510738</v>
      </c>
      <c r="G22" s="50" t="n">
        <f aca="false">IFERROR(D22/D$7,0)</f>
        <v>0.0768168534992945</v>
      </c>
      <c r="H22" s="50" t="n">
        <f aca="false">IFERROR(E22/E$7,0)</f>
        <v>0.0843649287052595</v>
      </c>
      <c r="I22" s="50" t="n">
        <f aca="false">H22-F22</f>
        <v>0.0145089518541858</v>
      </c>
    </row>
    <row r="23" customFormat="false" ht="15" hidden="false" customHeight="false" outlineLevel="0" collapsed="false">
      <c r="B23" s="39" t="s">
        <v>153</v>
      </c>
      <c r="C23" s="44" t="n">
        <f aca="false">Income_Statement!D25</f>
        <v>168920</v>
      </c>
      <c r="D23" s="44" t="n">
        <f aca="false">Income_Statement!E25</f>
        <v>180377</v>
      </c>
      <c r="E23" s="44" t="n">
        <f aca="false">Income_Statement!F25</f>
        <v>191161</v>
      </c>
      <c r="F23" s="50" t="n">
        <f aca="false">IFERROR(C23/C$7,0)</f>
        <v>0.20571951899727</v>
      </c>
      <c r="G23" s="50" t="n">
        <f aca="false">IFERROR(D23/D$7,0)</f>
        <v>0.201035845561601</v>
      </c>
      <c r="H23" s="50" t="n">
        <f aca="false">IFERROR(E23/E$7,0)</f>
        <v>0.196578304927183</v>
      </c>
      <c r="I23" s="50" t="n">
        <f aca="false">H23-F23</f>
        <v>-0.00914121407008625</v>
      </c>
    </row>
    <row r="24" customFormat="false" ht="15" hidden="false" customHeight="false" outlineLevel="0" collapsed="false">
      <c r="B24" s="12" t="s">
        <v>380</v>
      </c>
      <c r="C24" s="13"/>
      <c r="D24" s="13"/>
      <c r="E24" s="13"/>
      <c r="F24" s="13"/>
      <c r="G24" s="13"/>
      <c r="H24" s="13"/>
      <c r="I24" s="13"/>
    </row>
    <row r="25" customFormat="false" ht="15" hidden="false" customHeight="false" outlineLevel="0" collapsed="false">
      <c r="B25" s="39" t="s">
        <v>158</v>
      </c>
      <c r="C25" s="44" t="n">
        <f aca="false">Balance_Sheet!D8</f>
        <v>58216</v>
      </c>
      <c r="D25" s="44" t="n">
        <f aca="false">Balance_Sheet!E8</f>
        <v>80460</v>
      </c>
      <c r="E25" s="44" t="n">
        <f aca="false">Balance_Sheet!F8</f>
        <v>81748</v>
      </c>
      <c r="F25" s="50" t="n">
        <f aca="false">IFERROR(C25/C$33,0)</f>
        <v>0.140220388992593</v>
      </c>
      <c r="G25" s="50" t="n">
        <f aca="false">IFERROR(D25/D$33,0)</f>
        <v>0.174195811160136</v>
      </c>
      <c r="H25" s="50" t="n">
        <f aca="false">IFERROR(E25/E$33,0)</f>
        <v>0.170854712465907</v>
      </c>
      <c r="I25" s="50" t="n">
        <f aca="false">H25-F25</f>
        <v>0.0306343234733131</v>
      </c>
    </row>
    <row r="26" customFormat="false" ht="15" hidden="false" customHeight="false" outlineLevel="0" collapsed="false">
      <c r="B26" s="39" t="s">
        <v>160</v>
      </c>
      <c r="C26" s="44" t="n">
        <f aca="false">Balance_Sheet!D9</f>
        <v>80987</v>
      </c>
      <c r="D26" s="44" t="n">
        <f aca="false">Balance_Sheet!E9</f>
        <v>88495</v>
      </c>
      <c r="E26" s="44" t="n">
        <f aca="false">Balance_Sheet!F9</f>
        <v>93248</v>
      </c>
      <c r="F26" s="50" t="n">
        <f aca="false">IFERROR(C26/C$33,0)</f>
        <v>0.195067140362498</v>
      </c>
      <c r="G26" s="50" t="n">
        <f aca="false">IFERROR(D26/D$33,0)</f>
        <v>0.191591577288296</v>
      </c>
      <c r="H26" s="50" t="n">
        <f aca="false">IFERROR(E26/E$33,0)</f>
        <v>0.194889908352753</v>
      </c>
      <c r="I26" s="50" t="n">
        <f aca="false">H26-F26</f>
        <v>-0.000177232009744677</v>
      </c>
    </row>
    <row r="27" customFormat="false" ht="15" hidden="false" customHeight="false" outlineLevel="0" collapsed="false">
      <c r="B27" s="39" t="s">
        <v>162</v>
      </c>
      <c r="C27" s="44" t="n">
        <f aca="false">Balance_Sheet!D10</f>
        <v>75696</v>
      </c>
      <c r="D27" s="44" t="n">
        <f aca="false">Balance_Sheet!E10</f>
        <v>80593</v>
      </c>
      <c r="E27" s="44" t="n">
        <f aca="false">Balance_Sheet!F10</f>
        <v>85122</v>
      </c>
      <c r="F27" s="50" t="n">
        <f aca="false">IFERROR(C27/C$33,0)</f>
        <v>0.182323116757994</v>
      </c>
      <c r="G27" s="50" t="n">
        <f aca="false">IFERROR(D27/D$33,0)</f>
        <v>0.174483756013284</v>
      </c>
      <c r="H27" s="50" t="n">
        <f aca="false">IFERROR(E27/E$33,0)</f>
        <v>0.177906429937404</v>
      </c>
      <c r="I27" s="50" t="n">
        <f aca="false">H27-F27</f>
        <v>-0.00441668682058963</v>
      </c>
    </row>
    <row r="28" customFormat="false" ht="15" hidden="false" customHeight="false" outlineLevel="0" collapsed="false">
      <c r="B28" s="39" t="s">
        <v>164</v>
      </c>
      <c r="C28" s="44" t="n">
        <f aca="false">Balance_Sheet!D11</f>
        <v>11365</v>
      </c>
      <c r="D28" s="44" t="n">
        <f aca="false">Balance_Sheet!E11</f>
        <v>12085</v>
      </c>
      <c r="E28" s="44" t="n">
        <f aca="false">Balance_Sheet!F11</f>
        <v>12743</v>
      </c>
      <c r="F28" s="50" t="n">
        <f aca="false">IFERROR(C28/C$33,0)</f>
        <v>0.0273739989161197</v>
      </c>
      <c r="G28" s="50" t="n">
        <f aca="false">IFERROR(D28/D$33,0)</f>
        <v>0.0261640116563541</v>
      </c>
      <c r="H28" s="50" t="n">
        <f aca="false">IFERROR(E28/E$33,0)</f>
        <v>0.0266330870596595</v>
      </c>
      <c r="I28" s="50" t="n">
        <f aca="false">H28-F28</f>
        <v>-0.000740911856460171</v>
      </c>
    </row>
    <row r="29" customFormat="false" ht="15" hidden="false" customHeight="false" outlineLevel="0" collapsed="false">
      <c r="B29" s="8" t="s">
        <v>165</v>
      </c>
      <c r="C29" s="58" t="n">
        <f aca="false">Balance_Sheet!D12</f>
        <v>226264</v>
      </c>
      <c r="D29" s="58" t="n">
        <f aca="false">Balance_Sheet!E12</f>
        <v>261633</v>
      </c>
      <c r="E29" s="58" t="n">
        <f aca="false">Balance_Sheet!F12</f>
        <v>272861</v>
      </c>
      <c r="F29" s="50" t="n">
        <f aca="false">IFERROR(C29/C$33,0)</f>
        <v>0.544984645029205</v>
      </c>
      <c r="G29" s="50" t="n">
        <f aca="false">IFERROR(D29/D$33,0)</f>
        <v>0.56643515611807</v>
      </c>
      <c r="H29" s="50" t="n">
        <f aca="false">IFERROR(E29/E$33,0)</f>
        <v>0.570284137815723</v>
      </c>
      <c r="I29" s="50" t="n">
        <f aca="false">H29-F29</f>
        <v>0.0252994927865187</v>
      </c>
    </row>
    <row r="30" customFormat="false" ht="15" hidden="false" customHeight="false" outlineLevel="0" collapsed="false">
      <c r="B30" s="39" t="s">
        <v>167</v>
      </c>
      <c r="C30" s="44" t="n">
        <f aca="false">Balance_Sheet!D14</f>
        <v>178711</v>
      </c>
      <c r="D30" s="44" t="n">
        <f aca="false">Balance_Sheet!E14</f>
        <v>189761</v>
      </c>
      <c r="E30" s="44" t="n">
        <f aca="false">Balance_Sheet!F14</f>
        <v>194504</v>
      </c>
      <c r="F30" s="50" t="n">
        <f aca="false">IFERROR(C30/C$33,0)</f>
        <v>0.430447401698079</v>
      </c>
      <c r="G30" s="50" t="n">
        <f aca="false">IFERROR(D30/D$33,0)</f>
        <v>0.410832355475499</v>
      </c>
      <c r="H30" s="50" t="n">
        <f aca="false">IFERROR(E30/E$33,0)</f>
        <v>0.406516673110886</v>
      </c>
      <c r="I30" s="50" t="n">
        <f aca="false">H30-F30</f>
        <v>-0.0239307285871933</v>
      </c>
    </row>
    <row r="31" customFormat="false" ht="15" hidden="false" customHeight="false" outlineLevel="0" collapsed="false">
      <c r="B31" s="39" t="s">
        <v>168</v>
      </c>
      <c r="C31" s="44" t="n">
        <f aca="false">Balance_Sheet!D15</f>
        <v>10200</v>
      </c>
      <c r="D31" s="44" t="n">
        <f aca="false">Balance_Sheet!E15</f>
        <v>10500</v>
      </c>
      <c r="E31" s="44" t="n">
        <f aca="false">Balance_Sheet!F15</f>
        <v>11100</v>
      </c>
      <c r="F31" s="50" t="n">
        <f aca="false">IFERROR(C31/C$33,0)</f>
        <v>0.0245679532727163</v>
      </c>
      <c r="G31" s="50" t="n">
        <f aca="false">IFERROR(D31/D$33,0)</f>
        <v>0.0227324884064309</v>
      </c>
      <c r="H31" s="50" t="n">
        <f aca="false">IFERROR(E31/E$33,0)</f>
        <v>0.0231991890733909</v>
      </c>
      <c r="I31" s="50" t="n">
        <f aca="false">H31-F31</f>
        <v>-0.00136876419932538</v>
      </c>
    </row>
    <row r="32" customFormat="false" ht="15" hidden="false" customHeight="false" outlineLevel="0" collapsed="false">
      <c r="B32" s="8" t="s">
        <v>169</v>
      </c>
      <c r="C32" s="58" t="n">
        <f aca="false">Balance_Sheet!D16</f>
        <v>188911</v>
      </c>
      <c r="D32" s="58" t="n">
        <f aca="false">Balance_Sheet!E16</f>
        <v>200261</v>
      </c>
      <c r="E32" s="58" t="n">
        <f aca="false">Balance_Sheet!F16</f>
        <v>205604</v>
      </c>
      <c r="F32" s="50" t="n">
        <f aca="false">IFERROR(C32/C$33,0)</f>
        <v>0.455015354970795</v>
      </c>
      <c r="G32" s="50" t="n">
        <f aca="false">IFERROR(D32/D$33,0)</f>
        <v>0.43356484388193</v>
      </c>
      <c r="H32" s="50" t="n">
        <f aca="false">IFERROR(E32/E$33,0)</f>
        <v>0.429715862184277</v>
      </c>
      <c r="I32" s="50" t="n">
        <f aca="false">H32-F32</f>
        <v>-0.0252994927865186</v>
      </c>
    </row>
    <row r="33" customFormat="false" ht="15" hidden="false" customHeight="false" outlineLevel="0" collapsed="false">
      <c r="B33" s="8" t="s">
        <v>123</v>
      </c>
      <c r="C33" s="58" t="n">
        <f aca="false">Balance_Sheet!D17</f>
        <v>415175</v>
      </c>
      <c r="D33" s="58" t="n">
        <f aca="false">Balance_Sheet!E17</f>
        <v>461894</v>
      </c>
      <c r="E33" s="58" t="n">
        <f aca="false">Balance_Sheet!F17</f>
        <v>478465</v>
      </c>
      <c r="F33" s="50" t="n">
        <f aca="false">IFERROR(C33/C$33,0)</f>
        <v>1</v>
      </c>
      <c r="G33" s="50" t="n">
        <f aca="false">IFERROR(D33/D$33,0)</f>
        <v>1</v>
      </c>
      <c r="H33" s="50" t="n">
        <f aca="false">IFERROR(E33/E$33,0)</f>
        <v>1</v>
      </c>
      <c r="I33" s="50" t="n">
        <f aca="false">H33-F33</f>
        <v>0</v>
      </c>
    </row>
    <row r="34" customFormat="false" ht="15" hidden="false" customHeight="false" outlineLevel="0" collapsed="false">
      <c r="B34" s="39" t="s">
        <v>172</v>
      </c>
      <c r="C34" s="44" t="n">
        <f aca="false">Balance_Sheet!D21</f>
        <v>67285</v>
      </c>
      <c r="D34" s="44" t="n">
        <f aca="false">Balance_Sheet!E21</f>
        <v>75098</v>
      </c>
      <c r="E34" s="44" t="n">
        <f aca="false">Balance_Sheet!F21</f>
        <v>83143</v>
      </c>
      <c r="F34" s="50" t="n">
        <f aca="false">IFERROR(C34/C$33,0)</f>
        <v>0.162064189799482</v>
      </c>
      <c r="G34" s="50" t="n">
        <f aca="false">IFERROR(D34/D$33,0)</f>
        <v>0.162587087080586</v>
      </c>
      <c r="H34" s="50" t="n">
        <f aca="false">IFERROR(E34/E$33,0)</f>
        <v>0.173770286227833</v>
      </c>
      <c r="I34" s="50" t="n">
        <f aca="false">H34-F34</f>
        <v>0.0117060964283506</v>
      </c>
    </row>
    <row r="35" customFormat="false" ht="15" hidden="false" customHeight="false" outlineLevel="0" collapsed="false">
      <c r="B35" s="39" t="s">
        <v>173</v>
      </c>
      <c r="C35" s="44" t="n">
        <f aca="false">Balance_Sheet!D22</f>
        <v>13638</v>
      </c>
      <c r="D35" s="44" t="n">
        <f aca="false">Balance_Sheet!E22</f>
        <v>14501</v>
      </c>
      <c r="E35" s="44" t="n">
        <f aca="false">Balance_Sheet!F22</f>
        <v>15291</v>
      </c>
      <c r="F35" s="50" t="n">
        <f aca="false">IFERROR(C35/C$33,0)</f>
        <v>0.0328487986993437</v>
      </c>
      <c r="G35" s="50" t="n">
        <f aca="false">IFERROR(D35/D$33,0)</f>
        <v>0.031394648988729</v>
      </c>
      <c r="H35" s="50" t="n">
        <f aca="false">IFERROR(E35/E$33,0)</f>
        <v>0.0319584504613713</v>
      </c>
      <c r="I35" s="50" t="n">
        <f aca="false">H35-F35</f>
        <v>-0.000890348237972391</v>
      </c>
    </row>
    <row r="36" customFormat="false" ht="15" hidden="false" customHeight="false" outlineLevel="0" collapsed="false">
      <c r="B36" s="39" t="s">
        <v>174</v>
      </c>
      <c r="C36" s="44" t="n">
        <f aca="false">Balance_Sheet!D23</f>
        <v>1691</v>
      </c>
      <c r="D36" s="44" t="n">
        <f aca="false">Balance_Sheet!E23</f>
        <v>1977</v>
      </c>
      <c r="E36" s="44" t="n">
        <f aca="false">Balance_Sheet!F23</f>
        <v>2529</v>
      </c>
      <c r="F36" s="50" t="n">
        <f aca="false">IFERROR(C36/C$33,0)</f>
        <v>0.00407298127295719</v>
      </c>
      <c r="G36" s="50" t="n">
        <f aca="false">IFERROR(D36/D$33,0)</f>
        <v>0.00428020281709656</v>
      </c>
      <c r="H36" s="50" t="n">
        <f aca="false">IFERROR(E36/E$33,0)</f>
        <v>0.00528565307807259</v>
      </c>
      <c r="I36" s="50" t="n">
        <f aca="false">H36-F36</f>
        <v>0.0012126718051154</v>
      </c>
    </row>
    <row r="37" customFormat="false" ht="15" hidden="false" customHeight="false" outlineLevel="0" collapsed="false">
      <c r="B37" s="39" t="s">
        <v>175</v>
      </c>
      <c r="C37" s="44" t="n">
        <f aca="false">Balance_Sheet!D24</f>
        <v>48000</v>
      </c>
      <c r="D37" s="44" t="n">
        <f aca="false">Balance_Sheet!E24</f>
        <v>42000</v>
      </c>
      <c r="E37" s="44" t="n">
        <f aca="false">Balance_Sheet!F24</f>
        <v>38000</v>
      </c>
      <c r="F37" s="50" t="n">
        <f aca="false">IFERROR(C37/C$33,0)</f>
        <v>0.115613897753959</v>
      </c>
      <c r="G37" s="50" t="n">
        <f aca="false">IFERROR(D37/D$33,0)</f>
        <v>0.0909299536257237</v>
      </c>
      <c r="H37" s="50" t="n">
        <f aca="false">IFERROR(E37/E$33,0)</f>
        <v>0.0794206472782753</v>
      </c>
      <c r="I37" s="50" t="n">
        <f aca="false">H37-F37</f>
        <v>-0.0361932504756839</v>
      </c>
    </row>
    <row r="38" customFormat="false" ht="15" hidden="false" customHeight="false" outlineLevel="0" collapsed="false">
      <c r="B38" s="39" t="s">
        <v>176</v>
      </c>
      <c r="C38" s="44" t="n">
        <f aca="false">Balance_Sheet!D25</f>
        <v>13000</v>
      </c>
      <c r="D38" s="44" t="n">
        <f aca="false">Balance_Sheet!E25</f>
        <v>15000</v>
      </c>
      <c r="E38" s="44" t="n">
        <f aca="false">Balance_Sheet!F25</f>
        <v>16500</v>
      </c>
      <c r="F38" s="50" t="n">
        <f aca="false">IFERROR(C38/C$33,0)</f>
        <v>0.0313120973083639</v>
      </c>
      <c r="G38" s="50" t="n">
        <f aca="false">IFERROR(D38/D$33,0)</f>
        <v>0.0324749834377584</v>
      </c>
      <c r="H38" s="50" t="n">
        <f aca="false">IFERROR(E38/E$33,0)</f>
        <v>0.0344852810550406</v>
      </c>
      <c r="I38" s="50" t="n">
        <f aca="false">H38-F38</f>
        <v>0.00317318374667665</v>
      </c>
    </row>
    <row r="39" customFormat="false" ht="15" hidden="false" customHeight="false" outlineLevel="0" collapsed="false">
      <c r="B39" s="8" t="s">
        <v>177</v>
      </c>
      <c r="C39" s="58" t="n">
        <f aca="false">Balance_Sheet!D26</f>
        <v>143614</v>
      </c>
      <c r="D39" s="58" t="n">
        <f aca="false">Balance_Sheet!E26</f>
        <v>148576</v>
      </c>
      <c r="E39" s="58" t="n">
        <f aca="false">Balance_Sheet!F26</f>
        <v>155463</v>
      </c>
      <c r="F39" s="50" t="n">
        <f aca="false">IFERROR(C39/C$33,0)</f>
        <v>0.345911964834106</v>
      </c>
      <c r="G39" s="50" t="n">
        <f aca="false">IFERROR(D39/D$33,0)</f>
        <v>0.321666875949893</v>
      </c>
      <c r="H39" s="50" t="n">
        <f aca="false">IFERROR(E39/E$33,0)</f>
        <v>0.324920318100593</v>
      </c>
      <c r="I39" s="50" t="n">
        <f aca="false">H39-F39</f>
        <v>-0.0209916467335136</v>
      </c>
    </row>
    <row r="40" customFormat="false" ht="15" hidden="false" customHeight="false" outlineLevel="0" collapsed="false">
      <c r="B40" s="39" t="s">
        <v>179</v>
      </c>
      <c r="C40" s="44" t="n">
        <f aca="false">Balance_Sheet!D28</f>
        <v>75000</v>
      </c>
      <c r="D40" s="44" t="n">
        <f aca="false">Balance_Sheet!E28</f>
        <v>95000</v>
      </c>
      <c r="E40" s="44" t="n">
        <f aca="false">Balance_Sheet!F28</f>
        <v>78500</v>
      </c>
      <c r="F40" s="50" t="n">
        <f aca="false">IFERROR(C40/C$33,0)</f>
        <v>0.180646715240561</v>
      </c>
      <c r="G40" s="50" t="n">
        <f aca="false">IFERROR(D40/D$33,0)</f>
        <v>0.205674895105804</v>
      </c>
      <c r="H40" s="50" t="n">
        <f aca="false">IFERROR(E40/E$33,0)</f>
        <v>0.164066337140648</v>
      </c>
      <c r="I40" s="50" t="n">
        <f aca="false">H40-F40</f>
        <v>-0.0165803780999135</v>
      </c>
    </row>
    <row r="41" customFormat="false" ht="15" hidden="false" customHeight="false" outlineLevel="0" collapsed="false">
      <c r="B41" s="8" t="s">
        <v>180</v>
      </c>
      <c r="C41" s="58" t="n">
        <f aca="false">Balance_Sheet!D29</f>
        <v>218614</v>
      </c>
      <c r="D41" s="58" t="n">
        <f aca="false">Balance_Sheet!E29</f>
        <v>243576</v>
      </c>
      <c r="E41" s="58" t="n">
        <f aca="false">Balance_Sheet!F29</f>
        <v>233963</v>
      </c>
      <c r="F41" s="50" t="n">
        <f aca="false">IFERROR(C41/C$33,0)</f>
        <v>0.526558680074667</v>
      </c>
      <c r="G41" s="50" t="n">
        <f aca="false">IFERROR(D41/D$33,0)</f>
        <v>0.527341771055697</v>
      </c>
      <c r="H41" s="50" t="n">
        <f aca="false">IFERROR(E41/E$33,0)</f>
        <v>0.48898665524124</v>
      </c>
      <c r="I41" s="50" t="n">
        <f aca="false">H41-F41</f>
        <v>-0.0375720248334271</v>
      </c>
    </row>
    <row r="42" customFormat="false" ht="15" hidden="false" customHeight="false" outlineLevel="0" collapsed="false">
      <c r="B42" s="39" t="s">
        <v>182</v>
      </c>
      <c r="C42" s="44" t="n">
        <f aca="false">Balance_Sheet!D31</f>
        <v>120000</v>
      </c>
      <c r="D42" s="44" t="n">
        <f aca="false">Balance_Sheet!E31</f>
        <v>120000</v>
      </c>
      <c r="E42" s="44" t="n">
        <f aca="false">Balance_Sheet!F31</f>
        <v>120000</v>
      </c>
      <c r="F42" s="50" t="n">
        <f aca="false">IFERROR(C42/C$33,0)</f>
        <v>0.289034744384898</v>
      </c>
      <c r="G42" s="50" t="n">
        <f aca="false">IFERROR(D42/D$33,0)</f>
        <v>0.259799867502068</v>
      </c>
      <c r="H42" s="50" t="n">
        <f aca="false">IFERROR(E42/E$33,0)</f>
        <v>0.250802044036659</v>
      </c>
      <c r="I42" s="50" t="n">
        <f aca="false">H42-F42</f>
        <v>-0.0382327003482391</v>
      </c>
    </row>
    <row r="43" customFormat="false" ht="15" hidden="false" customHeight="false" outlineLevel="0" collapsed="false">
      <c r="B43" s="39" t="s">
        <v>184</v>
      </c>
      <c r="C43" s="44" t="n">
        <f aca="false">Balance_Sheet!D32</f>
        <v>18000</v>
      </c>
      <c r="D43" s="44" t="n">
        <f aca="false">Balance_Sheet!E32</f>
        <v>18000</v>
      </c>
      <c r="E43" s="44" t="n">
        <f aca="false">Balance_Sheet!F32</f>
        <v>18000</v>
      </c>
      <c r="F43" s="50" t="n">
        <f aca="false">IFERROR(C43/C$33,0)</f>
        <v>0.0433552116577347</v>
      </c>
      <c r="G43" s="50" t="n">
        <f aca="false">IFERROR(D43/D$33,0)</f>
        <v>0.0389699801253101</v>
      </c>
      <c r="H43" s="50" t="n">
        <f aca="false">IFERROR(E43/E$33,0)</f>
        <v>0.0376203066054988</v>
      </c>
      <c r="I43" s="50" t="n">
        <f aca="false">H43-F43</f>
        <v>-0.00573490505223585</v>
      </c>
    </row>
    <row r="44" customFormat="false" ht="15" hidden="false" customHeight="false" outlineLevel="0" collapsed="false">
      <c r="B44" s="39" t="s">
        <v>185</v>
      </c>
      <c r="C44" s="44" t="n">
        <f aca="false">Balance_Sheet!D33</f>
        <v>58561</v>
      </c>
      <c r="D44" s="44" t="n">
        <f aca="false">Balance_Sheet!E33</f>
        <v>80318</v>
      </c>
      <c r="E44" s="44" t="n">
        <f aca="false">Balance_Sheet!F33</f>
        <v>106502</v>
      </c>
      <c r="F44" s="50" t="n">
        <f aca="false">IFERROR(C44/C$33,0)</f>
        <v>0.1410513638827</v>
      </c>
      <c r="G44" s="50" t="n">
        <f aca="false">IFERROR(D44/D$33,0)</f>
        <v>0.173888381316926</v>
      </c>
      <c r="H44" s="50" t="n">
        <f aca="false">IFERROR(E44/E$33,0)</f>
        <v>0.222590994116602</v>
      </c>
      <c r="I44" s="50" t="n">
        <f aca="false">H44-F44</f>
        <v>0.081539630233902</v>
      </c>
    </row>
    <row r="45" customFormat="false" ht="15" hidden="false" customHeight="false" outlineLevel="0" collapsed="false">
      <c r="B45" s="8" t="s">
        <v>186</v>
      </c>
      <c r="C45" s="58" t="n">
        <f aca="false">Balance_Sheet!D34</f>
        <v>196561</v>
      </c>
      <c r="D45" s="58" t="n">
        <f aca="false">Balance_Sheet!E34</f>
        <v>218318</v>
      </c>
      <c r="E45" s="58" t="n">
        <f aca="false">Balance_Sheet!F34</f>
        <v>244502</v>
      </c>
      <c r="F45" s="50" t="n">
        <f aca="false">IFERROR(C45/C$33,0)</f>
        <v>0.473441319925333</v>
      </c>
      <c r="G45" s="50" t="n">
        <f aca="false">IFERROR(D45/D$33,0)</f>
        <v>0.472658228944303</v>
      </c>
      <c r="H45" s="50" t="n">
        <f aca="false">IFERROR(E45/E$33,0)</f>
        <v>0.51101334475876</v>
      </c>
      <c r="I45" s="50" t="n">
        <f aca="false">H45-F45</f>
        <v>0.0375720248334271</v>
      </c>
    </row>
    <row r="46" customFormat="false" ht="15" hidden="false" customHeight="false" outlineLevel="0" collapsed="false">
      <c r="B46" s="8" t="s">
        <v>187</v>
      </c>
      <c r="C46" s="58" t="n">
        <f aca="false">Balance_Sheet!D35</f>
        <v>415175</v>
      </c>
      <c r="D46" s="58" t="n">
        <f aca="false">Balance_Sheet!E35</f>
        <v>461894</v>
      </c>
      <c r="E46" s="58" t="n">
        <f aca="false">Balance_Sheet!F35</f>
        <v>478465</v>
      </c>
      <c r="F46" s="50" t="n">
        <f aca="false">IFERROR(C46/C$33,0)</f>
        <v>1</v>
      </c>
      <c r="G46" s="50" t="n">
        <f aca="false">IFERROR(D46/D$33,0)</f>
        <v>1</v>
      </c>
      <c r="H46" s="50" t="n">
        <f aca="false">IFERROR(E46/E$33,0)</f>
        <v>1</v>
      </c>
      <c r="I46" s="50" t="n">
        <f aca="false">H46-F46</f>
        <v>0</v>
      </c>
    </row>
  </sheetData>
  <conditionalFormatting sqref="I6:I46">
    <cfRule type="cellIs" priority="2"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4"/>
    <col collapsed="false" customWidth="true" hidden="false" outlineLevel="0" max="7" min="3" style="0" width="13"/>
    <col collapsed="false" customWidth="true" hidden="false" outlineLevel="0" max="8" min="8" style="0" width="15"/>
  </cols>
  <sheetData>
    <row r="1" customFormat="false" ht="24" hidden="false" customHeight="true" outlineLevel="0" collapsed="false">
      <c r="B1" s="17" t="s">
        <v>384</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385</v>
      </c>
    </row>
    <row r="5" customFormat="false" ht="15" hidden="false" customHeight="false" outlineLevel="0" collapsed="false">
      <c r="B5" s="8" t="s">
        <v>386</v>
      </c>
      <c r="C5" s="63" t="n">
        <v>2023</v>
      </c>
    </row>
    <row r="6" customFormat="false" ht="15" hidden="false" customHeight="false" outlineLevel="0" collapsed="false">
      <c r="B6" s="8" t="s">
        <v>387</v>
      </c>
      <c r="C6" s="63" t="n">
        <v>2025</v>
      </c>
    </row>
    <row r="8" customFormat="false" ht="25.5" hidden="false" customHeight="true" outlineLevel="0" collapsed="false">
      <c r="B8" s="49" t="s">
        <v>388</v>
      </c>
      <c r="C8" s="35" t="n">
        <f aca="false">Inputs!D$22</f>
        <v>2023</v>
      </c>
      <c r="D8" s="35" t="n">
        <f aca="false">Inputs!E$22</f>
        <v>2024</v>
      </c>
      <c r="E8" s="35" t="n">
        <f aca="false">Inputs!F$22</f>
        <v>2025</v>
      </c>
      <c r="F8" s="62" t="str">
        <f aca="false">"FY"&amp;Cs_YearA</f>
        <v>FY2023</v>
      </c>
      <c r="G8" s="62" t="str">
        <f aca="false">"FY"&amp;Cs_YearB</f>
        <v>FY2025</v>
      </c>
      <c r="H8" s="36" t="s">
        <v>389</v>
      </c>
    </row>
    <row r="9" customFormat="false" ht="15" hidden="false" customHeight="false" outlineLevel="0" collapsed="false">
      <c r="B9" s="12" t="s">
        <v>379</v>
      </c>
      <c r="C9" s="13"/>
      <c r="D9" s="13"/>
      <c r="E9" s="13"/>
      <c r="F9" s="13"/>
      <c r="G9" s="13"/>
      <c r="H9" s="13"/>
    </row>
    <row r="10" customFormat="false" ht="15" hidden="false" customHeight="false" outlineLevel="0" collapsed="false">
      <c r="B10" s="8" t="s">
        <v>133</v>
      </c>
      <c r="C10" s="64" t="n">
        <f aca="false">Vertical!F7</f>
        <v>1</v>
      </c>
      <c r="D10" s="64" t="n">
        <f aca="false">Vertical!G7</f>
        <v>1</v>
      </c>
      <c r="E10" s="64" t="n">
        <f aca="false">Vertical!H7</f>
        <v>1</v>
      </c>
      <c r="F10" s="60" t="n">
        <f aca="false">INDEX(C10:E10,MATCH(Cs_YearA,FY_List,0))</f>
        <v>1</v>
      </c>
      <c r="G10" s="60" t="n">
        <f aca="false">INDEX(C10:E10,MATCH(Cs_YearB,FY_List,0))</f>
        <v>1</v>
      </c>
      <c r="H10" s="60" t="n">
        <f aca="false">G10-F10</f>
        <v>0</v>
      </c>
    </row>
    <row r="11" customFormat="false" ht="15" hidden="false" customHeight="false" outlineLevel="0" collapsed="false">
      <c r="B11" s="39" t="s">
        <v>135</v>
      </c>
      <c r="C11" s="65" t="n">
        <f aca="false">Vertical!F8</f>
        <v>-0.747732968952087</v>
      </c>
      <c r="D11" s="65" t="n">
        <f aca="false">Vertical!G8</f>
        <v>-0.74512894014743</v>
      </c>
      <c r="E11" s="65" t="n">
        <f aca="false">Vertical!H8</f>
        <v>-0.743024262629545</v>
      </c>
      <c r="F11" s="50" t="n">
        <f aca="false">INDEX(C11:E11,MATCH(Cs_YearA,FY_List,0))</f>
        <v>-0.747732968952087</v>
      </c>
      <c r="G11" s="50" t="n">
        <f aca="false">INDEX(C11:E11,MATCH(Cs_YearB,FY_List,0))</f>
        <v>-0.743024262629545</v>
      </c>
      <c r="H11" s="50" t="n">
        <f aca="false">G11-F11</f>
        <v>0.00470870632254228</v>
      </c>
    </row>
    <row r="12" customFormat="false" ht="15" hidden="false" customHeight="false" outlineLevel="0" collapsed="false">
      <c r="B12" s="8" t="s">
        <v>137</v>
      </c>
      <c r="C12" s="64" t="n">
        <f aca="false">Vertical!F9</f>
        <v>0.252267031047913</v>
      </c>
      <c r="D12" s="64" t="n">
        <f aca="false">Vertical!G9</f>
        <v>0.25487105985257</v>
      </c>
      <c r="E12" s="64" t="n">
        <f aca="false">Vertical!H9</f>
        <v>0.256975737370455</v>
      </c>
      <c r="F12" s="60" t="n">
        <f aca="false">INDEX(C12:E12,MATCH(Cs_YearA,FY_List,0))</f>
        <v>0.252267031047913</v>
      </c>
      <c r="G12" s="60" t="n">
        <f aca="false">INDEX(C12:E12,MATCH(Cs_YearB,FY_List,0))</f>
        <v>0.256975737370455</v>
      </c>
      <c r="H12" s="60" t="n">
        <f aca="false">G12-F12</f>
        <v>0.00470870632254228</v>
      </c>
    </row>
    <row r="13" customFormat="false" ht="15" hidden="false" customHeight="false" outlineLevel="0" collapsed="false">
      <c r="B13" s="39" t="s">
        <v>138</v>
      </c>
      <c r="C13" s="65" t="n">
        <f aca="false">Vertical!F10</f>
        <v>-0.113523269493544</v>
      </c>
      <c r="D13" s="65" t="n">
        <f aca="false">Vertical!G10</f>
        <v>-0.111375131236082</v>
      </c>
      <c r="E13" s="65" t="n">
        <f aca="false">Vertical!H10</f>
        <v>-0.109083112411846</v>
      </c>
      <c r="F13" s="50" t="n">
        <f aca="false">INDEX(C13:E13,MATCH(Cs_YearA,FY_List,0))</f>
        <v>-0.113523269493544</v>
      </c>
      <c r="G13" s="50" t="n">
        <f aca="false">INDEX(C13:E13,MATCH(Cs_YearB,FY_List,0))</f>
        <v>-0.109083112411846</v>
      </c>
      <c r="H13" s="50" t="n">
        <f aca="false">G13-F13</f>
        <v>0.00444015708169854</v>
      </c>
    </row>
    <row r="14" customFormat="false" ht="15" hidden="false" customHeight="false" outlineLevel="0" collapsed="false">
      <c r="B14" s="39" t="s">
        <v>139</v>
      </c>
      <c r="C14" s="65" t="n">
        <f aca="false">Vertical!F11</f>
        <v>-0.0710190252801668</v>
      </c>
      <c r="D14" s="65" t="n">
        <f aca="false">Vertical!G11</f>
        <v>-0.0682059832508209</v>
      </c>
      <c r="E14" s="65" t="n">
        <f aca="false">Vertical!H11</f>
        <v>-0.0656357911320161</v>
      </c>
      <c r="F14" s="50" t="n">
        <f aca="false">INDEX(C14:E14,MATCH(Cs_YearA,FY_List,0))</f>
        <v>-0.0710190252801668</v>
      </c>
      <c r="G14" s="50" t="n">
        <f aca="false">INDEX(C14:E14,MATCH(Cs_YearB,FY_List,0))</f>
        <v>-0.0656357911320161</v>
      </c>
      <c r="H14" s="50" t="n">
        <f aca="false">G14-F14</f>
        <v>0.00538323414815069</v>
      </c>
    </row>
    <row r="15" customFormat="false" ht="15" hidden="false" customHeight="false" outlineLevel="0" collapsed="false">
      <c r="B15" s="39" t="s">
        <v>92</v>
      </c>
      <c r="C15" s="65" t="n">
        <f aca="false">Vertical!F12</f>
        <v>-0.0211772242235586</v>
      </c>
      <c r="D15" s="65" t="n">
        <f aca="false">Vertical!G12</f>
        <v>-0.0214547310746981</v>
      </c>
      <c r="E15" s="65" t="n">
        <f aca="false">Vertical!H12</f>
        <v>-0.0218594013833216</v>
      </c>
      <c r="F15" s="50" t="n">
        <f aca="false">INDEX(C15:E15,MATCH(Cs_YearA,FY_List,0))</f>
        <v>-0.0211772242235586</v>
      </c>
      <c r="G15" s="50" t="n">
        <f aca="false">INDEX(C15:E15,MATCH(Cs_YearB,FY_List,0))</f>
        <v>-0.0218594013833216</v>
      </c>
      <c r="H15" s="50" t="n">
        <f aca="false">G15-F15</f>
        <v>-0.000682177159762966</v>
      </c>
    </row>
    <row r="16" customFormat="false" ht="15" hidden="false" customHeight="false" outlineLevel="0" collapsed="false">
      <c r="B16" s="8" t="s">
        <v>141</v>
      </c>
      <c r="C16" s="64" t="n">
        <f aca="false">Vertical!F13</f>
        <v>0.0465475120506432</v>
      </c>
      <c r="D16" s="64" t="n">
        <f aca="false">Vertical!G13</f>
        <v>0.0538352142909685</v>
      </c>
      <c r="E16" s="64" t="n">
        <f aca="false">Vertical!H13</f>
        <v>0.0603974324432717</v>
      </c>
      <c r="F16" s="60" t="n">
        <f aca="false">INDEX(C16:E16,MATCH(Cs_YearA,FY_List,0))</f>
        <v>0.0465475120506432</v>
      </c>
      <c r="G16" s="60" t="n">
        <f aca="false">INDEX(C16:E16,MATCH(Cs_YearB,FY_List,0))</f>
        <v>0.0603974324432717</v>
      </c>
      <c r="H16" s="60" t="n">
        <f aca="false">G16-F16</f>
        <v>0.0138499203926285</v>
      </c>
    </row>
    <row r="17" customFormat="false" ht="15" hidden="false" customHeight="false" outlineLevel="0" collapsed="false">
      <c r="B17" s="39" t="s">
        <v>142</v>
      </c>
      <c r="C17" s="65" t="n">
        <f aca="false">Vertical!F14</f>
        <v>0.000487140703285033</v>
      </c>
      <c r="D17" s="65" t="n">
        <f aca="false">Vertical!G14</f>
        <v>-0.000167179722659985</v>
      </c>
      <c r="E17" s="65" t="n">
        <f aca="false">Vertical!H14</f>
        <v>0.000359918637821073</v>
      </c>
      <c r="F17" s="50" t="n">
        <f aca="false">INDEX(C17:E17,MATCH(Cs_YearA,FY_List,0))</f>
        <v>0.000487140703285033</v>
      </c>
      <c r="G17" s="50" t="n">
        <f aca="false">INDEX(C17:E17,MATCH(Cs_YearB,FY_List,0))</f>
        <v>0.000359918637821073</v>
      </c>
      <c r="H17" s="50" t="n">
        <f aca="false">G17-F17</f>
        <v>-0.00012722206546396</v>
      </c>
    </row>
    <row r="18" customFormat="false" ht="15" hidden="false" customHeight="false" outlineLevel="0" collapsed="false">
      <c r="B18" s="39" t="s">
        <v>143</v>
      </c>
      <c r="C18" s="65" t="n">
        <f aca="false">Vertical!F15</f>
        <v>0.00164409987358699</v>
      </c>
      <c r="D18" s="65" t="n">
        <f aca="false">Vertical!G15</f>
        <v>0.00169408785628785</v>
      </c>
      <c r="E18" s="65" t="n">
        <f aca="false">Vertical!H15</f>
        <v>0.00174817624084521</v>
      </c>
      <c r="F18" s="50" t="n">
        <f aca="false">INDEX(C18:E18,MATCH(Cs_YearA,FY_List,0))</f>
        <v>0.00164409987358699</v>
      </c>
      <c r="G18" s="50" t="n">
        <f aca="false">INDEX(C18:E18,MATCH(Cs_YearB,FY_List,0))</f>
        <v>0.00174817624084521</v>
      </c>
      <c r="H18" s="50" t="n">
        <f aca="false">G18-F18</f>
        <v>0.000104076367258225</v>
      </c>
    </row>
    <row r="19" customFormat="false" ht="15" hidden="false" customHeight="false" outlineLevel="0" collapsed="false">
      <c r="B19" s="39" t="s">
        <v>144</v>
      </c>
      <c r="C19" s="65" t="n">
        <f aca="false">Vertical!F16</f>
        <v>0.000943835112614752</v>
      </c>
      <c r="D19" s="65" t="n">
        <f aca="false">Vertical!G16</f>
        <v>0.000972985985881115</v>
      </c>
      <c r="E19" s="65" t="n">
        <f aca="false">Vertical!H16</f>
        <v>0.0012412051310001</v>
      </c>
      <c r="F19" s="50" t="n">
        <f aca="false">INDEX(C19:E19,MATCH(Cs_YearA,FY_List,0))</f>
        <v>0.000943835112614752</v>
      </c>
      <c r="G19" s="50" t="n">
        <f aca="false">INDEX(C19:E19,MATCH(Cs_YearB,FY_List,0))</f>
        <v>0.0012412051310001</v>
      </c>
      <c r="H19" s="50" t="n">
        <f aca="false">G19-F19</f>
        <v>0.000297370018385349</v>
      </c>
    </row>
    <row r="20" customFormat="false" ht="15" hidden="false" customHeight="false" outlineLevel="0" collapsed="false">
      <c r="B20" s="39" t="s">
        <v>145</v>
      </c>
      <c r="C20" s="65" t="n">
        <f aca="false">Vertical!F17</f>
        <v>-0.0126912331723333</v>
      </c>
      <c r="D20" s="65" t="n">
        <f aca="false">Vertical!G17</f>
        <v>-0.0127892487834889</v>
      </c>
      <c r="E20" s="65" t="n">
        <f aca="false">Vertical!H17</f>
        <v>-0.0120274525370151</v>
      </c>
      <c r="F20" s="50" t="n">
        <f aca="false">INDEX(C20:E20,MATCH(Cs_YearA,FY_List,0))</f>
        <v>-0.0126912331723333</v>
      </c>
      <c r="G20" s="50" t="n">
        <f aca="false">INDEX(C20:E20,MATCH(Cs_YearB,FY_List,0))</f>
        <v>-0.0120274525370151</v>
      </c>
      <c r="H20" s="50" t="n">
        <f aca="false">G20-F20</f>
        <v>0.000663780635318269</v>
      </c>
    </row>
    <row r="21" customFormat="false" ht="15" hidden="false" customHeight="false" outlineLevel="0" collapsed="false">
      <c r="B21" s="8" t="s">
        <v>147</v>
      </c>
      <c r="C21" s="64" t="n">
        <f aca="false">Vertical!F18</f>
        <v>0.0369313545677966</v>
      </c>
      <c r="D21" s="64" t="n">
        <f aca="false">Vertical!G18</f>
        <v>0.0435458596269886</v>
      </c>
      <c r="E21" s="64" t="n">
        <f aca="false">Vertical!H18</f>
        <v>0.051719279915923</v>
      </c>
      <c r="F21" s="60" t="n">
        <f aca="false">INDEX(C21:E21,MATCH(Cs_YearA,FY_List,0))</f>
        <v>0.0369313545677966</v>
      </c>
      <c r="G21" s="60" t="n">
        <f aca="false">INDEX(C21:E21,MATCH(Cs_YearB,FY_List,0))</f>
        <v>0.051719279915923</v>
      </c>
      <c r="H21" s="60" t="n">
        <f aca="false">G21-F21</f>
        <v>0.0147879253481264</v>
      </c>
    </row>
    <row r="22" customFormat="false" ht="15" hidden="false" customHeight="false" outlineLevel="0" collapsed="false">
      <c r="B22" s="39" t="s">
        <v>148</v>
      </c>
      <c r="C22" s="65" t="n">
        <f aca="false">Vertical!F19</f>
        <v>-0.00955161133966129</v>
      </c>
      <c r="D22" s="65" t="n">
        <f aca="false">Vertical!G19</f>
        <v>-0.0112144157960318</v>
      </c>
      <c r="E22" s="65" t="n">
        <f aca="false">Vertical!H19</f>
        <v>-0.0132532325835371</v>
      </c>
      <c r="F22" s="50" t="n">
        <f aca="false">INDEX(C22:E22,MATCH(Cs_YearA,FY_List,0))</f>
        <v>-0.00955161133966129</v>
      </c>
      <c r="G22" s="50" t="n">
        <f aca="false">INDEX(C22:E22,MATCH(Cs_YearB,FY_List,0))</f>
        <v>-0.0132532325835371</v>
      </c>
      <c r="H22" s="50" t="n">
        <f aca="false">G22-F22</f>
        <v>-0.00370162124387582</v>
      </c>
    </row>
    <row r="23" customFormat="false" ht="15" hidden="false" customHeight="false" outlineLevel="0" collapsed="false">
      <c r="B23" s="8" t="s">
        <v>150</v>
      </c>
      <c r="C23" s="64" t="n">
        <f aca="false">Vertical!F20</f>
        <v>0.0273797432281353</v>
      </c>
      <c r="D23" s="64" t="n">
        <f aca="false">Vertical!G20</f>
        <v>0.0323314438309568</v>
      </c>
      <c r="E23" s="64" t="n">
        <f aca="false">Vertical!H20</f>
        <v>0.0384660473323859</v>
      </c>
      <c r="F23" s="60" t="n">
        <f aca="false">INDEX(C23:E23,MATCH(Cs_YearA,FY_List,0))</f>
        <v>0.0273797432281353</v>
      </c>
      <c r="G23" s="60" t="n">
        <f aca="false">INDEX(C23:E23,MATCH(Cs_YearB,FY_List,0))</f>
        <v>0.0384660473323859</v>
      </c>
      <c r="H23" s="60" t="n">
        <f aca="false">G23-F23</f>
        <v>0.0110863041042506</v>
      </c>
    </row>
    <row r="24" customFormat="false" ht="15" hidden="false" customHeight="false" outlineLevel="0" collapsed="false">
      <c r="B24" s="39" t="s">
        <v>152</v>
      </c>
      <c r="C24" s="65" t="n">
        <f aca="false">Vertical!F21</f>
        <v>0.0486787526275152</v>
      </c>
      <c r="D24" s="65" t="n">
        <f aca="false">Vertical!G21</f>
        <v>0.0553621224245964</v>
      </c>
      <c r="E24" s="65" t="n">
        <f aca="false">Vertical!H21</f>
        <v>0.062505527321938</v>
      </c>
      <c r="F24" s="50" t="n">
        <f aca="false">INDEX(C24:E24,MATCH(Cs_YearA,FY_List,0))</f>
        <v>0.0486787526275152</v>
      </c>
      <c r="G24" s="50" t="n">
        <f aca="false">INDEX(C24:E24,MATCH(Cs_YearB,FY_List,0))</f>
        <v>0.062505527321938</v>
      </c>
      <c r="H24" s="50" t="n">
        <f aca="false">G24-F24</f>
        <v>0.0138267746944228</v>
      </c>
    </row>
    <row r="25" customFormat="false" ht="15" hidden="false" customHeight="false" outlineLevel="0" collapsed="false">
      <c r="B25" s="8" t="s">
        <v>121</v>
      </c>
      <c r="C25" s="64" t="n">
        <f aca="false">Vertical!F22</f>
        <v>0.0698559768510738</v>
      </c>
      <c r="D25" s="64" t="n">
        <f aca="false">Vertical!G22</f>
        <v>0.0768168534992945</v>
      </c>
      <c r="E25" s="64" t="n">
        <f aca="false">Vertical!H22</f>
        <v>0.0843649287052595</v>
      </c>
      <c r="F25" s="60" t="n">
        <f aca="false">INDEX(C25:E25,MATCH(Cs_YearA,FY_List,0))</f>
        <v>0.0698559768510738</v>
      </c>
      <c r="G25" s="60" t="n">
        <f aca="false">INDEX(C25:E25,MATCH(Cs_YearB,FY_List,0))</f>
        <v>0.0843649287052595</v>
      </c>
      <c r="H25" s="60" t="n">
        <f aca="false">G25-F25</f>
        <v>0.0145089518541858</v>
      </c>
    </row>
    <row r="26" customFormat="false" ht="15" hidden="false" customHeight="false" outlineLevel="0" collapsed="false">
      <c r="B26" s="39" t="s">
        <v>153</v>
      </c>
      <c r="C26" s="65" t="n">
        <f aca="false">Vertical!F23</f>
        <v>0.20571951899727</v>
      </c>
      <c r="D26" s="65" t="n">
        <f aca="false">Vertical!G23</f>
        <v>0.201035845561601</v>
      </c>
      <c r="E26" s="65" t="n">
        <f aca="false">Vertical!H23</f>
        <v>0.196578304927183</v>
      </c>
      <c r="F26" s="50" t="n">
        <f aca="false">INDEX(C26:E26,MATCH(Cs_YearA,FY_List,0))</f>
        <v>0.20571951899727</v>
      </c>
      <c r="G26" s="50" t="n">
        <f aca="false">INDEX(C26:E26,MATCH(Cs_YearB,FY_List,0))</f>
        <v>0.196578304927183</v>
      </c>
      <c r="H26" s="50" t="n">
        <f aca="false">G26-F26</f>
        <v>-0.00914121407008625</v>
      </c>
    </row>
    <row r="27" customFormat="false" ht="15" hidden="false" customHeight="false" outlineLevel="0" collapsed="false">
      <c r="B27" s="12" t="s">
        <v>380</v>
      </c>
      <c r="C27" s="13"/>
      <c r="D27" s="13"/>
      <c r="E27" s="13"/>
      <c r="F27" s="13"/>
      <c r="G27" s="13"/>
      <c r="H27" s="13"/>
    </row>
    <row r="28" customFormat="false" ht="15" hidden="false" customHeight="false" outlineLevel="0" collapsed="false">
      <c r="B28" s="39" t="s">
        <v>158</v>
      </c>
      <c r="C28" s="65" t="n">
        <f aca="false">Vertical!F25</f>
        <v>0.140220388992593</v>
      </c>
      <c r="D28" s="65" t="n">
        <f aca="false">Vertical!G25</f>
        <v>0.174195811160136</v>
      </c>
      <c r="E28" s="65" t="n">
        <f aca="false">Vertical!H25</f>
        <v>0.170854712465907</v>
      </c>
      <c r="F28" s="50" t="n">
        <f aca="false">INDEX(C28:E28,MATCH(Cs_YearA,FY_List,0))</f>
        <v>0.140220388992593</v>
      </c>
      <c r="G28" s="50" t="n">
        <f aca="false">INDEX(C28:E28,MATCH(Cs_YearB,FY_List,0))</f>
        <v>0.170854712465907</v>
      </c>
      <c r="H28" s="50" t="n">
        <f aca="false">G28-F28</f>
        <v>0.0306343234733131</v>
      </c>
    </row>
    <row r="29" customFormat="false" ht="15" hidden="false" customHeight="false" outlineLevel="0" collapsed="false">
      <c r="B29" s="39" t="s">
        <v>160</v>
      </c>
      <c r="C29" s="65" t="n">
        <f aca="false">Vertical!F26</f>
        <v>0.195067140362498</v>
      </c>
      <c r="D29" s="65" t="n">
        <f aca="false">Vertical!G26</f>
        <v>0.191591577288296</v>
      </c>
      <c r="E29" s="65" t="n">
        <f aca="false">Vertical!H26</f>
        <v>0.194889908352753</v>
      </c>
      <c r="F29" s="50" t="n">
        <f aca="false">INDEX(C29:E29,MATCH(Cs_YearA,FY_List,0))</f>
        <v>0.195067140362498</v>
      </c>
      <c r="G29" s="50" t="n">
        <f aca="false">INDEX(C29:E29,MATCH(Cs_YearB,FY_List,0))</f>
        <v>0.194889908352753</v>
      </c>
      <c r="H29" s="50" t="n">
        <f aca="false">G29-F29</f>
        <v>-0.000177232009744677</v>
      </c>
    </row>
    <row r="30" customFormat="false" ht="15" hidden="false" customHeight="false" outlineLevel="0" collapsed="false">
      <c r="B30" s="39" t="s">
        <v>162</v>
      </c>
      <c r="C30" s="65" t="n">
        <f aca="false">Vertical!F27</f>
        <v>0.182323116757994</v>
      </c>
      <c r="D30" s="65" t="n">
        <f aca="false">Vertical!G27</f>
        <v>0.174483756013284</v>
      </c>
      <c r="E30" s="65" t="n">
        <f aca="false">Vertical!H27</f>
        <v>0.177906429937404</v>
      </c>
      <c r="F30" s="50" t="n">
        <f aca="false">INDEX(C30:E30,MATCH(Cs_YearA,FY_List,0))</f>
        <v>0.182323116757994</v>
      </c>
      <c r="G30" s="50" t="n">
        <f aca="false">INDEX(C30:E30,MATCH(Cs_YearB,FY_List,0))</f>
        <v>0.177906429937404</v>
      </c>
      <c r="H30" s="50" t="n">
        <f aca="false">G30-F30</f>
        <v>-0.00441668682058963</v>
      </c>
    </row>
    <row r="31" customFormat="false" ht="15" hidden="false" customHeight="false" outlineLevel="0" collapsed="false">
      <c r="B31" s="39" t="s">
        <v>164</v>
      </c>
      <c r="C31" s="65" t="n">
        <f aca="false">Vertical!F28</f>
        <v>0.0273739989161197</v>
      </c>
      <c r="D31" s="65" t="n">
        <f aca="false">Vertical!G28</f>
        <v>0.0261640116563541</v>
      </c>
      <c r="E31" s="65" t="n">
        <f aca="false">Vertical!H28</f>
        <v>0.0266330870596595</v>
      </c>
      <c r="F31" s="50" t="n">
        <f aca="false">INDEX(C31:E31,MATCH(Cs_YearA,FY_List,0))</f>
        <v>0.0273739989161197</v>
      </c>
      <c r="G31" s="50" t="n">
        <f aca="false">INDEX(C31:E31,MATCH(Cs_YearB,FY_List,0))</f>
        <v>0.0266330870596595</v>
      </c>
      <c r="H31" s="50" t="n">
        <f aca="false">G31-F31</f>
        <v>-0.000740911856460171</v>
      </c>
    </row>
    <row r="32" customFormat="false" ht="15" hidden="false" customHeight="false" outlineLevel="0" collapsed="false">
      <c r="B32" s="8" t="s">
        <v>165</v>
      </c>
      <c r="C32" s="64" t="n">
        <f aca="false">Vertical!F29</f>
        <v>0.544984645029205</v>
      </c>
      <c r="D32" s="64" t="n">
        <f aca="false">Vertical!G29</f>
        <v>0.56643515611807</v>
      </c>
      <c r="E32" s="64" t="n">
        <f aca="false">Vertical!H29</f>
        <v>0.570284137815723</v>
      </c>
      <c r="F32" s="60" t="n">
        <f aca="false">INDEX(C32:E32,MATCH(Cs_YearA,FY_List,0))</f>
        <v>0.544984645029205</v>
      </c>
      <c r="G32" s="60" t="n">
        <f aca="false">INDEX(C32:E32,MATCH(Cs_YearB,FY_List,0))</f>
        <v>0.570284137815723</v>
      </c>
      <c r="H32" s="60" t="n">
        <f aca="false">G32-F32</f>
        <v>0.0252994927865187</v>
      </c>
    </row>
    <row r="33" customFormat="false" ht="15" hidden="false" customHeight="false" outlineLevel="0" collapsed="false">
      <c r="B33" s="39" t="s">
        <v>167</v>
      </c>
      <c r="C33" s="65" t="n">
        <f aca="false">Vertical!F30</f>
        <v>0.430447401698079</v>
      </c>
      <c r="D33" s="65" t="n">
        <f aca="false">Vertical!G30</f>
        <v>0.410832355475499</v>
      </c>
      <c r="E33" s="65" t="n">
        <f aca="false">Vertical!H30</f>
        <v>0.406516673110886</v>
      </c>
      <c r="F33" s="50" t="n">
        <f aca="false">INDEX(C33:E33,MATCH(Cs_YearA,FY_List,0))</f>
        <v>0.430447401698079</v>
      </c>
      <c r="G33" s="50" t="n">
        <f aca="false">INDEX(C33:E33,MATCH(Cs_YearB,FY_List,0))</f>
        <v>0.406516673110886</v>
      </c>
      <c r="H33" s="50" t="n">
        <f aca="false">G33-F33</f>
        <v>-0.0239307285871933</v>
      </c>
    </row>
    <row r="34" customFormat="false" ht="15" hidden="false" customHeight="false" outlineLevel="0" collapsed="false">
      <c r="B34" s="39" t="s">
        <v>168</v>
      </c>
      <c r="C34" s="65" t="n">
        <f aca="false">Vertical!F31</f>
        <v>0.0245679532727163</v>
      </c>
      <c r="D34" s="65" t="n">
        <f aca="false">Vertical!G31</f>
        <v>0.0227324884064309</v>
      </c>
      <c r="E34" s="65" t="n">
        <f aca="false">Vertical!H31</f>
        <v>0.0231991890733909</v>
      </c>
      <c r="F34" s="50" t="n">
        <f aca="false">INDEX(C34:E34,MATCH(Cs_YearA,FY_List,0))</f>
        <v>0.0245679532727163</v>
      </c>
      <c r="G34" s="50" t="n">
        <f aca="false">INDEX(C34:E34,MATCH(Cs_YearB,FY_List,0))</f>
        <v>0.0231991890733909</v>
      </c>
      <c r="H34" s="50" t="n">
        <f aca="false">G34-F34</f>
        <v>-0.00136876419932538</v>
      </c>
    </row>
    <row r="35" customFormat="false" ht="15" hidden="false" customHeight="false" outlineLevel="0" collapsed="false">
      <c r="B35" s="8" t="s">
        <v>169</v>
      </c>
      <c r="C35" s="64" t="n">
        <f aca="false">Vertical!F32</f>
        <v>0.455015354970795</v>
      </c>
      <c r="D35" s="64" t="n">
        <f aca="false">Vertical!G32</f>
        <v>0.43356484388193</v>
      </c>
      <c r="E35" s="64" t="n">
        <f aca="false">Vertical!H32</f>
        <v>0.429715862184277</v>
      </c>
      <c r="F35" s="60" t="n">
        <f aca="false">INDEX(C35:E35,MATCH(Cs_YearA,FY_List,0))</f>
        <v>0.455015354970795</v>
      </c>
      <c r="G35" s="60" t="n">
        <f aca="false">INDEX(C35:E35,MATCH(Cs_YearB,FY_List,0))</f>
        <v>0.429715862184277</v>
      </c>
      <c r="H35" s="60" t="n">
        <f aca="false">G35-F35</f>
        <v>-0.0252994927865186</v>
      </c>
    </row>
    <row r="36" customFormat="false" ht="15" hidden="false" customHeight="false" outlineLevel="0" collapsed="false">
      <c r="B36" s="8" t="s">
        <v>123</v>
      </c>
      <c r="C36" s="64" t="n">
        <f aca="false">Vertical!F33</f>
        <v>1</v>
      </c>
      <c r="D36" s="64" t="n">
        <f aca="false">Vertical!G33</f>
        <v>1</v>
      </c>
      <c r="E36" s="64" t="n">
        <f aca="false">Vertical!H33</f>
        <v>1</v>
      </c>
      <c r="F36" s="60" t="n">
        <f aca="false">INDEX(C36:E36,MATCH(Cs_YearA,FY_List,0))</f>
        <v>1</v>
      </c>
      <c r="G36" s="60" t="n">
        <f aca="false">INDEX(C36:E36,MATCH(Cs_YearB,FY_List,0))</f>
        <v>1</v>
      </c>
      <c r="H36" s="60" t="n">
        <f aca="false">G36-F36</f>
        <v>0</v>
      </c>
    </row>
    <row r="37" customFormat="false" ht="15" hidden="false" customHeight="false" outlineLevel="0" collapsed="false">
      <c r="B37" s="39" t="s">
        <v>172</v>
      </c>
      <c r="C37" s="65" t="n">
        <f aca="false">Vertical!F34</f>
        <v>0.162064189799482</v>
      </c>
      <c r="D37" s="65" t="n">
        <f aca="false">Vertical!G34</f>
        <v>0.162587087080586</v>
      </c>
      <c r="E37" s="65" t="n">
        <f aca="false">Vertical!H34</f>
        <v>0.173770286227833</v>
      </c>
      <c r="F37" s="50" t="n">
        <f aca="false">INDEX(C37:E37,MATCH(Cs_YearA,FY_List,0))</f>
        <v>0.162064189799482</v>
      </c>
      <c r="G37" s="50" t="n">
        <f aca="false">INDEX(C37:E37,MATCH(Cs_YearB,FY_List,0))</f>
        <v>0.173770286227833</v>
      </c>
      <c r="H37" s="50" t="n">
        <f aca="false">G37-F37</f>
        <v>0.0117060964283506</v>
      </c>
    </row>
    <row r="38" customFormat="false" ht="15" hidden="false" customHeight="false" outlineLevel="0" collapsed="false">
      <c r="B38" s="39" t="s">
        <v>173</v>
      </c>
      <c r="C38" s="65" t="n">
        <f aca="false">Vertical!F35</f>
        <v>0.0328487986993437</v>
      </c>
      <c r="D38" s="65" t="n">
        <f aca="false">Vertical!G35</f>
        <v>0.031394648988729</v>
      </c>
      <c r="E38" s="65" t="n">
        <f aca="false">Vertical!H35</f>
        <v>0.0319584504613713</v>
      </c>
      <c r="F38" s="50" t="n">
        <f aca="false">INDEX(C38:E38,MATCH(Cs_YearA,FY_List,0))</f>
        <v>0.0328487986993437</v>
      </c>
      <c r="G38" s="50" t="n">
        <f aca="false">INDEX(C38:E38,MATCH(Cs_YearB,FY_List,0))</f>
        <v>0.0319584504613713</v>
      </c>
      <c r="H38" s="50" t="n">
        <f aca="false">G38-F38</f>
        <v>-0.000890348237972391</v>
      </c>
    </row>
    <row r="39" customFormat="false" ht="15" hidden="false" customHeight="false" outlineLevel="0" collapsed="false">
      <c r="B39" s="39" t="s">
        <v>174</v>
      </c>
      <c r="C39" s="65" t="n">
        <f aca="false">Vertical!F36</f>
        <v>0.00407298127295719</v>
      </c>
      <c r="D39" s="65" t="n">
        <f aca="false">Vertical!G36</f>
        <v>0.00428020281709656</v>
      </c>
      <c r="E39" s="65" t="n">
        <f aca="false">Vertical!H36</f>
        <v>0.00528565307807259</v>
      </c>
      <c r="F39" s="50" t="n">
        <f aca="false">INDEX(C39:E39,MATCH(Cs_YearA,FY_List,0))</f>
        <v>0.00407298127295719</v>
      </c>
      <c r="G39" s="50" t="n">
        <f aca="false">INDEX(C39:E39,MATCH(Cs_YearB,FY_List,0))</f>
        <v>0.00528565307807259</v>
      </c>
      <c r="H39" s="50" t="n">
        <f aca="false">G39-F39</f>
        <v>0.0012126718051154</v>
      </c>
    </row>
    <row r="40" customFormat="false" ht="15" hidden="false" customHeight="false" outlineLevel="0" collapsed="false">
      <c r="B40" s="39" t="s">
        <v>175</v>
      </c>
      <c r="C40" s="65" t="n">
        <f aca="false">Vertical!F37</f>
        <v>0.115613897753959</v>
      </c>
      <c r="D40" s="65" t="n">
        <f aca="false">Vertical!G37</f>
        <v>0.0909299536257237</v>
      </c>
      <c r="E40" s="65" t="n">
        <f aca="false">Vertical!H37</f>
        <v>0.0794206472782753</v>
      </c>
      <c r="F40" s="50" t="n">
        <f aca="false">INDEX(C40:E40,MATCH(Cs_YearA,FY_List,0))</f>
        <v>0.115613897753959</v>
      </c>
      <c r="G40" s="50" t="n">
        <f aca="false">INDEX(C40:E40,MATCH(Cs_YearB,FY_List,0))</f>
        <v>0.0794206472782753</v>
      </c>
      <c r="H40" s="50" t="n">
        <f aca="false">G40-F40</f>
        <v>-0.0361932504756839</v>
      </c>
    </row>
    <row r="41" customFormat="false" ht="15" hidden="false" customHeight="false" outlineLevel="0" collapsed="false">
      <c r="B41" s="39" t="s">
        <v>176</v>
      </c>
      <c r="C41" s="65" t="n">
        <f aca="false">Vertical!F38</f>
        <v>0.0313120973083639</v>
      </c>
      <c r="D41" s="65" t="n">
        <f aca="false">Vertical!G38</f>
        <v>0.0324749834377584</v>
      </c>
      <c r="E41" s="65" t="n">
        <f aca="false">Vertical!H38</f>
        <v>0.0344852810550406</v>
      </c>
      <c r="F41" s="50" t="n">
        <f aca="false">INDEX(C41:E41,MATCH(Cs_YearA,FY_List,0))</f>
        <v>0.0313120973083639</v>
      </c>
      <c r="G41" s="50" t="n">
        <f aca="false">INDEX(C41:E41,MATCH(Cs_YearB,FY_List,0))</f>
        <v>0.0344852810550406</v>
      </c>
      <c r="H41" s="50" t="n">
        <f aca="false">G41-F41</f>
        <v>0.00317318374667665</v>
      </c>
    </row>
    <row r="42" customFormat="false" ht="15" hidden="false" customHeight="false" outlineLevel="0" collapsed="false">
      <c r="B42" s="8" t="s">
        <v>177</v>
      </c>
      <c r="C42" s="64" t="n">
        <f aca="false">Vertical!F39</f>
        <v>0.345911964834106</v>
      </c>
      <c r="D42" s="64" t="n">
        <f aca="false">Vertical!G39</f>
        <v>0.321666875949893</v>
      </c>
      <c r="E42" s="64" t="n">
        <f aca="false">Vertical!H39</f>
        <v>0.324920318100593</v>
      </c>
      <c r="F42" s="60" t="n">
        <f aca="false">INDEX(C42:E42,MATCH(Cs_YearA,FY_List,0))</f>
        <v>0.345911964834106</v>
      </c>
      <c r="G42" s="60" t="n">
        <f aca="false">INDEX(C42:E42,MATCH(Cs_YearB,FY_List,0))</f>
        <v>0.324920318100593</v>
      </c>
      <c r="H42" s="60" t="n">
        <f aca="false">G42-F42</f>
        <v>-0.0209916467335136</v>
      </c>
    </row>
    <row r="43" customFormat="false" ht="15" hidden="false" customHeight="false" outlineLevel="0" collapsed="false">
      <c r="B43" s="39" t="s">
        <v>179</v>
      </c>
      <c r="C43" s="65" t="n">
        <f aca="false">Vertical!F40</f>
        <v>0.180646715240561</v>
      </c>
      <c r="D43" s="65" t="n">
        <f aca="false">Vertical!G40</f>
        <v>0.205674895105804</v>
      </c>
      <c r="E43" s="65" t="n">
        <f aca="false">Vertical!H40</f>
        <v>0.164066337140648</v>
      </c>
      <c r="F43" s="50" t="n">
        <f aca="false">INDEX(C43:E43,MATCH(Cs_YearA,FY_List,0))</f>
        <v>0.180646715240561</v>
      </c>
      <c r="G43" s="50" t="n">
        <f aca="false">INDEX(C43:E43,MATCH(Cs_YearB,FY_List,0))</f>
        <v>0.164066337140648</v>
      </c>
      <c r="H43" s="50" t="n">
        <f aca="false">G43-F43</f>
        <v>-0.0165803780999135</v>
      </c>
    </row>
    <row r="44" customFormat="false" ht="15" hidden="false" customHeight="false" outlineLevel="0" collapsed="false">
      <c r="B44" s="8" t="s">
        <v>180</v>
      </c>
      <c r="C44" s="64" t="n">
        <f aca="false">Vertical!F41</f>
        <v>0.526558680074667</v>
      </c>
      <c r="D44" s="64" t="n">
        <f aca="false">Vertical!G41</f>
        <v>0.527341771055697</v>
      </c>
      <c r="E44" s="64" t="n">
        <f aca="false">Vertical!H41</f>
        <v>0.48898665524124</v>
      </c>
      <c r="F44" s="60" t="n">
        <f aca="false">INDEX(C44:E44,MATCH(Cs_YearA,FY_List,0))</f>
        <v>0.526558680074667</v>
      </c>
      <c r="G44" s="60" t="n">
        <f aca="false">INDEX(C44:E44,MATCH(Cs_YearB,FY_List,0))</f>
        <v>0.48898665524124</v>
      </c>
      <c r="H44" s="60" t="n">
        <f aca="false">G44-F44</f>
        <v>-0.0375720248334271</v>
      </c>
    </row>
    <row r="45" customFormat="false" ht="15" hidden="false" customHeight="false" outlineLevel="0" collapsed="false">
      <c r="B45" s="39" t="s">
        <v>182</v>
      </c>
      <c r="C45" s="65" t="n">
        <f aca="false">Vertical!F42</f>
        <v>0.289034744384898</v>
      </c>
      <c r="D45" s="65" t="n">
        <f aca="false">Vertical!G42</f>
        <v>0.259799867502068</v>
      </c>
      <c r="E45" s="65" t="n">
        <f aca="false">Vertical!H42</f>
        <v>0.250802044036659</v>
      </c>
      <c r="F45" s="50" t="n">
        <f aca="false">INDEX(C45:E45,MATCH(Cs_YearA,FY_List,0))</f>
        <v>0.289034744384898</v>
      </c>
      <c r="G45" s="50" t="n">
        <f aca="false">INDEX(C45:E45,MATCH(Cs_YearB,FY_List,0))</f>
        <v>0.250802044036659</v>
      </c>
      <c r="H45" s="50" t="n">
        <f aca="false">G45-F45</f>
        <v>-0.0382327003482391</v>
      </c>
    </row>
    <row r="46" customFormat="false" ht="15" hidden="false" customHeight="false" outlineLevel="0" collapsed="false">
      <c r="B46" s="39" t="s">
        <v>184</v>
      </c>
      <c r="C46" s="65" t="n">
        <f aca="false">Vertical!F43</f>
        <v>0.0433552116577347</v>
      </c>
      <c r="D46" s="65" t="n">
        <f aca="false">Vertical!G43</f>
        <v>0.0389699801253101</v>
      </c>
      <c r="E46" s="65" t="n">
        <f aca="false">Vertical!H43</f>
        <v>0.0376203066054988</v>
      </c>
      <c r="F46" s="50" t="n">
        <f aca="false">INDEX(C46:E46,MATCH(Cs_YearA,FY_List,0))</f>
        <v>0.0433552116577347</v>
      </c>
      <c r="G46" s="50" t="n">
        <f aca="false">INDEX(C46:E46,MATCH(Cs_YearB,FY_List,0))</f>
        <v>0.0376203066054988</v>
      </c>
      <c r="H46" s="50" t="n">
        <f aca="false">G46-F46</f>
        <v>-0.00573490505223585</v>
      </c>
    </row>
    <row r="47" customFormat="false" ht="15" hidden="false" customHeight="false" outlineLevel="0" collapsed="false">
      <c r="B47" s="39" t="s">
        <v>185</v>
      </c>
      <c r="C47" s="65" t="n">
        <f aca="false">Vertical!F44</f>
        <v>0.1410513638827</v>
      </c>
      <c r="D47" s="65" t="n">
        <f aca="false">Vertical!G44</f>
        <v>0.173888381316926</v>
      </c>
      <c r="E47" s="65" t="n">
        <f aca="false">Vertical!H44</f>
        <v>0.222590994116602</v>
      </c>
      <c r="F47" s="50" t="n">
        <f aca="false">INDEX(C47:E47,MATCH(Cs_YearA,FY_List,0))</f>
        <v>0.1410513638827</v>
      </c>
      <c r="G47" s="50" t="n">
        <f aca="false">INDEX(C47:E47,MATCH(Cs_YearB,FY_List,0))</f>
        <v>0.222590994116602</v>
      </c>
      <c r="H47" s="50" t="n">
        <f aca="false">G47-F47</f>
        <v>0.081539630233902</v>
      </c>
    </row>
    <row r="48" customFormat="false" ht="15" hidden="false" customHeight="false" outlineLevel="0" collapsed="false">
      <c r="B48" s="8" t="s">
        <v>186</v>
      </c>
      <c r="C48" s="64" t="n">
        <f aca="false">Vertical!F45</f>
        <v>0.473441319925333</v>
      </c>
      <c r="D48" s="64" t="n">
        <f aca="false">Vertical!G45</f>
        <v>0.472658228944303</v>
      </c>
      <c r="E48" s="64" t="n">
        <f aca="false">Vertical!H45</f>
        <v>0.51101334475876</v>
      </c>
      <c r="F48" s="60" t="n">
        <f aca="false">INDEX(C48:E48,MATCH(Cs_YearA,FY_List,0))</f>
        <v>0.473441319925333</v>
      </c>
      <c r="G48" s="60" t="n">
        <f aca="false">INDEX(C48:E48,MATCH(Cs_YearB,FY_List,0))</f>
        <v>0.51101334475876</v>
      </c>
      <c r="H48" s="60" t="n">
        <f aca="false">G48-F48</f>
        <v>0.0375720248334271</v>
      </c>
    </row>
    <row r="49" customFormat="false" ht="15" hidden="false" customHeight="false" outlineLevel="0" collapsed="false">
      <c r="B49" s="8" t="s">
        <v>187</v>
      </c>
      <c r="C49" s="64" t="n">
        <f aca="false">Vertical!F46</f>
        <v>1</v>
      </c>
      <c r="D49" s="64" t="n">
        <f aca="false">Vertical!G46</f>
        <v>1</v>
      </c>
      <c r="E49" s="64" t="n">
        <f aca="false">Vertical!H46</f>
        <v>1</v>
      </c>
      <c r="F49" s="60" t="n">
        <f aca="false">INDEX(C49:E49,MATCH(Cs_YearA,FY_List,0))</f>
        <v>1</v>
      </c>
      <c r="G49" s="60" t="n">
        <f aca="false">INDEX(C49:E49,MATCH(Cs_YearB,FY_List,0))</f>
        <v>1</v>
      </c>
      <c r="H49" s="60" t="n">
        <f aca="false">G49-F49</f>
        <v>0</v>
      </c>
    </row>
  </sheetData>
  <conditionalFormatting sqref="C9:E49">
    <cfRule type="dataBar" priority="2">
      <dataBar showValue="1" minLength="10" maxLength="90">
        <cfvo type="num" val="0"/>
        <cfvo type="num" val="1"/>
        <color rgb="FF8DB4E2"/>
      </dataBar>
      <extLst>
        <ext xmlns:x14="http://schemas.microsoft.com/office/spreadsheetml/2009/9/main" uri="{B025F937-C7B1-47D3-B67F-A62EFF666E3E}">
          <x14:id>{DA12D058-D05A-4E32-875A-17268BECFB7A}</x14:id>
        </ext>
      </extLst>
    </cfRule>
  </conditionalFormatting>
  <conditionalFormatting sqref="H9:H49">
    <cfRule type="cellIs" priority="3" operator="lessThan" aboveAverage="0" equalAverage="0" bottom="0" percent="0" rank="0" text="" dxfId="5">
      <formula>0</formula>
    </cfRule>
  </conditionalFormatting>
  <dataValidations count="1">
    <dataValidation allowBlank="false" errorStyle="stop" operator="between" showDropDown="false" showErrorMessage="true" showInputMessage="false" sqref="C5:C6" type="list">
      <formula1>FY_List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A12D058-D05A-4E32-875A-17268BECFB7A}">
            <x14:dataBar minLength="10" maxLength="90" axisPosition="none" gradient="true">
              <x14:cfvo type="num">
                <xm:f>0</xm:f>
              </x14:cfvo>
              <x14:cfvo type="num">
                <xm:f>1</xm:f>
              </x14:cfvo>
              <x14:negativeFillColor rgb="FF8DB4E2"/>
              <x14:axisColor rgb="FF000000"/>
            </x14:dataBar>
          </x14:cfRule>
          <xm:sqref>C9:E49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5" min="3" style="0" width="14"/>
    <col collapsed="false" customWidth="true" hidden="false" outlineLevel="0" max="7" min="6" style="0" width="13"/>
    <col collapsed="false" customWidth="true" hidden="false" outlineLevel="0" max="10" min="8" style="0" width="12"/>
  </cols>
  <sheetData>
    <row r="1" customFormat="false" ht="24" hidden="false" customHeight="true" outlineLevel="0" collapsed="false">
      <c r="B1" s="17" t="s">
        <v>390</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391</v>
      </c>
    </row>
    <row r="5" customFormat="false" ht="30" hidden="false" customHeight="true" outlineLevel="0" collapsed="false">
      <c r="B5" s="49" t="s">
        <v>130</v>
      </c>
      <c r="C5" s="35" t="n">
        <f aca="false">Inputs!D$22</f>
        <v>2023</v>
      </c>
      <c r="D5" s="35" t="n">
        <f aca="false">Inputs!E$22</f>
        <v>2024</v>
      </c>
      <c r="E5" s="35" t="n">
        <f aca="false">Inputs!F$22</f>
        <v>2025</v>
      </c>
      <c r="F5" s="36" t="s">
        <v>392</v>
      </c>
      <c r="G5" s="36" t="s">
        <v>393</v>
      </c>
      <c r="H5" s="36" t="s">
        <v>394</v>
      </c>
      <c r="I5" s="36" t="s">
        <v>395</v>
      </c>
      <c r="J5" s="36" t="s">
        <v>396</v>
      </c>
    </row>
    <row r="6" customFormat="false" ht="15" hidden="false" customHeight="false" outlineLevel="0" collapsed="false">
      <c r="B6" s="39" t="s">
        <v>133</v>
      </c>
      <c r="C6" s="44" t="n">
        <f aca="false">Income_Statement!D7</f>
        <v>821118</v>
      </c>
      <c r="D6" s="44" t="n">
        <f aca="false">Income_Statement!E7</f>
        <v>897238</v>
      </c>
      <c r="E6" s="44" t="n">
        <f aca="false">Income_Statement!F7</f>
        <v>972442</v>
      </c>
      <c r="F6" s="51" t="n">
        <f aca="false">IFERROR(D6/C6*100,0)</f>
        <v>109.270287583514</v>
      </c>
      <c r="G6" s="51" t="n">
        <f aca="false">IFERROR(E6/C6*100,0)</f>
        <v>118.429019945976</v>
      </c>
      <c r="H6" s="50" t="n">
        <f aca="false">IFERROR(D6/C6-1,0)</f>
        <v>0.0927028758351418</v>
      </c>
      <c r="I6" s="50" t="n">
        <f aca="false">IFERROR(E6/D6-1,0)</f>
        <v>0.0838172257528103</v>
      </c>
      <c r="J6" s="50" t="n">
        <f aca="false">IFERROR((E6/C6)^(1/(E$5-C$5))-1,0)</f>
        <v>0.0882509818326658</v>
      </c>
    </row>
    <row r="7" customFormat="false" ht="15" hidden="false" customHeight="false" outlineLevel="0" collapsed="false">
      <c r="B7" s="39" t="s">
        <v>137</v>
      </c>
      <c r="C7" s="44" t="n">
        <f aca="false">Income_Statement!D9</f>
        <v>207141</v>
      </c>
      <c r="D7" s="44" t="n">
        <f aca="false">Income_Statement!E9</f>
        <v>228680</v>
      </c>
      <c r="E7" s="44" t="n">
        <f aca="false">Income_Statement!F9</f>
        <v>249894</v>
      </c>
      <c r="F7" s="51" t="n">
        <f aca="false">IFERROR(D7/C7*100,0)</f>
        <v>110.398231156555</v>
      </c>
      <c r="G7" s="51" t="n">
        <f aca="false">IFERROR(E7/C7*100,0)</f>
        <v>120.639564354715</v>
      </c>
      <c r="H7" s="50" t="n">
        <f aca="false">IFERROR(D7/C7-1,0)</f>
        <v>0.103982311565552</v>
      </c>
      <c r="I7" s="50" t="n">
        <f aca="false">IFERROR(E7/D7-1,0)</f>
        <v>0.0927671855868462</v>
      </c>
      <c r="J7" s="50" t="n">
        <f aca="false">IFERROR((E7/C7)^(1/(E$5-C$5))-1,0)</f>
        <v>0.0983604342596964</v>
      </c>
    </row>
    <row r="8" customFormat="false" ht="15" hidden="false" customHeight="false" outlineLevel="0" collapsed="false">
      <c r="B8" s="39" t="s">
        <v>121</v>
      </c>
      <c r="C8" s="44" t="n">
        <f aca="false">Income_Statement!D24</f>
        <v>57360</v>
      </c>
      <c r="D8" s="44" t="n">
        <f aca="false">Income_Statement!E24</f>
        <v>68923</v>
      </c>
      <c r="E8" s="44" t="n">
        <f aca="false">Income_Statement!F24</f>
        <v>82040</v>
      </c>
      <c r="F8" s="51" t="n">
        <f aca="false">IFERROR(D8/C8*100,0)</f>
        <v>120.158647140865</v>
      </c>
      <c r="G8" s="51" t="n">
        <f aca="false">IFERROR(E8/C8*100,0)</f>
        <v>143.02649930265</v>
      </c>
      <c r="H8" s="50" t="n">
        <f aca="false">IFERROR(D8/C8-1,0)</f>
        <v>0.201586471408647</v>
      </c>
      <c r="I8" s="50" t="n">
        <f aca="false">IFERROR(E8/D8-1,0)</f>
        <v>0.190313828475255</v>
      </c>
      <c r="J8" s="50" t="n">
        <f aca="false">IFERROR((E8/C8)^(1/(E$5-C$5))-1,0)</f>
        <v>0.195936868328132</v>
      </c>
    </row>
    <row r="9" customFormat="false" ht="15" hidden="false" customHeight="false" outlineLevel="0" collapsed="false">
      <c r="B9" s="39" t="s">
        <v>141</v>
      </c>
      <c r="C9" s="44" t="n">
        <f aca="false">Income_Statement!D13</f>
        <v>38221</v>
      </c>
      <c r="D9" s="44" t="n">
        <f aca="false">Income_Statement!E13</f>
        <v>48303</v>
      </c>
      <c r="E9" s="44" t="n">
        <f aca="false">Income_Statement!F13</f>
        <v>58733</v>
      </c>
      <c r="F9" s="51" t="n">
        <f aca="false">IFERROR(D9/C9*100,0)</f>
        <v>126.37816906936</v>
      </c>
      <c r="G9" s="51" t="n">
        <f aca="false">IFERROR(E9/C9*100,0)</f>
        <v>153.66683236964</v>
      </c>
      <c r="H9" s="50" t="n">
        <f aca="false">IFERROR(D9/C9-1,0)</f>
        <v>0.263781690693598</v>
      </c>
      <c r="I9" s="50" t="n">
        <f aca="false">IFERROR(E9/D9-1,0)</f>
        <v>0.215928617270149</v>
      </c>
      <c r="J9" s="50" t="n">
        <f aca="false">IFERROR((E9/C9)^(1/(E$5-C$5))-1,0)</f>
        <v>0.239624267145653</v>
      </c>
    </row>
    <row r="10" customFormat="false" ht="15" hidden="false" customHeight="false" outlineLevel="0" collapsed="false">
      <c r="B10" s="39" t="s">
        <v>397</v>
      </c>
      <c r="C10" s="44" t="n">
        <f aca="false">Income_Statement!D20</f>
        <v>22482</v>
      </c>
      <c r="D10" s="44" t="n">
        <f aca="false">Income_Statement!E20</f>
        <v>29009</v>
      </c>
      <c r="E10" s="44" t="n">
        <f aca="false">Income_Statement!F20</f>
        <v>37406</v>
      </c>
      <c r="F10" s="51" t="n">
        <f aca="false">IFERROR(D10/C10*100,0)</f>
        <v>129.032114580553</v>
      </c>
      <c r="G10" s="51" t="n">
        <f aca="false">IFERROR(E10/C10*100,0)</f>
        <v>166.381994484476</v>
      </c>
      <c r="H10" s="50" t="n">
        <f aca="false">IFERROR(D10/C10-1,0)</f>
        <v>0.290321145805533</v>
      </c>
      <c r="I10" s="50" t="n">
        <f aca="false">IFERROR(E10/D10-1,0)</f>
        <v>0.289461891137233</v>
      </c>
      <c r="J10" s="50" t="n">
        <f aca="false">IFERROR((E10/C10)^(1/(E$5-C$5))-1,0)</f>
        <v>0.289891446922866</v>
      </c>
    </row>
    <row r="11" customFormat="false" ht="15" hidden="false" customHeight="false" outlineLevel="0" collapsed="false">
      <c r="B11" s="39" t="s">
        <v>398</v>
      </c>
      <c r="C11" s="44" t="n">
        <f aca="false">Balance_Sheet!D17</f>
        <v>415175</v>
      </c>
      <c r="D11" s="44" t="n">
        <f aca="false">Balance_Sheet!E17</f>
        <v>461894</v>
      </c>
      <c r="E11" s="44" t="n">
        <f aca="false">Balance_Sheet!F17</f>
        <v>478465</v>
      </c>
      <c r="F11" s="51" t="n">
        <f aca="false">IFERROR(D11/C11*100,0)</f>
        <v>111.252845185765</v>
      </c>
      <c r="G11" s="51" t="n">
        <f aca="false">IFERROR(E11/C11*100,0)</f>
        <v>115.244174143433</v>
      </c>
      <c r="H11" s="50" t="n">
        <f aca="false">IFERROR(D11/C11-1,0)</f>
        <v>0.11252845185765</v>
      </c>
      <c r="I11" s="50" t="n">
        <f aca="false">IFERROR(E11/D11-1,0)</f>
        <v>0.0358761967031396</v>
      </c>
      <c r="J11" s="50" t="n">
        <f aca="false">IFERROR((E11/C11)^(1/(E$5-C$5))-1,0)</f>
        <v>0.0735183936171446</v>
      </c>
    </row>
    <row r="12" customFormat="false" ht="15" hidden="false" customHeight="false" outlineLevel="0" collapsed="false">
      <c r="B12" s="39" t="s">
        <v>186</v>
      </c>
      <c r="C12" s="44" t="n">
        <f aca="false">Balance_Sheet!D34</f>
        <v>196561</v>
      </c>
      <c r="D12" s="44" t="n">
        <f aca="false">Balance_Sheet!E34</f>
        <v>218318</v>
      </c>
      <c r="E12" s="44" t="n">
        <f aca="false">Balance_Sheet!F34</f>
        <v>244502</v>
      </c>
      <c r="F12" s="51" t="n">
        <f aca="false">IFERROR(D12/C12*100,0)</f>
        <v>111.068828506163</v>
      </c>
      <c r="G12" s="51" t="n">
        <f aca="false">IFERROR(E12/C12*100,0)</f>
        <v>124.389884056349</v>
      </c>
      <c r="H12" s="50" t="n">
        <f aca="false">IFERROR(D12/C12-1,0)</f>
        <v>0.110688285061635</v>
      </c>
      <c r="I12" s="50" t="n">
        <f aca="false">IFERROR(E12/D12-1,0)</f>
        <v>0.119935140483148</v>
      </c>
      <c r="J12" s="50" t="n">
        <f aca="false">IFERROR((E12/C12)^(1/(E$5-C$5))-1,0)</f>
        <v>0.115302129722475</v>
      </c>
    </row>
    <row r="13" customFormat="false" ht="15" hidden="false" customHeight="false" outlineLevel="0" collapsed="false">
      <c r="B13" s="39" t="s">
        <v>278</v>
      </c>
      <c r="C13" s="44" t="n">
        <f aca="false">Schedules!D87</f>
        <v>136000</v>
      </c>
      <c r="D13" s="44" t="n">
        <f aca="false">Schedules!E87</f>
        <v>152000</v>
      </c>
      <c r="E13" s="44" t="n">
        <f aca="false">Schedules!F87</f>
        <v>133000</v>
      </c>
      <c r="F13" s="51" t="n">
        <f aca="false">IFERROR(D13/C13*100,0)</f>
        <v>111.764705882353</v>
      </c>
      <c r="G13" s="51" t="n">
        <f aca="false">IFERROR(E13/C13*100,0)</f>
        <v>97.7941176470588</v>
      </c>
      <c r="H13" s="50" t="n">
        <f aca="false">IFERROR(D13/C13-1,0)</f>
        <v>0.117647058823529</v>
      </c>
      <c r="I13" s="50" t="n">
        <f aca="false">IFERROR(E13/D13-1,0)</f>
        <v>-0.125</v>
      </c>
      <c r="J13" s="50" t="n">
        <f aca="false">IFERROR((E13/C13)^(1/(E$5-C$5))-1,0)</f>
        <v>-0.0110909159732689</v>
      </c>
    </row>
    <row r="14" customFormat="false" ht="15" hidden="false" customHeight="false" outlineLevel="0" collapsed="false">
      <c r="B14" s="39" t="s">
        <v>399</v>
      </c>
      <c r="C14" s="44" t="n">
        <f aca="false">Cash_Flow!D22</f>
        <v>32237</v>
      </c>
      <c r="D14" s="44" t="n">
        <f aca="false">Cash_Flow!E22</f>
        <v>44246</v>
      </c>
      <c r="E14" s="44" t="n">
        <f aca="false">Cash_Flow!F22</f>
        <v>57760</v>
      </c>
      <c r="F14" s="51" t="n">
        <f aca="false">IFERROR(D14/C14*100,0)</f>
        <v>137.252225703384</v>
      </c>
      <c r="G14" s="51" t="n">
        <f aca="false">IFERROR(E14/C14*100,0)</f>
        <v>179.17299996898</v>
      </c>
      <c r="H14" s="50" t="n">
        <f aca="false">IFERROR(D14/C14-1,0)</f>
        <v>0.372522257033843</v>
      </c>
      <c r="I14" s="50" t="n">
        <f aca="false">IFERROR(E14/D14-1,0)</f>
        <v>0.305428739321069</v>
      </c>
      <c r="J14" s="50" t="n">
        <f aca="false">IFERROR((E14/C14)^(1/(E$5-C$5))-1,0)</f>
        <v>0.338555191125789</v>
      </c>
    </row>
    <row r="16" customFormat="false" ht="15" hidden="false" customHeight="false" outlineLevel="0" collapsed="false">
      <c r="B16" s="12" t="s">
        <v>400</v>
      </c>
      <c r="C16" s="13"/>
      <c r="D16" s="13"/>
      <c r="E16" s="13"/>
      <c r="F16" s="13"/>
      <c r="G16" s="13"/>
      <c r="H16" s="13"/>
      <c r="I16" s="13"/>
      <c r="J16" s="13"/>
    </row>
    <row r="17" customFormat="false" ht="30" hidden="false" customHeight="true" outlineLevel="0" collapsed="false">
      <c r="B17" s="49" t="s">
        <v>130</v>
      </c>
      <c r="C17" s="34"/>
      <c r="D17" s="36"/>
      <c r="E17" s="36"/>
      <c r="F17" s="36" t="str">
        <f aca="false">"FY"&amp;(E$5+1)&amp;" (FORECAST)"</f>
        <v>FY2026 (FORECAST)</v>
      </c>
      <c r="G17" s="36" t="str">
        <f aca="false">"FY"&amp;(E$5+2)&amp;" (FORECAST)"</f>
        <v>FY2027 (FORECAST)</v>
      </c>
      <c r="H17" s="36" t="str">
        <f aca="false">"FY"&amp;(E$5+1)&amp;" (CAGR)"</f>
        <v>FY2026 (CAGR)</v>
      </c>
      <c r="I17" s="36" t="str">
        <f aca="false">"FY"&amp;(E$5+2)&amp;" (CAGR)"</f>
        <v>FY2027 (CAGR)</v>
      </c>
      <c r="J17" s="36" t="str">
        <f aca="false">"FY"&amp;(E$5+1)&amp;" (TREND)"</f>
        <v>FY2026 (TREND)</v>
      </c>
    </row>
    <row r="18" customFormat="false" ht="15" hidden="false" customHeight="false" outlineLevel="0" collapsed="false">
      <c r="B18" s="39" t="s">
        <v>133</v>
      </c>
      <c r="F18" s="40" t="n">
        <f aca="false">FORECAST(E$5+1,$C6:$E6,$C$5:$E$5)</f>
        <v>1048256.66666667</v>
      </c>
      <c r="G18" s="40" t="n">
        <f aca="false">FORECAST(E$5+2,$C6:$E6,$C$5:$E$5)</f>
        <v>1123918.66666667</v>
      </c>
      <c r="H18" s="40" t="n">
        <f aca="false">E6*(1+J6)</f>
        <v>1058260.96127532</v>
      </c>
      <c r="I18" s="40" t="n">
        <f aca="false">E6*(1+J6)^2</f>
        <v>1151653.53014305</v>
      </c>
      <c r="J18" s="40" t="n">
        <f aca="false">TREND($C6:$E6,$C$5:$E$5,E$5+1)</f>
        <v>1048256.66666666</v>
      </c>
    </row>
    <row r="19" customFormat="false" ht="15" hidden="false" customHeight="false" outlineLevel="0" collapsed="false">
      <c r="B19" s="39" t="s">
        <v>137</v>
      </c>
      <c r="F19" s="40" t="n">
        <f aca="false">FORECAST(E$5+1,$C7:$E7,$C$5:$E$5)</f>
        <v>271324.666666667</v>
      </c>
      <c r="G19" s="40" t="n">
        <f aca="false">FORECAST(E$5+2,$C7:$E7,$C$5:$E$5)</f>
        <v>292701.166666667</v>
      </c>
      <c r="H19" s="40" t="n">
        <f aca="false">E7*(1+J7)</f>
        <v>274473.682358893</v>
      </c>
      <c r="I19" s="40" t="n">
        <f aca="false">E7*(1+J7)^2</f>
        <v>301471.032948571</v>
      </c>
      <c r="J19" s="40" t="n">
        <f aca="false">TREND($C7:$E7,$C$5:$E$5,E$5+1)</f>
        <v>271324.666666664</v>
      </c>
    </row>
    <row r="20" customFormat="false" ht="15" hidden="false" customHeight="false" outlineLevel="0" collapsed="false">
      <c r="B20" s="39" t="s">
        <v>121</v>
      </c>
      <c r="F20" s="40" t="n">
        <f aca="false">FORECAST(E$5+1,$C8:$E8,$C$5:$E$5)</f>
        <v>94121</v>
      </c>
      <c r="G20" s="40" t="n">
        <f aca="false">FORECAST(E$5+2,$C8:$E8,$C$5:$E$5)</f>
        <v>106461</v>
      </c>
      <c r="H20" s="40" t="n">
        <f aca="false">E8*(1+J8)</f>
        <v>98114.6606776399</v>
      </c>
      <c r="I20" s="40" t="n">
        <f aca="false">E8*(1+J8)^2</f>
        <v>117338.940027894</v>
      </c>
      <c r="J20" s="40" t="n">
        <f aca="false">TREND($C8:$E8,$C$5:$E$5,E$5+1)</f>
        <v>94121</v>
      </c>
    </row>
    <row r="21" customFormat="false" ht="15" hidden="false" customHeight="false" outlineLevel="0" collapsed="false">
      <c r="B21" s="39" t="s">
        <v>141</v>
      </c>
      <c r="F21" s="40" t="n">
        <f aca="false">FORECAST(E$5+1,$C9:$E9,$C$5:$E$5)</f>
        <v>68931</v>
      </c>
      <c r="G21" s="40" t="n">
        <f aca="false">FORECAST(E$5+2,$C9:$E9,$C$5:$E$5)</f>
        <v>79187</v>
      </c>
      <c r="H21" s="40" t="n">
        <f aca="false">E9*(1+J9)</f>
        <v>72806.8520822656</v>
      </c>
      <c r="I21" s="40" t="n">
        <f aca="false">E9*(1+J9)^2</f>
        <v>90253.1406556605</v>
      </c>
      <c r="J21" s="40" t="n">
        <f aca="false">TREND($C9:$E9,$C$5:$E$5,E$5+1)</f>
        <v>68931</v>
      </c>
    </row>
    <row r="22" customFormat="false" ht="15" hidden="false" customHeight="false" outlineLevel="0" collapsed="false">
      <c r="B22" s="39" t="s">
        <v>397</v>
      </c>
      <c r="F22" s="40" t="n">
        <f aca="false">FORECAST(E$5+1,$C10:$E10,$C$5:$E$5)</f>
        <v>44556.3333333333</v>
      </c>
      <c r="G22" s="40" t="n">
        <f aca="false">FORECAST(E$5+2,$C10:$E10,$C$5:$E$5)</f>
        <v>52018.3333333333</v>
      </c>
      <c r="H22" s="40" t="n">
        <f aca="false">E10*(1+J10)</f>
        <v>48249.6794635967</v>
      </c>
      <c r="I22" s="40" t="n">
        <f aca="false">E10*(1+J10)^2</f>
        <v>62236.8488568633</v>
      </c>
      <c r="J22" s="40" t="n">
        <f aca="false">TREND($C10:$E10,$C$5:$E$5,E$5+1)</f>
        <v>44556.333333334</v>
      </c>
    </row>
    <row r="23" customFormat="false" ht="15" hidden="false" customHeight="false" outlineLevel="0" collapsed="false">
      <c r="B23" s="39" t="s">
        <v>398</v>
      </c>
      <c r="F23" s="40" t="n">
        <f aca="false">FORECAST(E$5+1,$C11:$E11,$C$5:$E$5)</f>
        <v>515134.666666667</v>
      </c>
      <c r="G23" s="40" t="n">
        <f aca="false">FORECAST(E$5+2,$C11:$E11,$C$5:$E$5)</f>
        <v>546779.666666667</v>
      </c>
      <c r="H23" s="40" t="n">
        <f aca="false">E11*(1+J11)</f>
        <v>513640.978202027</v>
      </c>
      <c r="I23" s="40" t="n">
        <f aca="false">E11*(1+J11)^2</f>
        <v>551403.037815379</v>
      </c>
      <c r="J23" s="40" t="n">
        <f aca="false">TREND($C11:$E11,$C$5:$E$5,E$5+1)</f>
        <v>515134.666666664</v>
      </c>
    </row>
    <row r="24" customFormat="false" ht="15" hidden="false" customHeight="false" outlineLevel="0" collapsed="false">
      <c r="B24" s="39" t="s">
        <v>186</v>
      </c>
      <c r="F24" s="40" t="n">
        <f aca="false">FORECAST(E$5+1,$C12:$E12,$C$5:$E$5)</f>
        <v>267734.666666667</v>
      </c>
      <c r="G24" s="40" t="n">
        <f aca="false">FORECAST(E$5+2,$C12:$E12,$C$5:$E$5)</f>
        <v>291705.166666667</v>
      </c>
      <c r="H24" s="40" t="n">
        <f aca="false">E12*(1+J12)</f>
        <v>272693.601321405</v>
      </c>
      <c r="I24" s="40" t="n">
        <f aca="false">E12*(1+J12)^2</f>
        <v>304135.754315454</v>
      </c>
      <c r="J24" s="40" t="n">
        <f aca="false">TREND($C12:$E12,$C$5:$E$5,E$5+1)</f>
        <v>267734.666666664</v>
      </c>
    </row>
    <row r="25" customFormat="false" ht="15" hidden="false" customHeight="false" outlineLevel="0" collapsed="false">
      <c r="B25" s="39" t="s">
        <v>278</v>
      </c>
      <c r="F25" s="40" t="n">
        <f aca="false">FORECAST(E$5+1,$C13:$E13,$C$5:$E$5)</f>
        <v>137333.333333333</v>
      </c>
      <c r="G25" s="40" t="n">
        <f aca="false">FORECAST(E$5+2,$C13:$E13,$C$5:$E$5)</f>
        <v>135833.333333333</v>
      </c>
      <c r="H25" s="40" t="n">
        <f aca="false">E13*(1+J13)</f>
        <v>131524.908175555</v>
      </c>
      <c r="I25" s="40" t="n">
        <f aca="false">E13*(1+J13)^2</f>
        <v>130066.176470588</v>
      </c>
      <c r="J25" s="40" t="n">
        <f aca="false">TREND($C13:$E13,$C$5:$E$5,E$5+1)</f>
        <v>137333.333333334</v>
      </c>
    </row>
    <row r="26" customFormat="false" ht="15" hidden="false" customHeight="false" outlineLevel="0" collapsed="false">
      <c r="B26" s="39" t="s">
        <v>399</v>
      </c>
      <c r="F26" s="40" t="n">
        <f aca="false">FORECAST(E$5+1,$C14:$E14,$C$5:$E$5)</f>
        <v>70270.6666666667</v>
      </c>
      <c r="G26" s="40" t="n">
        <f aca="false">FORECAST(E$5+2,$C14:$E14,$C$5:$E$5)</f>
        <v>83032.1666666667</v>
      </c>
      <c r="H26" s="40" t="n">
        <f aca="false">E14*(1+J14)</f>
        <v>77314.9478394256</v>
      </c>
      <c r="I26" s="40" t="n">
        <f aca="false">E14*(1+J14)^2</f>
        <v>103490.324782083</v>
      </c>
      <c r="J26" s="40" t="n">
        <f aca="false">TREND($C14:$E14,$C$5:$E$5,E$5+1)</f>
        <v>70270.6666666679</v>
      </c>
    </row>
    <row r="28" customFormat="false" ht="15" hidden="false" customHeight="false" outlineLevel="0" collapsed="false">
      <c r="B28" s="52" t="s">
        <v>401</v>
      </c>
    </row>
  </sheetData>
  <conditionalFormatting sqref="F6:G14">
    <cfRule type="colorScale" priority="2">
      <colorScale>
        <cfvo type="num" val="80"/>
        <cfvo type="num" val="100"/>
        <cfvo type="num" val="140"/>
        <color rgb="FFF8CBAD"/>
        <color rgb="FFFFFFFF"/>
        <color rgb="FFA9D08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5" min="3" style="0" width="15"/>
    <col collapsed="false" customWidth="true" hidden="false" outlineLevel="0" max="6" min="6" style="0" width="12"/>
    <col collapsed="false" customWidth="true" hidden="false" outlineLevel="0" max="8" min="7" style="0" width="15"/>
    <col collapsed="false" customWidth="true" hidden="false" outlineLevel="0" max="9" min="9" style="0" width="14"/>
    <col collapsed="false" customWidth="true" hidden="false" outlineLevel="0" max="10" min="10" style="0" width="3"/>
  </cols>
  <sheetData>
    <row r="1" customFormat="false" ht="24" hidden="false" customHeight="true" outlineLevel="0" collapsed="false">
      <c r="B1" s="17" t="s">
        <v>67</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402</v>
      </c>
    </row>
    <row r="5" customFormat="false" ht="15" hidden="false" customHeight="false" outlineLevel="0" collapsed="false">
      <c r="B5" s="8" t="s">
        <v>117</v>
      </c>
      <c r="C5" s="63" t="n">
        <v>2025</v>
      </c>
      <c r="E5" s="8" t="s">
        <v>403</v>
      </c>
      <c r="G5" s="66" t="n">
        <f aca="false">SUMPRODUCT((Sales_Year=Rev_Year)*(((Rev_Cat="All")+(Sales_Cat=Rev_Cat))&gt;0)*(((Rev_Region="All")+(Sales_Region=Rev_Region))&gt;0)*((Rev_Idx=1)*Sales_Net+(Rev_Idx=2)*Sales_COGS+(Rev_Idx=3)*Sales_GP))</f>
        <v>972442</v>
      </c>
    </row>
    <row r="6" customFormat="false" ht="15" hidden="false" customHeight="false" outlineLevel="0" collapsed="false">
      <c r="B6" s="8" t="s">
        <v>404</v>
      </c>
      <c r="C6" s="67" t="s">
        <v>405</v>
      </c>
      <c r="E6" s="68" t="s">
        <v>406</v>
      </c>
      <c r="G6" s="69" t="n">
        <f aca="false">SUMPRODUCT((Sales_Year=Rev_Year-1)*(((Rev_Cat="All")+(Sales_Cat=Rev_Cat))&gt;0)*(((Rev_Region="All")+(Sales_Region=Rev_Region))&gt;0)*((Rev_Idx=1)*Sales_Net+(Rev_Idx=2)*Sales_COGS+(Rev_Idx=3)*Sales_GP))</f>
        <v>897238</v>
      </c>
    </row>
    <row r="7" customFormat="false" ht="15" hidden="false" customHeight="false" outlineLevel="0" collapsed="false">
      <c r="B7" s="8" t="s">
        <v>407</v>
      </c>
      <c r="C7" s="67" t="s">
        <v>405</v>
      </c>
      <c r="E7" s="68" t="s">
        <v>408</v>
      </c>
      <c r="G7" s="70" t="n">
        <f aca="false">IF(G6=0,"n/a",G5/G6-1)</f>
        <v>0.0838172257528103</v>
      </c>
    </row>
    <row r="8" customFormat="false" ht="15" hidden="false" customHeight="false" outlineLevel="0" collapsed="false">
      <c r="B8" s="8" t="s">
        <v>409</v>
      </c>
      <c r="C8" s="67" t="s">
        <v>410</v>
      </c>
      <c r="E8" s="68" t="s">
        <v>411</v>
      </c>
      <c r="G8" s="69" t="n">
        <f aca="false">G5/12</f>
        <v>81036.8333333333</v>
      </c>
    </row>
    <row r="9" customFormat="false" ht="15" hidden="false" customHeight="false" outlineLevel="0" collapsed="false">
      <c r="B9" s="52" t="s">
        <v>412</v>
      </c>
      <c r="C9" s="71" t="n">
        <f aca="false">MATCH(Rev_Metric,Metric_List,0)</f>
        <v>1</v>
      </c>
      <c r="E9" s="68" t="s">
        <v>413</v>
      </c>
      <c r="G9" s="72" t="n">
        <f aca="false">G5/NETWORKDAYS(DATE(Rev_Year,1,1),DATE(Rev_Year,12,31))</f>
        <v>3725.83141762452</v>
      </c>
    </row>
    <row r="12" customFormat="false" ht="30" hidden="false" customHeight="true" outlineLevel="0" collapsed="false">
      <c r="B12" s="49" t="s">
        <v>414</v>
      </c>
      <c r="C12" s="36" t="s">
        <v>415</v>
      </c>
      <c r="D12" s="36" t="s">
        <v>416</v>
      </c>
      <c r="E12" s="36" t="s">
        <v>406</v>
      </c>
      <c r="F12" s="36" t="s">
        <v>417</v>
      </c>
      <c r="G12" s="36" t="s">
        <v>418</v>
      </c>
      <c r="H12" s="36" t="s">
        <v>419</v>
      </c>
      <c r="I12" s="36" t="s">
        <v>420</v>
      </c>
    </row>
    <row r="13" customFormat="false" ht="15" hidden="false" customHeight="false" outlineLevel="0" collapsed="false">
      <c r="B13" s="39" t="str">
        <f aca="false">TEXT(C13,"mmmm")</f>
        <v>January</v>
      </c>
      <c r="C13" s="73" t="n">
        <f aca="false">EOMONTH(DATE(Rev_Year,1,1),0)</f>
        <v>45688</v>
      </c>
      <c r="D13" s="40" t="n">
        <f aca="false">SUMPRODUCT((Sales_Date=$C13)*(((Rev_Cat="All")+(Sales_Cat=Rev_Cat))&gt;0)*(((Rev_Region="All")+(Sales_Region=Rev_Region))&gt;0)*((Rev_Idx=1)*Sales_Net+(Rev_Idx=2)*Sales_COGS+(Rev_Idx=3)*Sales_GP))</f>
        <v>74463</v>
      </c>
      <c r="E13" s="40" t="n">
        <f aca="false">SUMPRODUCT((Sales_Date=EOMONTH($C13,-12))*(((Rev_Cat="All")+(Sales_Cat=Rev_Cat))&gt;0)*(((Rev_Region="All")+(Sales_Region=Rev_Region))&gt;0)*((Rev_Idx=1)*Sales_Net+(Rev_Idx=2)*Sales_COGS+(Rev_Idx=3)*Sales_GP))</f>
        <v>68174</v>
      </c>
      <c r="F13" s="70" t="n">
        <f aca="false">IF(E13=0,"n/a",D13/E13-1)</f>
        <v>0.0922492445800451</v>
      </c>
      <c r="G13" s="74" t="s">
        <v>421</v>
      </c>
      <c r="H13" s="40" t="n">
        <f aca="false">SUM($D$13:D13)</f>
        <v>74463</v>
      </c>
      <c r="I13" s="61" t="str">
        <f aca="false">IF(D13&gt;=PERCENTILE($D$13:$D$24,0.75),"▲ Peak",IF(D13&lt;=PERCENTILE($D$13:$D$24,0.25),"▼ Low",""))</f>
        <v>▼ Low</v>
      </c>
    </row>
    <row r="14" customFormat="false" ht="15" hidden="false" customHeight="false" outlineLevel="0" collapsed="false">
      <c r="B14" s="39" t="str">
        <f aca="false">TEXT(C14,"mmmm")</f>
        <v>February</v>
      </c>
      <c r="C14" s="73" t="n">
        <f aca="false">EOMONTH(C13,1)</f>
        <v>45716</v>
      </c>
      <c r="D14" s="40" t="n">
        <f aca="false">SUMPRODUCT((Sales_Date=$C14)*(((Rev_Cat="All")+(Sales_Cat=Rev_Cat))&gt;0)*(((Rev_Region="All")+(Sales_Region=Rev_Region))&gt;0)*((Rev_Idx=1)*Sales_Net+(Rev_Idx=2)*Sales_COGS+(Rev_Idx=3)*Sales_GP))</f>
        <v>71689</v>
      </c>
      <c r="E14" s="40" t="n">
        <f aca="false">SUMPRODUCT((Sales_Date=EOMONTH($C14,-12))*(((Rev_Cat="All")+(Sales_Cat=Rev_Cat))&gt;0)*(((Rev_Region="All")+(Sales_Region=Rev_Region))&gt;0)*((Rev_Idx=1)*Sales_Net+(Rev_Idx=2)*Sales_COGS+(Rev_Idx=3)*Sales_GP))</f>
        <v>66369</v>
      </c>
      <c r="F14" s="70" t="n">
        <f aca="false">IF(E14=0,"n/a",D14/E14-1)</f>
        <v>0.0801579050460306</v>
      </c>
      <c r="G14" s="74" t="s">
        <v>421</v>
      </c>
      <c r="H14" s="40" t="n">
        <f aca="false">SUM($D$13:D14)</f>
        <v>146152</v>
      </c>
      <c r="I14" s="61" t="str">
        <f aca="false">IF(D14&gt;=PERCENTILE($D$13:$D$24,0.75),"▲ Peak",IF(D14&lt;=PERCENTILE($D$13:$D$24,0.25),"▼ Low",""))</f>
        <v>▼ Low</v>
      </c>
    </row>
    <row r="15" customFormat="false" ht="15" hidden="false" customHeight="false" outlineLevel="0" collapsed="false">
      <c r="B15" s="39" t="str">
        <f aca="false">TEXT(C15,"mmmm")</f>
        <v>March</v>
      </c>
      <c r="C15" s="73" t="n">
        <f aca="false">EOMONTH(C14,1)</f>
        <v>45747</v>
      </c>
      <c r="D15" s="40" t="n">
        <f aca="false">SUMPRODUCT((Sales_Date=$C15)*(((Rev_Cat="All")+(Sales_Cat=Rev_Cat))&gt;0)*(((Rev_Region="All")+(Sales_Region=Rev_Region))&gt;0)*((Rev_Idx=1)*Sales_Net+(Rev_Idx=2)*Sales_COGS+(Rev_Idx=3)*Sales_GP))</f>
        <v>77757</v>
      </c>
      <c r="E15" s="40" t="n">
        <f aca="false">SUMPRODUCT((Sales_Date=EOMONTH($C15,-12))*(((Rev_Cat="All")+(Sales_Cat=Rev_Cat))&gt;0)*(((Rev_Region="All")+(Sales_Region=Rev_Region))&gt;0)*((Rev_Idx=1)*Sales_Net+(Rev_Idx=2)*Sales_COGS+(Rev_Idx=3)*Sales_GP))</f>
        <v>72523</v>
      </c>
      <c r="F15" s="70" t="n">
        <f aca="false">IF(E15=0,"n/a",D15/E15-1)</f>
        <v>0.072170208071922</v>
      </c>
      <c r="G15" s="40" t="n">
        <f aca="true">AVERAGE(OFFSET(D15,-2,0,3,1))</f>
        <v>74636.3333333333</v>
      </c>
      <c r="H15" s="40" t="n">
        <f aca="false">SUM($D$13:D15)</f>
        <v>223909</v>
      </c>
      <c r="I15" s="61" t="str">
        <f aca="false">IF(D15&gt;=PERCENTILE($D$13:$D$24,0.75),"▲ Peak",IF(D15&lt;=PERCENTILE($D$13:$D$24,0.25),"▼ Low",""))</f>
        <v>▼ Low</v>
      </c>
    </row>
    <row r="16" customFormat="false" ht="15" hidden="false" customHeight="false" outlineLevel="0" collapsed="false">
      <c r="B16" s="39" t="str">
        <f aca="false">TEXT(C16,"mmmm")</f>
        <v>April</v>
      </c>
      <c r="C16" s="73" t="n">
        <f aca="false">EOMONTH(C15,1)</f>
        <v>45777</v>
      </c>
      <c r="D16" s="40" t="n">
        <f aca="false">SUMPRODUCT((Sales_Date=$C16)*(((Rev_Cat="All")+(Sales_Cat=Rev_Cat))&gt;0)*(((Rev_Region="All")+(Sales_Region=Rev_Region))&gt;0)*((Rev_Idx=1)*Sales_Net+(Rev_Idx=2)*Sales_COGS+(Rev_Idx=3)*Sales_GP))</f>
        <v>79023</v>
      </c>
      <c r="E16" s="40" t="n">
        <f aca="false">SUMPRODUCT((Sales_Date=EOMONTH($C16,-12))*(((Rev_Cat="All")+(Sales_Cat=Rev_Cat))&gt;0)*(((Rev_Region="All")+(Sales_Region=Rev_Region))&gt;0)*((Rev_Idx=1)*Sales_Net+(Rev_Idx=2)*Sales_COGS+(Rev_Idx=3)*Sales_GP))</f>
        <v>72983</v>
      </c>
      <c r="F16" s="70" t="n">
        <f aca="false">IF(E16=0,"n/a",D16/E16-1)</f>
        <v>0.0827589986709234</v>
      </c>
      <c r="G16" s="40" t="n">
        <f aca="true">AVERAGE(OFFSET(D16,-2,0,3,1))</f>
        <v>76156.3333333333</v>
      </c>
      <c r="H16" s="40" t="n">
        <f aca="false">SUM($D$13:D16)</f>
        <v>302932</v>
      </c>
      <c r="I16" s="61" t="str">
        <f aca="false">IF(D16&gt;=PERCENTILE($D$13:$D$24,0.75),"▲ Peak",IF(D16&lt;=PERCENTILE($D$13:$D$24,0.25),"▼ Low",""))</f>
        <v/>
      </c>
    </row>
    <row r="17" customFormat="false" ht="15" hidden="false" customHeight="false" outlineLevel="0" collapsed="false">
      <c r="B17" s="39" t="str">
        <f aca="false">TEXT(C17,"mmmm")</f>
        <v>May</v>
      </c>
      <c r="C17" s="73" t="n">
        <f aca="false">EOMONTH(C16,1)</f>
        <v>45808</v>
      </c>
      <c r="D17" s="40" t="n">
        <f aca="false">SUMPRODUCT((Sales_Date=$C17)*(((Rev_Cat="All")+(Sales_Cat=Rev_Cat))&gt;0)*(((Rev_Region="All")+(Sales_Region=Rev_Region))&gt;0)*((Rev_Idx=1)*Sales_Net+(Rev_Idx=2)*Sales_COGS+(Rev_Idx=3)*Sales_GP))</f>
        <v>81946</v>
      </c>
      <c r="E17" s="40" t="n">
        <f aca="false">SUMPRODUCT((Sales_Date=EOMONTH($C17,-12))*(((Rev_Cat="All")+(Sales_Cat=Rev_Cat))&gt;0)*(((Rev_Region="All")+(Sales_Region=Rev_Region))&gt;0)*((Rev_Idx=1)*Sales_Net+(Rev_Idx=2)*Sales_COGS+(Rev_Idx=3)*Sales_GP))</f>
        <v>74055</v>
      </c>
      <c r="F17" s="70" t="n">
        <f aca="false">IF(E17=0,"n/a",D17/E17-1)</f>
        <v>0.106555938154075</v>
      </c>
      <c r="G17" s="40" t="n">
        <f aca="true">AVERAGE(OFFSET(D17,-2,0,3,1))</f>
        <v>79575.3333333333</v>
      </c>
      <c r="H17" s="40" t="n">
        <f aca="false">SUM($D$13:D17)</f>
        <v>384878</v>
      </c>
      <c r="I17" s="61" t="str">
        <f aca="false">IF(D17&gt;=PERCENTILE($D$13:$D$24,0.75),"▲ Peak",IF(D17&lt;=PERCENTILE($D$13:$D$24,0.25),"▼ Low",""))</f>
        <v/>
      </c>
    </row>
    <row r="18" customFormat="false" ht="15" hidden="false" customHeight="false" outlineLevel="0" collapsed="false">
      <c r="B18" s="39" t="str">
        <f aca="false">TEXT(C18,"mmmm")</f>
        <v>June</v>
      </c>
      <c r="C18" s="73" t="n">
        <f aca="false">EOMONTH(C17,1)</f>
        <v>45838</v>
      </c>
      <c r="D18" s="40" t="n">
        <f aca="false">SUMPRODUCT((Sales_Date=$C18)*(((Rev_Cat="All")+(Sales_Cat=Rev_Cat))&gt;0)*(((Rev_Region="All")+(Sales_Region=Rev_Region))&gt;0)*((Rev_Idx=1)*Sales_Net+(Rev_Idx=2)*Sales_COGS+(Rev_Idx=3)*Sales_GP))</f>
        <v>79418</v>
      </c>
      <c r="E18" s="40" t="n">
        <f aca="false">SUMPRODUCT((Sales_Date=EOMONTH($C18,-12))*(((Rev_Cat="All")+(Sales_Cat=Rev_Cat))&gt;0)*(((Rev_Region="All")+(Sales_Region=Rev_Region))&gt;0)*((Rev_Idx=1)*Sales_Net+(Rev_Idx=2)*Sales_COGS+(Rev_Idx=3)*Sales_GP))</f>
        <v>74488</v>
      </c>
      <c r="F18" s="70" t="n">
        <f aca="false">IF(E18=0,"n/a",D18/E18-1)</f>
        <v>0.0661851573407797</v>
      </c>
      <c r="G18" s="40" t="n">
        <f aca="true">AVERAGE(OFFSET(D18,-2,0,3,1))</f>
        <v>80129</v>
      </c>
      <c r="H18" s="40" t="n">
        <f aca="false">SUM($D$13:D18)</f>
        <v>464296</v>
      </c>
      <c r="I18" s="61" t="str">
        <f aca="false">IF(D18&gt;=PERCENTILE($D$13:$D$24,0.75),"▲ Peak",IF(D18&lt;=PERCENTILE($D$13:$D$24,0.25),"▼ Low",""))</f>
        <v/>
      </c>
    </row>
    <row r="19" customFormat="false" ht="15" hidden="false" customHeight="false" outlineLevel="0" collapsed="false">
      <c r="B19" s="39" t="str">
        <f aca="false">TEXT(C19,"mmmm")</f>
        <v>July</v>
      </c>
      <c r="C19" s="73" t="n">
        <f aca="false">EOMONTH(C18,1)</f>
        <v>45869</v>
      </c>
      <c r="D19" s="40" t="n">
        <f aca="false">SUMPRODUCT((Sales_Date=$C19)*(((Rev_Cat="All")+(Sales_Cat=Rev_Cat))&gt;0)*(((Rev_Region="All")+(Sales_Region=Rev_Region))&gt;0)*((Rev_Idx=1)*Sales_Net+(Rev_Idx=2)*Sales_COGS+(Rev_Idx=3)*Sales_GP))</f>
        <v>81667</v>
      </c>
      <c r="E19" s="40" t="n">
        <f aca="false">SUMPRODUCT((Sales_Date=EOMONTH($C19,-12))*(((Rev_Cat="All")+(Sales_Cat=Rev_Cat))&gt;0)*(((Rev_Region="All")+(Sales_Region=Rev_Region))&gt;0)*((Rev_Idx=1)*Sales_Net+(Rev_Idx=2)*Sales_COGS+(Rev_Idx=3)*Sales_GP))</f>
        <v>75320</v>
      </c>
      <c r="F19" s="70" t="n">
        <f aca="false">IF(E19=0,"n/a",D19/E19-1)</f>
        <v>0.0842671269251194</v>
      </c>
      <c r="G19" s="40" t="n">
        <f aca="true">AVERAGE(OFFSET(D19,-2,0,3,1))</f>
        <v>81010.3333333333</v>
      </c>
      <c r="H19" s="40" t="n">
        <f aca="false">SUM($D$13:D19)</f>
        <v>545963</v>
      </c>
      <c r="I19" s="61" t="str">
        <f aca="false">IF(D19&gt;=PERCENTILE($D$13:$D$24,0.75),"▲ Peak",IF(D19&lt;=PERCENTILE($D$13:$D$24,0.25),"▼ Low",""))</f>
        <v/>
      </c>
    </row>
    <row r="20" customFormat="false" ht="15" hidden="false" customHeight="false" outlineLevel="0" collapsed="false">
      <c r="B20" s="39" t="str">
        <f aca="false">TEXT(C20,"mmmm")</f>
        <v>August</v>
      </c>
      <c r="C20" s="73" t="n">
        <f aca="false">EOMONTH(C19,1)</f>
        <v>45900</v>
      </c>
      <c r="D20" s="40" t="n">
        <f aca="false">SUMPRODUCT((Sales_Date=$C20)*(((Rev_Cat="All")+(Sales_Cat=Rev_Cat))&gt;0)*(((Rev_Region="All")+(Sales_Region=Rev_Region))&gt;0)*((Rev_Idx=1)*Sales_Net+(Rev_Idx=2)*Sales_COGS+(Rev_Idx=3)*Sales_GP))</f>
        <v>81105</v>
      </c>
      <c r="E20" s="40" t="n">
        <f aca="false">SUMPRODUCT((Sales_Date=EOMONTH($C20,-12))*(((Rev_Cat="All")+(Sales_Cat=Rev_Cat))&gt;0)*(((Rev_Region="All")+(Sales_Region=Rev_Region))&gt;0)*((Rev_Idx=1)*Sales_Net+(Rev_Idx=2)*Sales_COGS+(Rev_Idx=3)*Sales_GP))</f>
        <v>75658</v>
      </c>
      <c r="F20" s="70" t="n">
        <f aca="false">IF(E20=0,"n/a",D20/E20-1)</f>
        <v>0.0719950302677839</v>
      </c>
      <c r="G20" s="40" t="n">
        <f aca="true">AVERAGE(OFFSET(D20,-2,0,3,1))</f>
        <v>80730</v>
      </c>
      <c r="H20" s="40" t="n">
        <f aca="false">SUM($D$13:D20)</f>
        <v>627068</v>
      </c>
      <c r="I20" s="61" t="str">
        <f aca="false">IF(D20&gt;=PERCENTILE($D$13:$D$24,0.75),"▲ Peak",IF(D20&lt;=PERCENTILE($D$13:$D$24,0.25),"▼ Low",""))</f>
        <v/>
      </c>
    </row>
    <row r="21" customFormat="false" ht="15" hidden="false" customHeight="false" outlineLevel="0" collapsed="false">
      <c r="B21" s="39" t="str">
        <f aca="false">TEXT(C21,"mmmm")</f>
        <v>September</v>
      </c>
      <c r="C21" s="73" t="n">
        <f aca="false">EOMONTH(C20,1)</f>
        <v>45930</v>
      </c>
      <c r="D21" s="40" t="n">
        <f aca="false">SUMPRODUCT((Sales_Date=$C21)*(((Rev_Cat="All")+(Sales_Cat=Rev_Cat))&gt;0)*(((Rev_Region="All")+(Sales_Region=Rev_Region))&gt;0)*((Rev_Idx=1)*Sales_Net+(Rev_Idx=2)*Sales_COGS+(Rev_Idx=3)*Sales_GP))</f>
        <v>82028</v>
      </c>
      <c r="E21" s="40" t="n">
        <f aca="false">SUMPRODUCT((Sales_Date=EOMONTH($C21,-12))*(((Rev_Cat="All")+(Sales_Cat=Rev_Cat))&gt;0)*(((Rev_Region="All")+(Sales_Region=Rev_Region))&gt;0)*((Rev_Idx=1)*Sales_Net+(Rev_Idx=2)*Sales_COGS+(Rev_Idx=3)*Sales_GP))</f>
        <v>75947</v>
      </c>
      <c r="F21" s="70" t="n">
        <f aca="false">IF(E21=0,"n/a",D21/E21-1)</f>
        <v>0.0800689954836926</v>
      </c>
      <c r="G21" s="40" t="n">
        <f aca="true">AVERAGE(OFFSET(D21,-2,0,3,1))</f>
        <v>81600</v>
      </c>
      <c r="H21" s="40" t="n">
        <f aca="false">SUM($D$13:D21)</f>
        <v>709096</v>
      </c>
      <c r="I21" s="61" t="str">
        <f aca="false">IF(D21&gt;=PERCENTILE($D$13:$D$24,0.75),"▲ Peak",IF(D21&lt;=PERCENTILE($D$13:$D$24,0.25),"▼ Low",""))</f>
        <v/>
      </c>
    </row>
    <row r="22" customFormat="false" ht="15" hidden="false" customHeight="false" outlineLevel="0" collapsed="false">
      <c r="B22" s="39" t="str">
        <f aca="false">TEXT(C22,"mmmm")</f>
        <v>October</v>
      </c>
      <c r="C22" s="73" t="n">
        <f aca="false">EOMONTH(C21,1)</f>
        <v>45961</v>
      </c>
      <c r="D22" s="40" t="n">
        <f aca="false">SUMPRODUCT((Sales_Date=$C22)*(((Rev_Cat="All")+(Sales_Cat=Rev_Cat))&gt;0)*(((Rev_Region="All")+(Sales_Region=Rev_Region))&gt;0)*((Rev_Idx=1)*Sales_Net+(Rev_Idx=2)*Sales_COGS+(Rev_Idx=3)*Sales_GP))</f>
        <v>83643</v>
      </c>
      <c r="E22" s="40" t="n">
        <f aca="false">SUMPRODUCT((Sales_Date=EOMONTH($C22,-12))*(((Rev_Cat="All")+(Sales_Cat=Rev_Cat))&gt;0)*(((Rev_Region="All")+(Sales_Region=Rev_Region))&gt;0)*((Rev_Idx=1)*Sales_Net+(Rev_Idx=2)*Sales_COGS+(Rev_Idx=3)*Sales_GP))</f>
        <v>75853</v>
      </c>
      <c r="F22" s="70" t="n">
        <f aca="false">IF(E22=0,"n/a",D22/E22-1)</f>
        <v>0.102698640792058</v>
      </c>
      <c r="G22" s="40" t="n">
        <f aca="true">AVERAGE(OFFSET(D22,-2,0,3,1))</f>
        <v>82258.6666666667</v>
      </c>
      <c r="H22" s="40" t="n">
        <f aca="false">SUM($D$13:D22)</f>
        <v>792739</v>
      </c>
      <c r="I22" s="61" t="str">
        <f aca="false">IF(D22&gt;=PERCENTILE($D$13:$D$24,0.75),"▲ Peak",IF(D22&lt;=PERCENTILE($D$13:$D$24,0.25),"▼ Low",""))</f>
        <v>▲ Peak</v>
      </c>
    </row>
    <row r="23" customFormat="false" ht="15" hidden="false" customHeight="false" outlineLevel="0" collapsed="false">
      <c r="B23" s="39" t="str">
        <f aca="false">TEXT(C23,"mmmm")</f>
        <v>November</v>
      </c>
      <c r="C23" s="73" t="n">
        <f aca="false">EOMONTH(C22,1)</f>
        <v>45991</v>
      </c>
      <c r="D23" s="40" t="n">
        <f aca="false">SUMPRODUCT((Sales_Date=$C23)*(((Rev_Cat="All")+(Sales_Cat=Rev_Cat))&gt;0)*(((Rev_Region="All")+(Sales_Region=Rev_Region))&gt;0)*((Rev_Idx=1)*Sales_Net+(Rev_Idx=2)*Sales_COGS+(Rev_Idx=3)*Sales_GP))</f>
        <v>85801</v>
      </c>
      <c r="E23" s="40" t="n">
        <f aca="false">SUMPRODUCT((Sales_Date=EOMONTH($C23,-12))*(((Rev_Cat="All")+(Sales_Cat=Rev_Cat))&gt;0)*(((Rev_Region="All")+(Sales_Region=Rev_Region))&gt;0)*((Rev_Idx=1)*Sales_Net+(Rev_Idx=2)*Sales_COGS+(Rev_Idx=3)*Sales_GP))</f>
        <v>79142</v>
      </c>
      <c r="F23" s="70" t="n">
        <f aca="false">IF(E23=0,"n/a",D23/E23-1)</f>
        <v>0.0841399004321346</v>
      </c>
      <c r="G23" s="40" t="n">
        <f aca="true">AVERAGE(OFFSET(D23,-2,0,3,1))</f>
        <v>83824</v>
      </c>
      <c r="H23" s="40" t="n">
        <f aca="false">SUM($D$13:D23)</f>
        <v>878540</v>
      </c>
      <c r="I23" s="61" t="str">
        <f aca="false">IF(D23&gt;=PERCENTILE($D$13:$D$24,0.75),"▲ Peak",IF(D23&lt;=PERCENTILE($D$13:$D$24,0.25),"▼ Low",""))</f>
        <v>▲ Peak</v>
      </c>
    </row>
    <row r="24" customFormat="false" ht="15" hidden="false" customHeight="false" outlineLevel="0" collapsed="false">
      <c r="B24" s="39" t="str">
        <f aca="false">TEXT(C24,"mmmm")</f>
        <v>December</v>
      </c>
      <c r="C24" s="73" t="n">
        <f aca="false">EOMONTH(C23,1)</f>
        <v>46022</v>
      </c>
      <c r="D24" s="40" t="n">
        <f aca="false">SUMPRODUCT((Sales_Date=$C24)*(((Rev_Cat="All")+(Sales_Cat=Rev_Cat))&gt;0)*(((Rev_Region="All")+(Sales_Region=Rev_Region))&gt;0)*((Rev_Idx=1)*Sales_Net+(Rev_Idx=2)*Sales_COGS+(Rev_Idx=3)*Sales_GP))</f>
        <v>93902</v>
      </c>
      <c r="E24" s="40" t="n">
        <f aca="false">SUMPRODUCT((Sales_Date=EOMONTH($C24,-12))*(((Rev_Cat="All")+(Sales_Cat=Rev_Cat))&gt;0)*(((Rev_Region="All")+(Sales_Region=Rev_Region))&gt;0)*((Rev_Idx=1)*Sales_Net+(Rev_Idx=2)*Sales_COGS+(Rev_Idx=3)*Sales_GP))</f>
        <v>86726</v>
      </c>
      <c r="F24" s="70" t="n">
        <f aca="false">IF(E24=0,"n/a",D24/E24-1)</f>
        <v>0.0827433526278163</v>
      </c>
      <c r="G24" s="40" t="n">
        <f aca="true">AVERAGE(OFFSET(D24,-2,0,3,1))</f>
        <v>87782</v>
      </c>
      <c r="H24" s="40" t="n">
        <f aca="false">SUM($D$13:D24)</f>
        <v>972442</v>
      </c>
      <c r="I24" s="61" t="str">
        <f aca="false">IF(D24&gt;=PERCENTILE($D$13:$D$24,0.75),"▲ Peak",IF(D24&lt;=PERCENTILE($D$13:$D$24,0.25),"▼ Low",""))</f>
        <v>▲ Peak</v>
      </c>
    </row>
    <row r="25" customFormat="false" ht="15" hidden="false" customHeight="false" outlineLevel="0" collapsed="false">
      <c r="B25" s="45" t="s">
        <v>422</v>
      </c>
      <c r="C25" s="75"/>
      <c r="D25" s="47" t="n">
        <f aca="false">SUM(D13:D24)</f>
        <v>972442</v>
      </c>
      <c r="E25" s="47" t="n">
        <f aca="false">SUM(E13:E24)</f>
        <v>897238</v>
      </c>
      <c r="F25" s="76" t="n">
        <f aca="false">IF(E25=0,"n/a",D25/E25-1)</f>
        <v>0.0838172257528103</v>
      </c>
    </row>
    <row r="27" customFormat="false" ht="15" hidden="false" customHeight="false" outlineLevel="0" collapsed="false">
      <c r="B27" s="12" t="s">
        <v>423</v>
      </c>
      <c r="C27" s="13"/>
      <c r="D27" s="13"/>
      <c r="E27" s="13"/>
      <c r="F27" s="13"/>
      <c r="G27" s="13"/>
      <c r="H27" s="13"/>
      <c r="I27" s="13"/>
    </row>
    <row r="28" customFormat="false" ht="15" hidden="false" customHeight="false" outlineLevel="0" collapsed="false">
      <c r="B28" s="39" t="s">
        <v>424</v>
      </c>
      <c r="C28" s="77" t="str">
        <f aca="false">INDEX($B$13:$B$24,MATCH(MAX($D$13:$D$24),$D$13:$D$24,0))</f>
        <v>December</v>
      </c>
      <c r="D28" s="40" t="n">
        <f aca="false">MAX($D$13:$D$24)</f>
        <v>93902</v>
      </c>
    </row>
    <row r="29" customFormat="false" ht="15" hidden="false" customHeight="false" outlineLevel="0" collapsed="false">
      <c r="B29" s="39" t="s">
        <v>425</v>
      </c>
      <c r="C29" s="77" t="str">
        <f aca="false">INDEX($B$13:$B$24,MATCH(_xlfn.AGGREGATE(14,6,$D$13:$D$24,2),$D$13:$D$24,0))</f>
        <v>November</v>
      </c>
      <c r="D29" s="40" t="n">
        <f aca="false">_xlfn.AGGREGATE(14,6,$D$13:$D$24,2)</f>
        <v>85801</v>
      </c>
    </row>
    <row r="30" customFormat="false" ht="15" hidden="false" customHeight="false" outlineLevel="0" collapsed="false">
      <c r="B30" s="39" t="s">
        <v>426</v>
      </c>
      <c r="C30" s="77" t="str">
        <f aca="false">INDEX($B$13:$B$24,MATCH(MIN($D$13:$D$24),$D$13:$D$24,0))</f>
        <v>February</v>
      </c>
      <c r="D30" s="40" t="n">
        <f aca="false">MIN($D$13:$D$24)</f>
        <v>71689</v>
      </c>
    </row>
    <row r="31" customFormat="false" ht="15" hidden="false" customHeight="false" outlineLevel="0" collapsed="false">
      <c r="B31" s="39" t="s">
        <v>427</v>
      </c>
      <c r="D31" s="50" t="n">
        <f aca="false">IFERROR(MAX($D$13:$D$24)/MIN($D$13:$D$24)-1,0)</f>
        <v>0.309852278592253</v>
      </c>
    </row>
    <row r="32" customFormat="false" ht="15" hidden="false" customHeight="false" outlineLevel="0" collapsed="false">
      <c r="B32" s="39" t="s">
        <v>428</v>
      </c>
      <c r="D32" s="50" t="n">
        <f aca="false">IFERROR(SUM(D22:D24)/D25,0)</f>
        <v>0.270808953130367</v>
      </c>
    </row>
    <row r="34" customFormat="false" ht="15" hidden="false" customHeight="false" outlineLevel="0" collapsed="false">
      <c r="B34" s="12" t="s">
        <v>429</v>
      </c>
      <c r="C34" s="13"/>
      <c r="D34" s="13"/>
      <c r="E34" s="13"/>
      <c r="F34" s="13"/>
      <c r="G34" s="13"/>
      <c r="H34" s="13"/>
      <c r="I34" s="13"/>
    </row>
    <row r="35" customFormat="false" ht="33.75" hidden="false" customHeight="true" outlineLevel="0" collapsed="false">
      <c r="B35" s="49" t="s">
        <v>404</v>
      </c>
      <c r="C35" s="36" t="s">
        <v>416</v>
      </c>
      <c r="D35" s="36" t="s">
        <v>430</v>
      </c>
      <c r="E35" s="36" t="s">
        <v>406</v>
      </c>
      <c r="F35" s="36" t="s">
        <v>417</v>
      </c>
      <c r="G35" s="36" t="s">
        <v>431</v>
      </c>
      <c r="H35" s="36" t="s">
        <v>432</v>
      </c>
      <c r="I35" s="36" t="s">
        <v>433</v>
      </c>
    </row>
    <row r="36" customFormat="false" ht="15" hidden="false" customHeight="false" outlineLevel="0" collapsed="false">
      <c r="B36" s="78" t="str">
        <f aca="false">Lists!C5</f>
        <v>Packaged Food</v>
      </c>
      <c r="C36" s="40" t="n">
        <f aca="false">SUMPRODUCT((Sales_Year=Rev_Year)*(Sales_Cat=$B36)*(((Rev_Region="All")+(Sales_Region=Rev_Region))&gt;0)*((Rev_Idx=1)*Sales_Net+(Rev_Idx=2)*Sales_COGS+(Rev_Idx=3)*Sales_GP))</f>
        <v>382510</v>
      </c>
      <c r="D36" s="50" t="n">
        <f aca="false">IFERROR(C36/C$40,0)</f>
        <v>0.393349937579825</v>
      </c>
      <c r="E36" s="40" t="n">
        <f aca="false">SUMPRODUCT((Sales_Year=Rev_Year-1)*(Sales_Cat=$B36)*(((Rev_Region="All")+(Sales_Region=Rev_Region))&gt;0)*((Rev_Idx=1)*Sales_Net+(Rev_Idx=2)*Sales_COGS+(Rev_Idx=3)*Sales_GP))</f>
        <v>358165</v>
      </c>
      <c r="F36" s="70" t="n">
        <f aca="false">IF(E36=0,"n/a",C36/E36-1)</f>
        <v>0.0679714656652659</v>
      </c>
      <c r="G36" s="71" t="n">
        <f aca="false">RANK(C36,$C$36:$C$39)</f>
        <v>1</v>
      </c>
      <c r="H36" s="50" t="n">
        <f aca="false">IFERROR(SUMPRODUCT((Sales_Year=Rev_Year)*(Sales_Cat=$B36)*(((Rev_Region="All")+(Sales_Region=Rev_Region))&gt;0)*Sales_GP)/SUMPRODUCT((Sales_Year=Rev_Year)*(Sales_Cat=$B36)*(((Rev_Region="All")+(Sales_Region=Rev_Region))&gt;0)*Sales_Net),0)</f>
        <v>0.25049279757392</v>
      </c>
      <c r="I36" s="50" t="n">
        <f aca="false">IF($E$40=0,0,(C36-E36)/$E$40)</f>
        <v>0.0271332689877156</v>
      </c>
    </row>
    <row r="37" customFormat="false" ht="15" hidden="false" customHeight="false" outlineLevel="0" collapsed="false">
      <c r="B37" s="78" t="str">
        <f aca="false">Lists!C6</f>
        <v>Beverages</v>
      </c>
      <c r="C37" s="40" t="n">
        <f aca="false">SUMPRODUCT((Sales_Year=Rev_Year)*(Sales_Cat=$B37)*(((Rev_Region="All")+(Sales_Region=Rev_Region))&gt;0)*((Rev_Idx=1)*Sales_Net+(Rev_Idx=2)*Sales_COGS+(Rev_Idx=3)*Sales_GP))</f>
        <v>292182</v>
      </c>
      <c r="D37" s="50" t="n">
        <f aca="false">IFERROR(C37/C$40,0)</f>
        <v>0.300462135530962</v>
      </c>
      <c r="E37" s="40" t="n">
        <f aca="false">SUMPRODUCT((Sales_Year=Rev_Year-1)*(Sales_Cat=$B37)*(((Rev_Region="All")+(Sales_Region=Rev_Region))&gt;0)*((Rev_Idx=1)*Sales_Net+(Rev_Idx=2)*Sales_COGS+(Rev_Idx=3)*Sales_GP))</f>
        <v>264622</v>
      </c>
      <c r="F37" s="70" t="n">
        <f aca="false">IF(E37=0,"n/a",C37/E37-1)</f>
        <v>0.104148559076721</v>
      </c>
      <c r="G37" s="71" t="n">
        <f aca="false">RANK(C37,$C$36:$C$39)</f>
        <v>2</v>
      </c>
      <c r="H37" s="50" t="n">
        <f aca="false">IFERROR(SUMPRODUCT((Sales_Year=Rev_Year)*(Sales_Cat=$B37)*(((Rev_Region="All")+(Sales_Region=Rev_Region))&gt;0)*Sales_GP)/SUMPRODUCT((Sales_Year=Rev_Year)*(Sales_Cat=$B37)*(((Rev_Region="All")+(Sales_Region=Rev_Region))&gt;0)*Sales_Net),0)</f>
        <v>0.269633310744673</v>
      </c>
      <c r="I37" s="50" t="n">
        <f aca="false">IF($E$40=0,0,(C37-E37)/$E$40)</f>
        <v>0.0307164877100613</v>
      </c>
    </row>
    <row r="38" customFormat="false" ht="15" hidden="false" customHeight="false" outlineLevel="0" collapsed="false">
      <c r="B38" s="78" t="str">
        <f aca="false">Lists!C7</f>
        <v>Household &amp; Personal Care</v>
      </c>
      <c r="C38" s="40" t="n">
        <f aca="false">SUMPRODUCT((Sales_Year=Rev_Year)*(Sales_Cat=$B38)*(((Rev_Region="All")+(Sales_Region=Rev_Region))&gt;0)*((Rev_Idx=1)*Sales_Net+(Rev_Idx=2)*Sales_COGS+(Rev_Idx=3)*Sales_GP))</f>
        <v>170561</v>
      </c>
      <c r="D38" s="50" t="n">
        <f aca="false">IFERROR(C38/C$40,0)</f>
        <v>0.175394522244</v>
      </c>
      <c r="E38" s="40" t="n">
        <f aca="false">SUMPRODUCT((Sales_Year=Rev_Year-1)*(Sales_Cat=$B38)*(((Rev_Region="All")+(Sales_Region=Rev_Region))&gt;0)*((Rev_Idx=1)*Sales_Net+(Rev_Idx=2)*Sales_COGS+(Rev_Idx=3)*Sales_GP))</f>
        <v>160640</v>
      </c>
      <c r="F38" s="70" t="n">
        <f aca="false">IF(E38=0,"n/a",C38/E38-1)</f>
        <v>0.0617592131474103</v>
      </c>
      <c r="G38" s="71" t="n">
        <f aca="false">RANK(C38,$C$36:$C$39)</f>
        <v>3</v>
      </c>
      <c r="H38" s="50" t="n">
        <f aca="false">IFERROR(SUMPRODUCT((Sales_Year=Rev_Year)*(Sales_Cat=$B38)*(((Rev_Region="All")+(Sales_Region=Rev_Region))&gt;0)*Sales_GP)/SUMPRODUCT((Sales_Year=Rev_Year)*(Sales_Cat=$B38)*(((Rev_Region="All")+(Sales_Region=Rev_Region))&gt;0)*Sales_Net),0)</f>
        <v>0.300074460163812</v>
      </c>
      <c r="I38" s="50" t="n">
        <f aca="false">IF($E$40=0,0,(C38-E38)/$E$40)</f>
        <v>0.0110572668567314</v>
      </c>
    </row>
    <row r="39" customFormat="false" ht="15" hidden="false" customHeight="false" outlineLevel="0" collapsed="false">
      <c r="B39" s="78" t="str">
        <f aca="false">Lists!C8</f>
        <v>Fresh &amp; Frozen</v>
      </c>
      <c r="C39" s="40" t="n">
        <f aca="false">SUMPRODUCT((Sales_Year=Rev_Year)*(Sales_Cat=$B39)*(((Rev_Region="All")+(Sales_Region=Rev_Region))&gt;0)*((Rev_Idx=1)*Sales_Net+(Rev_Idx=2)*Sales_COGS+(Rev_Idx=3)*Sales_GP))</f>
        <v>127189</v>
      </c>
      <c r="D39" s="50" t="n">
        <f aca="false">IFERROR(C39/C$40,0)</f>
        <v>0.130793404645213</v>
      </c>
      <c r="E39" s="40" t="n">
        <f aca="false">SUMPRODUCT((Sales_Year=Rev_Year-1)*(Sales_Cat=$B39)*(((Rev_Region="All")+(Sales_Region=Rev_Region))&gt;0)*((Rev_Idx=1)*Sales_Net+(Rev_Idx=2)*Sales_COGS+(Rev_Idx=3)*Sales_GP))</f>
        <v>113811</v>
      </c>
      <c r="F39" s="70" t="n">
        <f aca="false">IF(E39=0,"n/a",C39/E39-1)</f>
        <v>0.117545755682667</v>
      </c>
      <c r="G39" s="71" t="n">
        <f aca="false">RANK(C39,$C$36:$C$39)</f>
        <v>4</v>
      </c>
      <c r="H39" s="50" t="n">
        <f aca="false">IFERROR(SUMPRODUCT((Sales_Year=Rev_Year)*(Sales_Cat=$B39)*(((Rev_Region="All")+(Sales_Region=Rev_Region))&gt;0)*Sales_GP)/SUMPRODUCT((Sales_Year=Rev_Year)*(Sales_Cat=$B39)*(((Rev_Region="All")+(Sales_Region=Rev_Region))&gt;0)*Sales_Net),0)</f>
        <v>0.189599729536359</v>
      </c>
      <c r="I39" s="50" t="n">
        <f aca="false">IF($E$40=0,0,(C39-E39)/$E$40)</f>
        <v>0.0149102021983019</v>
      </c>
    </row>
    <row r="40" customFormat="false" ht="15" hidden="false" customHeight="false" outlineLevel="0" collapsed="false">
      <c r="B40" s="45" t="s">
        <v>422</v>
      </c>
      <c r="C40" s="47" t="n">
        <f aca="false">SUM(C36:C39)</f>
        <v>972442</v>
      </c>
      <c r="D40" s="79" t="n">
        <f aca="false">SUM(D36:D39)</f>
        <v>1</v>
      </c>
      <c r="E40" s="47" t="n">
        <f aca="false">SUM(E36:E39)</f>
        <v>897238</v>
      </c>
      <c r="F40" s="76" t="n">
        <f aca="false">IF(E40=0,"n/a",C40/E40-1)</f>
        <v>0.0838172257528103</v>
      </c>
      <c r="G40" s="75"/>
      <c r="H40" s="79" t="n">
        <f aca="false">IFERROR(SUMPRODUCT((Sales_Year=Rev_Year)*(((Rev_Region="All")+(Sales_Region=Rev_Region))&gt;0)*Sales_GP)/SUMPRODUCT((Sales_Year=Rev_Year)*(((Rev_Region="All")+(Sales_Region=Rev_Region))&gt;0)*Sales_Net),0)</f>
        <v>0.256975737370455</v>
      </c>
      <c r="I40" s="79" t="n">
        <f aca="false">SUM(I36:I39)</f>
        <v>0.0838172257528103</v>
      </c>
    </row>
    <row r="42" customFormat="false" ht="15" hidden="false" customHeight="false" outlineLevel="0" collapsed="false">
      <c r="B42" s="12" t="s">
        <v>434</v>
      </c>
      <c r="C42" s="13"/>
      <c r="D42" s="13"/>
      <c r="E42" s="13"/>
      <c r="F42" s="13"/>
      <c r="G42" s="13"/>
      <c r="H42" s="13"/>
      <c r="I42" s="13"/>
    </row>
    <row r="43" customFormat="false" ht="33.75" hidden="false" customHeight="true" outlineLevel="0" collapsed="false">
      <c r="B43" s="49" t="s">
        <v>407</v>
      </c>
      <c r="C43" s="36" t="s">
        <v>416</v>
      </c>
      <c r="D43" s="36" t="s">
        <v>430</v>
      </c>
      <c r="E43" s="36" t="s">
        <v>406</v>
      </c>
      <c r="F43" s="36" t="s">
        <v>417</v>
      </c>
      <c r="G43" s="36" t="s">
        <v>431</v>
      </c>
      <c r="H43" s="36" t="s">
        <v>432</v>
      </c>
      <c r="I43" s="36" t="s">
        <v>433</v>
      </c>
    </row>
    <row r="44" customFormat="false" ht="15" hidden="false" customHeight="false" outlineLevel="0" collapsed="false">
      <c r="B44" s="78" t="str">
        <f aca="false">Lists!G5</f>
        <v>Luzon</v>
      </c>
      <c r="C44" s="40" t="n">
        <f aca="false">SUMPRODUCT((Sales_Year=Rev_Year)*(Sales_Region=$B44)*(((Rev_Cat="All")+(Sales_Cat=Rev_Cat))&gt;0)*((Rev_Idx=1)*Sales_Net+(Rev_Idx=2)*Sales_COGS+(Rev_Idx=3)*Sales_GP))</f>
        <v>554093</v>
      </c>
      <c r="D44" s="50" t="n">
        <f aca="false">IFERROR(C44/C$47,0)</f>
        <v>0.569795422246263</v>
      </c>
      <c r="E44" s="40" t="n">
        <f aca="false">SUMPRODUCT((Sales_Year=Rev_Year-1)*(Sales_Region=$B44)*(((Rev_Cat="All")+(Sales_Cat=Rev_Cat))&gt;0)*((Rev_Idx=1)*Sales_Net+(Rev_Idx=2)*Sales_COGS+(Rev_Idx=3)*Sales_GP))</f>
        <v>514752</v>
      </c>
      <c r="F44" s="70" t="n">
        <f aca="false">IF(E44=0,"n/a",C44/E44-1)</f>
        <v>0.0764270949894319</v>
      </c>
      <c r="G44" s="71" t="n">
        <f aca="false">RANK(C44,$C$44:$C$46)</f>
        <v>1</v>
      </c>
      <c r="H44" s="50" t="n">
        <f aca="false">IFERROR(SUMPRODUCT((Sales_Year=Rev_Year)*(Sales_Region=$B44)*(((Rev_Cat="All")+(Sales_Cat=Rev_Cat))&gt;0)*Sales_GP)/SUMPRODUCT((Sales_Year=Rev_Year)*(Sales_Region=$B44)*(((Rev_Cat="All")+(Sales_Cat=Rev_Cat))&gt;0)*Sales_Net),0)</f>
        <v>0.25683775106345</v>
      </c>
      <c r="I44" s="50" t="n">
        <f aca="false">IF($E$47=0,0,(C44-E44)/$E$47)</f>
        <v>0.0438467831277766</v>
      </c>
    </row>
    <row r="45" customFormat="false" ht="15" hidden="false" customHeight="false" outlineLevel="0" collapsed="false">
      <c r="B45" s="78" t="str">
        <f aca="false">Lists!G6</f>
        <v>Visayas</v>
      </c>
      <c r="C45" s="40" t="n">
        <f aca="false">SUMPRODUCT((Sales_Year=Rev_Year)*(Sales_Region=$B45)*(((Rev_Cat="All")+(Sales_Cat=Rev_Cat))&gt;0)*((Rev_Idx=1)*Sales_Net+(Rev_Idx=2)*Sales_COGS+(Rev_Idx=3)*Sales_GP))</f>
        <v>223910</v>
      </c>
      <c r="D45" s="50" t="n">
        <f aca="false">IFERROR(C45/C$47,0)</f>
        <v>0.230255377698619</v>
      </c>
      <c r="E45" s="40" t="n">
        <f aca="false">SUMPRODUCT((Sales_Year=Rev_Year-1)*(Sales_Region=$B45)*(((Rev_Cat="All")+(Sales_Cat=Rev_Cat))&gt;0)*((Rev_Idx=1)*Sales_Net+(Rev_Idx=2)*Sales_COGS+(Rev_Idx=3)*Sales_GP))</f>
        <v>206985</v>
      </c>
      <c r="F45" s="70" t="n">
        <f aca="false">IF(E45=0,"n/a",C45/E45-1)</f>
        <v>0.0817692103292509</v>
      </c>
      <c r="G45" s="71" t="n">
        <f aca="false">RANK(C45,$C$44:$C$46)</f>
        <v>2</v>
      </c>
      <c r="H45" s="50" t="n">
        <f aca="false">IFERROR(SUMPRODUCT((Sales_Year=Rev_Year)*(Sales_Region=$B45)*(((Rev_Cat="All")+(Sales_Cat=Rev_Cat))&gt;0)*Sales_GP)/SUMPRODUCT((Sales_Year=Rev_Year)*(Sales_Region=$B45)*(((Rev_Cat="All")+(Sales_Cat=Rev_Cat))&gt;0)*Sales_Net),0)</f>
        <v>0.257005046670537</v>
      </c>
      <c r="I45" s="50" t="n">
        <f aca="false">IF($E$47=0,0,(C45-E45)/$E$47)</f>
        <v>0.0188634453734684</v>
      </c>
    </row>
    <row r="46" customFormat="false" ht="15" hidden="false" customHeight="false" outlineLevel="0" collapsed="false">
      <c r="B46" s="78" t="str">
        <f aca="false">Lists!G7</f>
        <v>Mindanao</v>
      </c>
      <c r="C46" s="40" t="n">
        <f aca="false">SUMPRODUCT((Sales_Year=Rev_Year)*(Sales_Region=$B46)*(((Rev_Cat="All")+(Sales_Cat=Rev_Cat))&gt;0)*((Rev_Idx=1)*Sales_Net+(Rev_Idx=2)*Sales_COGS+(Rev_Idx=3)*Sales_GP))</f>
        <v>194439</v>
      </c>
      <c r="D46" s="50" t="n">
        <f aca="false">IFERROR(C46/C$47,0)</f>
        <v>0.199949200055119</v>
      </c>
      <c r="E46" s="40" t="n">
        <f aca="false">SUMPRODUCT((Sales_Year=Rev_Year-1)*(Sales_Region=$B46)*(((Rev_Cat="All")+(Sales_Cat=Rev_Cat))&gt;0)*((Rev_Idx=1)*Sales_Net+(Rev_Idx=2)*Sales_COGS+(Rev_Idx=3)*Sales_GP))</f>
        <v>175501</v>
      </c>
      <c r="F46" s="70" t="n">
        <f aca="false">IF(E46=0,"n/a",C46/E46-1)</f>
        <v>0.107908217047196</v>
      </c>
      <c r="G46" s="71" t="n">
        <f aca="false">RANK(C46,$C$44:$C$46)</f>
        <v>3</v>
      </c>
      <c r="H46" s="50" t="n">
        <f aca="false">IFERROR(SUMPRODUCT((Sales_Year=Rev_Year)*(Sales_Region=$B46)*(((Rev_Cat="All")+(Sales_Cat=Rev_Cat))&gt;0)*Sales_GP)/SUMPRODUCT((Sales_Year=Rev_Year)*(Sales_Region=$B46)*(((Rev_Cat="All")+(Sales_Cat=Rev_Cat))&gt;0)*Sales_Net),0)</f>
        <v>0.257335205385751</v>
      </c>
      <c r="I46" s="50" t="n">
        <f aca="false">IF($E$47=0,0,(C46-E46)/$E$47)</f>
        <v>0.0211069972515654</v>
      </c>
    </row>
    <row r="47" customFormat="false" ht="15" hidden="false" customHeight="false" outlineLevel="0" collapsed="false">
      <c r="B47" s="45" t="s">
        <v>422</v>
      </c>
      <c r="C47" s="47" t="n">
        <f aca="false">SUM(C44:C46)</f>
        <v>972442</v>
      </c>
      <c r="D47" s="79" t="n">
        <f aca="false">SUM(D44:D46)</f>
        <v>1</v>
      </c>
      <c r="E47" s="47" t="n">
        <f aca="false">SUM(E44:E46)</f>
        <v>897238</v>
      </c>
      <c r="F47" s="76" t="n">
        <f aca="false">IF(E47=0,"n/a",C47/E47-1)</f>
        <v>0.0838172257528103</v>
      </c>
      <c r="G47" s="75"/>
      <c r="H47" s="79" t="n">
        <f aca="false">IFERROR(SUMPRODUCT((Sales_Year=Rev_Year)*(((Rev_Cat="All")+(Sales_Cat=Rev_Cat))&gt;0)*Sales_GP)/SUMPRODUCT((Sales_Year=Rev_Year)*(((Rev_Cat="All")+(Sales_Cat=Rev_Cat))&gt;0)*Sales_Net),0)</f>
        <v>0.256975737370455</v>
      </c>
      <c r="I47" s="79" t="n">
        <f aca="false">SUM(I44:I46)</f>
        <v>0.0838172257528103</v>
      </c>
    </row>
    <row r="49" customFormat="false" ht="15" hidden="false" customHeight="false" outlineLevel="0" collapsed="false">
      <c r="B49" s="12" t="s">
        <v>435</v>
      </c>
      <c r="C49" s="13"/>
      <c r="D49" s="13"/>
      <c r="E49" s="13"/>
      <c r="F49" s="13"/>
      <c r="G49" s="13"/>
      <c r="H49" s="13"/>
      <c r="I49" s="13"/>
    </row>
    <row r="50" customFormat="false" ht="24" hidden="false" customHeight="true" outlineLevel="0" collapsed="false">
      <c r="B50" s="49" t="s">
        <v>436</v>
      </c>
      <c r="C50" s="36" t="s">
        <v>416</v>
      </c>
      <c r="D50" s="36" t="s">
        <v>430</v>
      </c>
      <c r="E50" s="36" t="s">
        <v>406</v>
      </c>
      <c r="F50" s="36" t="s">
        <v>417</v>
      </c>
    </row>
    <row r="51" customFormat="false" ht="15" hidden="false" customHeight="false" outlineLevel="0" collapsed="false">
      <c r="B51" s="39" t="str">
        <f aca="false">"Q1"</f>
        <v>Q1</v>
      </c>
      <c r="C51" s="40" t="n">
        <f aca="false">SUMPRODUCT((Sales_Year=Rev_Year)*(Sales_Qtr=$B51)*(((Rev_Cat="All")+(Sales_Cat=Rev_Cat))&gt;0)*(((Rev_Region="All")+(Sales_Region=Rev_Region))&gt;0)*((Rev_Idx=1)*Sales_Net+(Rev_Idx=2)*Sales_COGS+(Rev_Idx=3)*Sales_GP))</f>
        <v>223909</v>
      </c>
      <c r="D51" s="50" t="n">
        <f aca="false">IFERROR(C51/C$55,0)</f>
        <v>0.230254349359653</v>
      </c>
      <c r="E51" s="40" t="n">
        <f aca="false">SUMPRODUCT((Sales_Year=Rev_Year-1)*(Sales_Qtr=$B51)*(((Rev_Cat="All")+(Sales_Cat=Rev_Cat))&gt;0)*(((Rev_Region="All")+(Sales_Region=Rev_Region))&gt;0)*((Rev_Idx=1)*Sales_Net+(Rev_Idx=2)*Sales_COGS+(Rev_Idx=3)*Sales_GP))</f>
        <v>207066</v>
      </c>
      <c r="F51" s="70" t="n">
        <f aca="false">IF(E51=0,"n/a",C51/E51-1)</f>
        <v>0.0813412148783479</v>
      </c>
    </row>
    <row r="52" customFormat="false" ht="15" hidden="false" customHeight="false" outlineLevel="0" collapsed="false">
      <c r="B52" s="39" t="str">
        <f aca="false">"Q2"</f>
        <v>Q2</v>
      </c>
      <c r="C52" s="40" t="n">
        <f aca="false">SUMPRODUCT((Sales_Year=Rev_Year)*(Sales_Qtr=$B52)*(((Rev_Cat="All")+(Sales_Cat=Rev_Cat))&gt;0)*(((Rev_Region="All")+(Sales_Region=Rev_Region))&gt;0)*((Rev_Idx=1)*Sales_Net+(Rev_Idx=2)*Sales_COGS+(Rev_Idx=3)*Sales_GP))</f>
        <v>240387</v>
      </c>
      <c r="D52" s="50" t="n">
        <f aca="false">IFERROR(C52/C$55,0)</f>
        <v>0.247199318828269</v>
      </c>
      <c r="E52" s="40" t="n">
        <f aca="false">SUMPRODUCT((Sales_Year=Rev_Year-1)*(Sales_Qtr=$B52)*(((Rev_Cat="All")+(Sales_Cat=Rev_Cat))&gt;0)*(((Rev_Region="All")+(Sales_Region=Rev_Region))&gt;0)*((Rev_Idx=1)*Sales_Net+(Rev_Idx=2)*Sales_COGS+(Rev_Idx=3)*Sales_GP))</f>
        <v>221526</v>
      </c>
      <c r="F52" s="70" t="n">
        <f aca="false">IF(E52=0,"n/a",C52/E52-1)</f>
        <v>0.0851412475285067</v>
      </c>
    </row>
    <row r="53" customFormat="false" ht="15" hidden="false" customHeight="false" outlineLevel="0" collapsed="false">
      <c r="B53" s="39" t="str">
        <f aca="false">"Q3"</f>
        <v>Q3</v>
      </c>
      <c r="C53" s="40" t="n">
        <f aca="false">SUMPRODUCT((Sales_Year=Rev_Year)*(Sales_Qtr=$B53)*(((Rev_Cat="All")+(Sales_Cat=Rev_Cat))&gt;0)*(((Rev_Region="All")+(Sales_Region=Rev_Region))&gt;0)*((Rev_Idx=1)*Sales_Net+(Rev_Idx=2)*Sales_COGS+(Rev_Idx=3)*Sales_GP))</f>
        <v>244800</v>
      </c>
      <c r="D53" s="50" t="n">
        <f aca="false">IFERROR(C53/C$55,0)</f>
        <v>0.251737378681711</v>
      </c>
      <c r="E53" s="40" t="n">
        <f aca="false">SUMPRODUCT((Sales_Year=Rev_Year-1)*(Sales_Qtr=$B53)*(((Rev_Cat="All")+(Sales_Cat=Rev_Cat))&gt;0)*(((Rev_Region="All")+(Sales_Region=Rev_Region))&gt;0)*((Rev_Idx=1)*Sales_Net+(Rev_Idx=2)*Sales_COGS+(Rev_Idx=3)*Sales_GP))</f>
        <v>226925</v>
      </c>
      <c r="F53" s="70" t="n">
        <f aca="false">IF(E53=0,"n/a",C53/E53-1)</f>
        <v>0.0787705188939076</v>
      </c>
    </row>
    <row r="54" customFormat="false" ht="15" hidden="false" customHeight="false" outlineLevel="0" collapsed="false">
      <c r="B54" s="39" t="str">
        <f aca="false">"Q4"</f>
        <v>Q4</v>
      </c>
      <c r="C54" s="40" t="n">
        <f aca="false">SUMPRODUCT((Sales_Year=Rev_Year)*(Sales_Qtr=$B54)*(((Rev_Cat="All")+(Sales_Cat=Rev_Cat))&gt;0)*(((Rev_Region="All")+(Sales_Region=Rev_Region))&gt;0)*((Rev_Idx=1)*Sales_Net+(Rev_Idx=2)*Sales_COGS+(Rev_Idx=3)*Sales_GP))</f>
        <v>263346</v>
      </c>
      <c r="D54" s="50" t="n">
        <f aca="false">IFERROR(C54/C$55,0)</f>
        <v>0.270808953130367</v>
      </c>
      <c r="E54" s="40" t="n">
        <f aca="false">SUMPRODUCT((Sales_Year=Rev_Year-1)*(Sales_Qtr=$B54)*(((Rev_Cat="All")+(Sales_Cat=Rev_Cat))&gt;0)*(((Rev_Region="All")+(Sales_Region=Rev_Region))&gt;0)*((Rev_Idx=1)*Sales_Net+(Rev_Idx=2)*Sales_COGS+(Rev_Idx=3)*Sales_GP))</f>
        <v>241721</v>
      </c>
      <c r="F54" s="70" t="n">
        <f aca="false">IF(E54=0,"n/a",C54/E54-1)</f>
        <v>0.0894626449501699</v>
      </c>
    </row>
    <row r="55" customFormat="false" ht="15" hidden="false" customHeight="false" outlineLevel="0" collapsed="false">
      <c r="B55" s="45" t="s">
        <v>422</v>
      </c>
      <c r="C55" s="47" t="n">
        <f aca="false">SUM(C51:C54)</f>
        <v>972442</v>
      </c>
      <c r="D55" s="79" t="n">
        <f aca="false">SUM(D51:D54)</f>
        <v>1</v>
      </c>
      <c r="E55" s="47" t="n">
        <f aca="false">SUM(E51:E54)</f>
        <v>897238</v>
      </c>
      <c r="F55" s="76" t="n">
        <f aca="false">IF(E55=0,"n/a",C55/E55-1)</f>
        <v>0.0838172257528103</v>
      </c>
    </row>
  </sheetData>
  <conditionalFormatting sqref="D13:D24">
    <cfRule type="dataBar" priority="2">
      <dataBar showValue="1" minLength="10" maxLength="90">
        <cfvo type="min" val="0"/>
        <cfvo type="max" val="0"/>
        <color rgb="FF8DB4E2"/>
      </dataBar>
      <extLst>
        <ext xmlns:x14="http://schemas.microsoft.com/office/spreadsheetml/2009/9/main" uri="{B025F937-C7B1-47D3-B67F-A62EFF666E3E}">
          <x14:id>{257BDFD4-8857-4FCB-B8DC-80494E364163}</x14:id>
        </ext>
      </extLst>
    </cfRule>
  </conditionalFormatting>
  <conditionalFormatting sqref="I13:I24">
    <cfRule type="expression" priority="3" aboveAverage="0" equalAverage="0" bottom="0" percent="0" rank="0" text="" dxfId="2">
      <formula>LEFT(I13,1)="▲"</formula>
    </cfRule>
    <cfRule type="expression" priority="4" aboveAverage="0" equalAverage="0" bottom="0" percent="0" rank="0" text="" dxfId="3">
      <formula>LEFT(I13,1)="▼"</formula>
    </cfRule>
  </conditionalFormatting>
  <conditionalFormatting sqref="D36:D39">
    <cfRule type="dataBar" priority="5">
      <dataBar showValue="1" minLength="10" maxLength="90">
        <cfvo type="num" val="0"/>
        <cfvo type="num" val="1"/>
        <color rgb="FFC9A227"/>
      </dataBar>
      <extLst>
        <ext xmlns:x14="http://schemas.microsoft.com/office/spreadsheetml/2009/9/main" uri="{B025F937-C7B1-47D3-B67F-A62EFF666E3E}">
          <x14:id>{4E469DBC-79B2-40C6-8022-B2C125A989AB}</x14:id>
        </ext>
      </extLst>
    </cfRule>
  </conditionalFormatting>
  <conditionalFormatting sqref="D44:D46">
    <cfRule type="dataBar" priority="6">
      <dataBar showValue="1" minLength="10" maxLength="90">
        <cfvo type="num" val="0"/>
        <cfvo type="num" val="1"/>
        <color rgb="FFC9A227"/>
      </dataBar>
      <extLst>
        <ext xmlns:x14="http://schemas.microsoft.com/office/spreadsheetml/2009/9/main" uri="{B025F937-C7B1-47D3-B67F-A62EFF666E3E}">
          <x14:id>{D3E241C1-9332-4AC6-B2B6-833F10A08E96}</x14:id>
        </ext>
      </extLst>
    </cfRule>
  </conditionalFormatting>
  <conditionalFormatting sqref="F13:F25">
    <cfRule type="expression" priority="7" aboveAverage="0" equalAverage="0" bottom="0" percent="0" rank="0" text="" dxfId="5">
      <formula>AND(ISNUMBER(F13),F13&lt;0)</formula>
    </cfRule>
  </conditionalFormatting>
  <conditionalFormatting sqref="F36:F40">
    <cfRule type="expression" priority="8" aboveAverage="0" equalAverage="0" bottom="0" percent="0" rank="0" text="" dxfId="5">
      <formula>AND(ISNUMBER(F36),F36&lt;0)</formula>
    </cfRule>
  </conditionalFormatting>
  <conditionalFormatting sqref="F44:F47">
    <cfRule type="expression" priority="9" aboveAverage="0" equalAverage="0" bottom="0" percent="0" rank="0" text="" dxfId="5">
      <formula>AND(ISNUMBER(F44),F44&lt;0)</formula>
    </cfRule>
  </conditionalFormatting>
  <conditionalFormatting sqref="F51:F55">
    <cfRule type="expression" priority="10" aboveAverage="0" equalAverage="0" bottom="0" percent="0" rank="0" text="" dxfId="5">
      <formula>AND(ISNUMBER(F51),F51&lt;0)</formula>
    </cfRule>
  </conditionalFormatting>
  <dataValidations count="4">
    <dataValidation allowBlank="false" error="Pick a value from the list." errorStyle="stop" errorTitle="Invalid selection" operator="between" showDropDown="false" showErrorMessage="true" showInputMessage="false" sqref="C5" type="list">
      <formula1>FY_List</formula1>
      <formula2>0</formula2>
    </dataValidation>
    <dataValidation allowBlank="false" error="Pick a value from the list." errorStyle="stop" errorTitle="Invalid selection" operator="between" showDropDown="false" showErrorMessage="true" showInputMessage="false" sqref="C6" type="list">
      <formula1>Cat_All</formula1>
      <formula2>0</formula2>
    </dataValidation>
    <dataValidation allowBlank="false" error="Pick a value from the list." errorStyle="stop" errorTitle="Invalid selection" operator="between" showDropDown="false" showErrorMessage="true" showInputMessage="false" sqref="C7" type="list">
      <formula1>Region_All</formula1>
      <formula2>0</formula2>
    </dataValidation>
    <dataValidation allowBlank="false" error="Pick a value from the list." errorStyle="stop" errorTitle="Invalid selection" operator="between" showDropDown="false" showErrorMessage="true" showInputMessage="false" sqref="C8" type="list">
      <formula1>Metric_List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57BDFD4-8857-4FCB-B8DC-80494E364163}">
            <x14:dataBar minLength="10" maxLength="90" axisPosition="none" gradient="true">
              <x14:cfvo type="min"/>
              <x14:cfvo type="max"/>
              <x14:negativeFillColor rgb="FF8DB4E2"/>
              <x14:axisColor rgb="FF000000"/>
            </x14:dataBar>
          </x14:cfRule>
          <xm:sqref>D13:D24</xm:sqref>
        </x14:conditionalFormatting>
        <x14:conditionalFormatting xmlns:xm="http://schemas.microsoft.com/office/excel/2006/main">
          <x14:cfRule type="dataBar" id="{4E469DBC-79B2-40C6-8022-B2C125A989AB}">
            <x14:dataBar minLength="10" maxLength="90" axisPosition="none" gradient="true">
              <x14:cfvo type="num">
                <xm:f>0</xm:f>
              </x14:cfvo>
              <x14:cfvo type="num">
                <xm:f>1</xm:f>
              </x14:cfvo>
              <x14:negativeFillColor rgb="FFC9A227"/>
              <x14:axisColor rgb="FF000000"/>
            </x14:dataBar>
          </x14:cfRule>
          <xm:sqref>D36:D39</xm:sqref>
        </x14:conditionalFormatting>
        <x14:conditionalFormatting xmlns:xm="http://schemas.microsoft.com/office/excel/2006/main">
          <x14:cfRule type="dataBar" id="{D3E241C1-9332-4AC6-B2B6-833F10A08E96}">
            <x14:dataBar minLength="10" maxLength="90" axisPosition="none" gradient="true">
              <x14:cfvo type="num">
                <xm:f>0</xm:f>
              </x14:cfvo>
              <x14:cfvo type="num">
                <xm:f>1</xm:f>
              </x14:cfvo>
              <x14:negativeFillColor rgb="FFC9A227"/>
              <x14:axisColor rgb="FF000000"/>
            </x14:dataBar>
          </x14:cfRule>
          <xm:sqref>D44:D46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5"/>
    <col collapsed="false" customWidth="true" hidden="false" outlineLevel="0" max="4" min="4" style="0" width="14"/>
    <col collapsed="false" customWidth="true" hidden="false" outlineLevel="0" max="5" min="5" style="0" width="15"/>
    <col collapsed="false" customWidth="true" hidden="false" outlineLevel="0" max="6" min="6" style="0" width="12"/>
    <col collapsed="false" customWidth="true" hidden="false" outlineLevel="0" max="7" min="7" style="0" width="14"/>
    <col collapsed="false" customWidth="true" hidden="false" outlineLevel="0" max="8" min="8" style="0" width="10"/>
    <col collapsed="false" customWidth="true" hidden="false" outlineLevel="0" max="9" min="9" style="0" width="14"/>
    <col collapsed="false" customWidth="true" hidden="false" outlineLevel="0" max="10" min="10" style="0" width="24"/>
    <col collapsed="false" customWidth="true" hidden="false" outlineLevel="0" max="11" min="11" style="0" width="3"/>
  </cols>
  <sheetData>
    <row r="1" customFormat="false" ht="24" hidden="false" customHeight="true" outlineLevel="0" collapsed="false">
      <c r="B1" s="17" t="s">
        <v>68</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437</v>
      </c>
    </row>
    <row r="5" customFormat="false" ht="15" hidden="false" customHeight="false" outlineLevel="0" collapsed="false">
      <c r="B5" s="8" t="s">
        <v>117</v>
      </c>
      <c r="C5" s="63" t="n">
        <v>2025</v>
      </c>
    </row>
    <row r="6" customFormat="false" ht="15" hidden="false" customHeight="false" outlineLevel="0" collapsed="false">
      <c r="B6" s="68" t="s">
        <v>438</v>
      </c>
      <c r="C6" s="40" t="n">
        <f aca="false">INDEX(Income_Statement!$D$7:$F$7,MATCH(Exp_SelYear,Income_Statement!$D$5:$F$5,0))</f>
        <v>972442</v>
      </c>
    </row>
    <row r="7" customFormat="false" ht="15" hidden="false" customHeight="false" outlineLevel="0" collapsed="false">
      <c r="B7" s="68" t="s">
        <v>439</v>
      </c>
      <c r="C7" s="40" t="n">
        <f aca="false">IFERROR(INDEX(Income_Statement!$D$7:$F$7,MATCH(Exp_SelYear-1,Income_Statement!$D$5:$F$5,0)),0)</f>
        <v>897238</v>
      </c>
    </row>
    <row r="8" customFormat="false" ht="15" hidden="false" customHeight="false" outlineLevel="0" collapsed="false">
      <c r="B8" s="68" t="s">
        <v>440</v>
      </c>
      <c r="C8" s="50" t="n">
        <f aca="false">IF(C7=0,0,C6/C7-1)</f>
        <v>0.0838172257528103</v>
      </c>
    </row>
    <row r="10" customFormat="false" ht="15" hidden="false" customHeight="false" outlineLevel="0" collapsed="false">
      <c r="B10" s="12" t="s">
        <v>441</v>
      </c>
      <c r="C10" s="13"/>
      <c r="D10" s="13"/>
      <c r="E10" s="13"/>
      <c r="F10" s="13"/>
      <c r="G10" s="13"/>
      <c r="H10" s="13"/>
      <c r="I10" s="13"/>
      <c r="J10" s="13"/>
    </row>
    <row r="11" customFormat="false" ht="33.75" hidden="false" customHeight="true" outlineLevel="0" collapsed="false">
      <c r="B11" s="49" t="s">
        <v>442</v>
      </c>
      <c r="C11" s="36" t="s">
        <v>416</v>
      </c>
      <c r="D11" s="36" t="s">
        <v>443</v>
      </c>
      <c r="E11" s="36" t="s">
        <v>406</v>
      </c>
      <c r="F11" s="36" t="s">
        <v>417</v>
      </c>
      <c r="G11" s="36" t="s">
        <v>444</v>
      </c>
      <c r="H11" s="36"/>
      <c r="I11" s="36"/>
      <c r="J11" s="36" t="s">
        <v>445</v>
      </c>
    </row>
    <row r="12" customFormat="false" ht="15" hidden="false" customHeight="false" outlineLevel="0" collapsed="false">
      <c r="B12" s="39" t="s">
        <v>446</v>
      </c>
      <c r="C12" s="40" t="n">
        <f aca="false">SUMIFS(Exp_Amt,Exp_Year,Exp_SelYear,Exp_Func,Func_SD)</f>
        <v>106077</v>
      </c>
      <c r="D12" s="50" t="n">
        <f aca="false">IFERROR(C12/$C$6,0)</f>
        <v>0.109083112411846</v>
      </c>
      <c r="E12" s="40" t="n">
        <f aca="false">SUMIFS(Exp_Amt,Exp_Year,Exp_SelYear-1,Exp_Func,Func_SD)</f>
        <v>99930</v>
      </c>
      <c r="F12" s="70" t="n">
        <f aca="false">IF(E12=0,"n/a",C12/E12-1)</f>
        <v>0.061513059141399</v>
      </c>
      <c r="G12" s="50" t="n">
        <f aca="false">IFERROR(C12/$C$15,0)</f>
        <v>0.554909212653209</v>
      </c>
      <c r="J12" s="68" t="str">
        <f aca="false">IF(E12=0,"",IF(F12&gt;$C$8+Var_Threshold,"▲ Outpacing sales",IF(F12&lt;$C$8-Var_Threshold,"▼ Below sales growth","● In line")))</f>
        <v>● In line</v>
      </c>
    </row>
    <row r="13" customFormat="false" ht="15" hidden="false" customHeight="false" outlineLevel="0" collapsed="false">
      <c r="B13" s="39" t="s">
        <v>447</v>
      </c>
      <c r="C13" s="40" t="n">
        <f aca="false">SUMIFS(Exp_Amt,Exp_Year,Exp_SelYear,Exp_Func,Func_GA)</f>
        <v>63827</v>
      </c>
      <c r="D13" s="50" t="n">
        <f aca="false">IFERROR(C13/$C$6,0)</f>
        <v>0.0656357911320161</v>
      </c>
      <c r="E13" s="40" t="n">
        <f aca="false">SUMIFS(Exp_Amt,Exp_Year,Exp_SelYear-1,Exp_Func,Func_GA)</f>
        <v>61197</v>
      </c>
      <c r="F13" s="70" t="n">
        <f aca="false">IF(E13=0,"n/a",C13/E13-1)</f>
        <v>0.0429759628739972</v>
      </c>
      <c r="G13" s="50" t="n">
        <f aca="false">IFERROR(C13/$C$15,0)</f>
        <v>0.333891327205863</v>
      </c>
      <c r="J13" s="68" t="str">
        <f aca="false">IF(E13=0,"",IF(F13&gt;$C$8+Var_Threshold,"▲ Outpacing sales",IF(F13&lt;$C$8-Var_Threshold,"▼ Below sales growth","● In line")))</f>
        <v>● In line</v>
      </c>
    </row>
    <row r="14" customFormat="false" ht="15" hidden="false" customHeight="false" outlineLevel="0" collapsed="false">
      <c r="B14" s="39" t="s">
        <v>92</v>
      </c>
      <c r="C14" s="40" t="n">
        <f aca="false">-INDEX(Income_Statement!$D$12:$F$12,MATCH(Exp_SelYear,Income_Statement!$D$5:$F$5,0))</f>
        <v>21257</v>
      </c>
      <c r="D14" s="50" t="n">
        <f aca="false">IFERROR(C14/$C$6,0)</f>
        <v>0.0218594013833216</v>
      </c>
      <c r="E14" s="40" t="n">
        <f aca="false">IFERROR(-INDEX(Income_Statement!$D$12:$F$12,MATCH(Exp_SelYear-1,Income_Statement!$D$5:$F$5,0)),0)</f>
        <v>19250</v>
      </c>
      <c r="F14" s="70" t="n">
        <f aca="false">IF(E14=0,"n/a",C14/E14-1)</f>
        <v>0.10425974025974</v>
      </c>
      <c r="G14" s="50" t="n">
        <f aca="false">IFERROR(C14/$C$15,0)</f>
        <v>0.111199460140928</v>
      </c>
      <c r="J14" s="68" t="str">
        <f aca="false">IF(E14=0,"",IF(F14&gt;$C$8+Var_Threshold,"▲ Outpacing sales",IF(F14&lt;$C$8-Var_Threshold,"▼ Below sales growth","● In line")))</f>
        <v>● In line</v>
      </c>
    </row>
    <row r="15" customFormat="false" ht="15" hidden="false" customHeight="false" outlineLevel="0" collapsed="false">
      <c r="B15" s="41" t="s">
        <v>448</v>
      </c>
      <c r="C15" s="43" t="n">
        <f aca="false">SUM(C12:C14)</f>
        <v>191161</v>
      </c>
      <c r="D15" s="60" t="n">
        <f aca="false">IFERROR(C15/$C$6,0)</f>
        <v>0.196578304927183</v>
      </c>
      <c r="E15" s="43" t="n">
        <f aca="false">SUM(E12:E14)</f>
        <v>180377</v>
      </c>
      <c r="F15" s="80" t="n">
        <f aca="false">IF(E15=0,"n/a",C15/E15-1)</f>
        <v>0.0597858928799127</v>
      </c>
      <c r="G15" s="60" t="n">
        <f aca="false">IFERROR(C15/$C$15,0)</f>
        <v>1</v>
      </c>
      <c r="J15" s="68" t="str">
        <f aca="false">IF(E15=0,"",IF(F15&gt;$C$8+Var_Threshold,"▲ Outpacing sales",IF(F15&lt;$C$8-Var_Threshold,"▼ Below sales growth","● In line")))</f>
        <v>● In line</v>
      </c>
    </row>
    <row r="16" customFormat="false" ht="15" hidden="false" customHeight="false" outlineLevel="0" collapsed="false">
      <c r="B16" s="39" t="s">
        <v>145</v>
      </c>
      <c r="C16" s="40" t="n">
        <f aca="false">-INDEX(Income_Statement!$D$17:$F$17,MATCH(Exp_SelYear,Income_Statement!$D$5:$F$5,0))</f>
        <v>11696</v>
      </c>
      <c r="D16" s="50" t="n">
        <f aca="false">IFERROR(C16/$C$6,0)</f>
        <v>0.0120274525370151</v>
      </c>
      <c r="E16" s="40" t="n">
        <f aca="false">IFERROR(-INDEX(Income_Statement!$D$17:$F$17,MATCH(Exp_SelYear-1,Income_Statement!$D$5:$F$5,0)),0)</f>
        <v>11475</v>
      </c>
      <c r="F16" s="70" t="n">
        <f aca="false">IF(E16=0,"n/a",C16/E16-1)</f>
        <v>0.0192592592592593</v>
      </c>
      <c r="J16" s="68" t="str">
        <f aca="false">IF(E16=0,"",IF(F16&gt;$C$8+Var_Threshold,"▲ Outpacing sales",IF(F16&lt;$C$8-Var_Threshold,"▼ Below sales growth","● In line")))</f>
        <v>● In line</v>
      </c>
    </row>
    <row r="17" customFormat="false" ht="15" hidden="false" customHeight="false" outlineLevel="0" collapsed="false">
      <c r="B17" s="39" t="s">
        <v>135</v>
      </c>
      <c r="C17" s="40" t="n">
        <f aca="false">-INDEX(Income_Statement!$D$8:$F$8,MATCH(Exp_SelYear,Income_Statement!$D$5:$F$5,0))</f>
        <v>722548</v>
      </c>
      <c r="D17" s="50" t="n">
        <f aca="false">IFERROR(C17/$C$6,0)</f>
        <v>0.743024262629545</v>
      </c>
      <c r="E17" s="40" t="n">
        <f aca="false">IFERROR(-INDEX(Income_Statement!$D$8:$F$8,MATCH(Exp_SelYear-1,Income_Statement!$D$5:$F$5,0)),0)</f>
        <v>668558</v>
      </c>
      <c r="F17" s="70" t="n">
        <f aca="false">IF(E17=0,"n/a",C17/E17-1)</f>
        <v>0.0807558955243972</v>
      </c>
      <c r="J17" s="68" t="str">
        <f aca="false">IF(E17=0,"",IF(F17&gt;$C$8+Var_Threshold,"▲ Outpacing sales",IF(F17&lt;$C$8-Var_Threshold,"▼ Below sales growth","● In line")))</f>
        <v>● In line</v>
      </c>
    </row>
    <row r="19" customFormat="false" ht="15" hidden="false" customHeight="false" outlineLevel="0" collapsed="false">
      <c r="B19" s="12" t="s">
        <v>449</v>
      </c>
      <c r="C19" s="13"/>
      <c r="D19" s="13"/>
      <c r="E19" s="13"/>
      <c r="F19" s="13"/>
      <c r="G19" s="13"/>
      <c r="H19" s="13"/>
      <c r="I19" s="13"/>
      <c r="J19" s="13"/>
    </row>
    <row r="20" customFormat="false" ht="33.75" hidden="false" customHeight="true" outlineLevel="0" collapsed="false">
      <c r="B20" s="49" t="s">
        <v>450</v>
      </c>
      <c r="C20" s="36" t="s">
        <v>416</v>
      </c>
      <c r="D20" s="36" t="s">
        <v>443</v>
      </c>
      <c r="E20" s="36" t="s">
        <v>406</v>
      </c>
      <c r="F20" s="36" t="s">
        <v>417</v>
      </c>
      <c r="G20" s="36" t="s">
        <v>451</v>
      </c>
      <c r="H20" s="36" t="s">
        <v>431</v>
      </c>
      <c r="I20" s="36" t="s">
        <v>452</v>
      </c>
      <c r="J20" s="36" t="s">
        <v>445</v>
      </c>
    </row>
    <row r="21" customFormat="false" ht="15" hidden="false" customHeight="false" outlineLevel="0" collapsed="false">
      <c r="B21" s="78" t="str">
        <f aca="false">Inputs!B100</f>
        <v>Sales commissions &amp; incentives</v>
      </c>
      <c r="C21" s="40" t="n">
        <f aca="false">SUMIFS(Exp_Amt,Exp_Year,Exp_SelYear,Exp_Line,$B21)</f>
        <v>15695</v>
      </c>
      <c r="D21" s="50" t="n">
        <f aca="false">IFERROR(C21/$C$6,0)</f>
        <v>0.0161397800588621</v>
      </c>
      <c r="E21" s="40" t="n">
        <f aca="false">SUMIFS(Exp_Amt,Exp_Year,Exp_SelYear-1,Exp_Line,$B21)</f>
        <v>14338</v>
      </c>
      <c r="F21" s="70" t="n">
        <f aca="false">IF(E21=0,"n/a",C21/E21-1)</f>
        <v>0.0946436044078671</v>
      </c>
      <c r="G21" s="50" t="n">
        <f aca="false">IFERROR(C21/C$34,0)</f>
        <v>0.0923756945098408</v>
      </c>
      <c r="H21" s="71" t="n">
        <f aca="false">RANK(C21,$C$21:$C$33)</f>
        <v>5</v>
      </c>
      <c r="I21" s="61" t="str">
        <f aca="false">VLOOKUP(B21,Map_Table,4,FALSE())</f>
        <v>Variable</v>
      </c>
      <c r="J21" s="68" t="str">
        <f aca="false">IF(E21=0,"",IF(F21&gt;$C$8+Var_Threshold,"▲ Outpacing sales",IF(F21&lt;$C$8-Var_Threshold,"▼ Below sales growth","● In line")))</f>
        <v>● In line</v>
      </c>
    </row>
    <row r="22" customFormat="false" ht="15" hidden="false" customHeight="false" outlineLevel="0" collapsed="false">
      <c r="B22" s="78" t="str">
        <f aca="false">Inputs!B101</f>
        <v>Advertising &amp; promotions</v>
      </c>
      <c r="C22" s="40" t="n">
        <f aca="false">SUMIFS(Exp_Amt,Exp_Year,Exp_SelYear,Exp_Line,$B22)</f>
        <v>9363</v>
      </c>
      <c r="D22" s="50" t="n">
        <f aca="false">IFERROR(C22/$C$6,0)</f>
        <v>0.00962833773119631</v>
      </c>
      <c r="E22" s="40" t="n">
        <f aca="false">SUMIFS(Exp_Amt,Exp_Year,Exp_SelYear-1,Exp_Line,$B22)</f>
        <v>8683</v>
      </c>
      <c r="F22" s="70" t="n">
        <f aca="false">IF(E22=0,"n/a",C22/E22-1)</f>
        <v>0.0783139467925833</v>
      </c>
      <c r="G22" s="50" t="n">
        <f aca="false">IFERROR(C22/C$34,0)</f>
        <v>0.0551075901685658</v>
      </c>
      <c r="H22" s="71" t="n">
        <f aca="false">RANK(C22,$C$21:$C$33)</f>
        <v>6</v>
      </c>
      <c r="I22" s="61" t="str">
        <f aca="false">VLOOKUP(B22,Map_Table,4,FALSE())</f>
        <v>Variable</v>
      </c>
      <c r="J22" s="68" t="str">
        <f aca="false">IF(E22=0,"",IF(F22&gt;$C$8+Var_Threshold,"▲ Outpacing sales",IF(F22&lt;$C$8-Var_Threshold,"▼ Below sales growth","● In line")))</f>
        <v>● In line</v>
      </c>
    </row>
    <row r="23" customFormat="false" ht="15" hidden="false" customHeight="false" outlineLevel="0" collapsed="false">
      <c r="B23" s="78" t="str">
        <f aca="false">Inputs!B102</f>
        <v>Freight &amp; delivery</v>
      </c>
      <c r="C23" s="40" t="n">
        <f aca="false">SUMIFS(Exp_Amt,Exp_Year,Exp_SelYear,Exp_Line,$B23)</f>
        <v>23337</v>
      </c>
      <c r="D23" s="50" t="n">
        <f aca="false">IFERROR(C23/$C$6,0)</f>
        <v>0.023998346430944</v>
      </c>
      <c r="E23" s="40" t="n">
        <f aca="false">SUMIFS(Exp_Amt,Exp_Year,Exp_SelYear-1,Exp_Line,$B23)</f>
        <v>21643</v>
      </c>
      <c r="F23" s="70" t="n">
        <f aca="false">IF(E23=0,"n/a",C23/E23-1)</f>
        <v>0.0782701104283141</v>
      </c>
      <c r="G23" s="50" t="n">
        <f aca="false">IFERROR(C23/C$34,0)</f>
        <v>0.137354035219889</v>
      </c>
      <c r="H23" s="71" t="n">
        <f aca="false">RANK(C23,$C$21:$C$33)</f>
        <v>4</v>
      </c>
      <c r="I23" s="61" t="str">
        <f aca="false">VLOOKUP(B23,Map_Table,4,FALSE())</f>
        <v>Variable</v>
      </c>
      <c r="J23" s="68" t="str">
        <f aca="false">IF(E23=0,"",IF(F23&gt;$C$8+Var_Threshold,"▲ Outpacing sales",IF(F23&lt;$C$8-Var_Threshold,"▼ Below sales growth","● In line")))</f>
        <v>● In line</v>
      </c>
    </row>
    <row r="24" customFormat="false" ht="15" hidden="false" customHeight="false" outlineLevel="0" collapsed="false">
      <c r="B24" s="78" t="str">
        <f aca="false">Inputs!B103</f>
        <v>Warehouse rent &amp; utilities</v>
      </c>
      <c r="C24" s="40" t="n">
        <f aca="false">SUMIFS(Exp_Amt,Exp_Year,Exp_SelYear,Exp_Line,$B24)</f>
        <v>24992</v>
      </c>
      <c r="D24" s="50" t="n">
        <f aca="false">IFERROR(C24/$C$6,0)</f>
        <v>0.025700247418355</v>
      </c>
      <c r="E24" s="40" t="n">
        <f aca="false">SUMIFS(Exp_Amt,Exp_Year,Exp_SelYear-1,Exp_Line,$B24)</f>
        <v>23767</v>
      </c>
      <c r="F24" s="70" t="n">
        <f aca="false">IF(E24=0,"n/a",C24/E24-1)</f>
        <v>0.051542054108638</v>
      </c>
      <c r="G24" s="50" t="n">
        <f aca="false">IFERROR(C24/C$34,0)</f>
        <v>0.147094830021659</v>
      </c>
      <c r="H24" s="71" t="n">
        <f aca="false">RANK(C24,$C$21:$C$33)</f>
        <v>3</v>
      </c>
      <c r="I24" s="61" t="str">
        <f aca="false">VLOOKUP(B24,Map_Table,4,FALSE())</f>
        <v>Fixed</v>
      </c>
      <c r="J24" s="68" t="str">
        <f aca="false">IF(E24=0,"",IF(F24&gt;$C$8+Var_Threshold,"▲ Outpacing sales",IF(F24&lt;$C$8-Var_Threshold,"▼ Below sales growth","● In line")))</f>
        <v>● In line</v>
      </c>
    </row>
    <row r="25" customFormat="false" ht="15" hidden="false" customHeight="false" outlineLevel="0" collapsed="false">
      <c r="B25" s="78" t="str">
        <f aca="false">Inputs!B104</f>
        <v>Selling &amp; logistics staff costs</v>
      </c>
      <c r="C25" s="40" t="n">
        <f aca="false">SUMIFS(Exp_Amt,Exp_Year,Exp_SelYear,Exp_Line,$B25)</f>
        <v>32690</v>
      </c>
      <c r="D25" s="50" t="n">
        <f aca="false">IFERROR(C25/$C$6,0)</f>
        <v>0.0336164007724882</v>
      </c>
      <c r="E25" s="40" t="n">
        <f aca="false">SUMIFS(Exp_Amt,Exp_Year,Exp_SelYear-1,Exp_Line,$B25)</f>
        <v>31499</v>
      </c>
      <c r="F25" s="70" t="n">
        <f aca="false">IF(E25=0,"n/a",C25/E25-1)</f>
        <v>0.037810724149973</v>
      </c>
      <c r="G25" s="50" t="n">
        <f aca="false">IFERROR(C25/C$34,0)</f>
        <v>0.192402768622281</v>
      </c>
      <c r="H25" s="71" t="n">
        <f aca="false">RANK(C25,$C$21:$C$33)</f>
        <v>1</v>
      </c>
      <c r="I25" s="61" t="str">
        <f aca="false">VLOOKUP(B25,Map_Table,4,FALSE())</f>
        <v>Fixed</v>
      </c>
      <c r="J25" s="68" t="str">
        <f aca="false">IF(E25=0,"",IF(F25&gt;$C$8+Var_Threshold,"▲ Outpacing sales",IF(F25&lt;$C$8-Var_Threshold,"▼ Below sales growth","● In line")))</f>
        <v>● In line</v>
      </c>
    </row>
    <row r="26" customFormat="false" ht="15" hidden="false" customHeight="false" outlineLevel="0" collapsed="false">
      <c r="B26" s="78" t="str">
        <f aca="false">Inputs!B105</f>
        <v>Salaries &amp; wages (G&amp;A)</v>
      </c>
      <c r="C26" s="40" t="n">
        <f aca="false">SUMIFS(Exp_Amt,Exp_Year,Exp_SelYear,Exp_Line,$B26)</f>
        <v>30213</v>
      </c>
      <c r="D26" s="50" t="n">
        <f aca="false">IFERROR(C26/$C$6,0)</f>
        <v>0.0310692051556802</v>
      </c>
      <c r="E26" s="40" t="n">
        <f aca="false">SUMIFS(Exp_Amt,Exp_Year,Exp_SelYear-1,Exp_Line,$B26)</f>
        <v>28920</v>
      </c>
      <c r="F26" s="70" t="n">
        <f aca="false">IF(E26=0,"n/a",C26/E26-1)</f>
        <v>0.0447095435684648</v>
      </c>
      <c r="G26" s="50" t="n">
        <f aca="false">IFERROR(C26/C$34,0)</f>
        <v>0.177823947641021</v>
      </c>
      <c r="H26" s="71" t="n">
        <f aca="false">RANK(C26,$C$21:$C$33)</f>
        <v>2</v>
      </c>
      <c r="I26" s="61" t="str">
        <f aca="false">VLOOKUP(B26,Map_Table,4,FALSE())</f>
        <v>Fixed</v>
      </c>
      <c r="J26" s="68" t="str">
        <f aca="false">IF(E26=0,"",IF(F26&gt;$C$8+Var_Threshold,"▲ Outpacing sales",IF(F26&lt;$C$8-Var_Threshold,"▼ Below sales growth","● In line")))</f>
        <v>● In line</v>
      </c>
    </row>
    <row r="27" customFormat="false" ht="15" hidden="false" customHeight="false" outlineLevel="0" collapsed="false">
      <c r="B27" s="78" t="str">
        <f aca="false">Inputs!B106</f>
        <v>Employee benefits &amp; contributions</v>
      </c>
      <c r="C27" s="40" t="n">
        <f aca="false">SUMIFS(Exp_Amt,Exp_Year,Exp_SelYear,Exp_Line,$B27)</f>
        <v>8130</v>
      </c>
      <c r="D27" s="50" t="n">
        <f aca="false">IFERROR(C27/$C$6,0)</f>
        <v>0.00836039578710093</v>
      </c>
      <c r="E27" s="40" t="n">
        <f aca="false">SUMIFS(Exp_Amt,Exp_Year,Exp_SelYear-1,Exp_Line,$B27)</f>
        <v>7808</v>
      </c>
      <c r="F27" s="70" t="n">
        <f aca="false">IF(E27=0,"n/a",C27/E27-1)</f>
        <v>0.0412397540983607</v>
      </c>
      <c r="G27" s="50" t="n">
        <f aca="false">IFERROR(C27/C$34,0)</f>
        <v>0.0478505508993314</v>
      </c>
      <c r="H27" s="71" t="n">
        <f aca="false">RANK(C27,$C$21:$C$33)</f>
        <v>7</v>
      </c>
      <c r="I27" s="61" t="str">
        <f aca="false">VLOOKUP(B27,Map_Table,4,FALSE())</f>
        <v>Fixed</v>
      </c>
      <c r="J27" s="68" t="str">
        <f aca="false">IF(E27=0,"",IF(F27&gt;$C$8+Var_Threshold,"▲ Outpacing sales",IF(F27&lt;$C$8-Var_Threshold,"▼ Below sales growth","● In line")))</f>
        <v>● In line</v>
      </c>
    </row>
    <row r="28" customFormat="false" ht="15" hidden="false" customHeight="false" outlineLevel="0" collapsed="false">
      <c r="B28" s="78" t="str">
        <f aca="false">Inputs!B107</f>
        <v>Professional fees</v>
      </c>
      <c r="C28" s="40" t="n">
        <f aca="false">SUMIFS(Exp_Amt,Exp_Year,Exp_SelYear,Exp_Line,$B28)</f>
        <v>4500</v>
      </c>
      <c r="D28" s="50" t="n">
        <f aca="false">IFERROR(C28/$C$6,0)</f>
        <v>0.0046275253434138</v>
      </c>
      <c r="E28" s="40" t="n">
        <f aca="false">SUMIFS(Exp_Amt,Exp_Year,Exp_SelYear-1,Exp_Line,$B28)</f>
        <v>4266</v>
      </c>
      <c r="F28" s="70" t="n">
        <f aca="false">IF(E28=0,"n/a",C28/E28-1)</f>
        <v>0.0548523206751055</v>
      </c>
      <c r="G28" s="50" t="n">
        <f aca="false">IFERROR(C28/C$34,0)</f>
        <v>0.0264855447782277</v>
      </c>
      <c r="H28" s="71" t="n">
        <f aca="false">RANK(C28,$C$21:$C$33)</f>
        <v>10</v>
      </c>
      <c r="I28" s="61" t="str">
        <f aca="false">VLOOKUP(B28,Map_Table,4,FALSE())</f>
        <v>Fixed</v>
      </c>
      <c r="J28" s="68" t="str">
        <f aca="false">IF(E28=0,"",IF(F28&gt;$C$8+Var_Threshold,"▲ Outpacing sales",IF(F28&lt;$C$8-Var_Threshold,"▼ Below sales growth","● In line")))</f>
        <v>● In line</v>
      </c>
    </row>
    <row r="29" customFormat="false" ht="15" hidden="false" customHeight="false" outlineLevel="0" collapsed="false">
      <c r="B29" s="78" t="str">
        <f aca="false">Inputs!B108</f>
        <v>Office rent &amp; utilities</v>
      </c>
      <c r="C29" s="40" t="n">
        <f aca="false">SUMIFS(Exp_Amt,Exp_Year,Exp_SelYear,Exp_Line,$B29)</f>
        <v>6839</v>
      </c>
      <c r="D29" s="50" t="n">
        <f aca="false">IFERROR(C29/$C$6,0)</f>
        <v>0.00703281018302377</v>
      </c>
      <c r="E29" s="40" t="n">
        <f aca="false">SUMIFS(Exp_Amt,Exp_Year,Exp_SelYear-1,Exp_Line,$B29)</f>
        <v>6572</v>
      </c>
      <c r="F29" s="70" t="n">
        <f aca="false">IF(E29=0,"n/a",C29/E29-1)</f>
        <v>0.040626902008521</v>
      </c>
      <c r="G29" s="50" t="n">
        <f aca="false">IFERROR(C29/C$34,0)</f>
        <v>0.0402521423862887</v>
      </c>
      <c r="H29" s="71" t="n">
        <f aca="false">RANK(C29,$C$21:$C$33)</f>
        <v>8</v>
      </c>
      <c r="I29" s="61" t="str">
        <f aca="false">VLOOKUP(B29,Map_Table,4,FALSE())</f>
        <v>Fixed</v>
      </c>
      <c r="J29" s="68" t="str">
        <f aca="false">IF(E29=0,"",IF(F29&gt;$C$8+Var_Threshold,"▲ Outpacing sales",IF(F29&lt;$C$8-Var_Threshold,"▼ Below sales growth","● In line")))</f>
        <v>● In line</v>
      </c>
    </row>
    <row r="30" customFormat="false" ht="15" hidden="false" customHeight="false" outlineLevel="0" collapsed="false">
      <c r="B30" s="78" t="str">
        <f aca="false">Inputs!B109</f>
        <v>Repairs &amp; maintenance</v>
      </c>
      <c r="C30" s="40" t="n">
        <f aca="false">SUMIFS(Exp_Amt,Exp_Year,Exp_SelYear,Exp_Line,$B30)</f>
        <v>2729</v>
      </c>
      <c r="D30" s="50" t="n">
        <f aca="false">IFERROR(C30/$C$6,0)</f>
        <v>0.00280633703603917</v>
      </c>
      <c r="E30" s="40" t="n">
        <f aca="false">SUMIFS(Exp_Amt,Exp_Year,Exp_SelYear-1,Exp_Line,$B30)</f>
        <v>2672</v>
      </c>
      <c r="F30" s="70" t="n">
        <f aca="false">IF(E30=0,"n/a",C30/E30-1)</f>
        <v>0.0213323353293413</v>
      </c>
      <c r="G30" s="50" t="n">
        <f aca="false">IFERROR(C30/C$34,0)</f>
        <v>0.0160620114888408</v>
      </c>
      <c r="H30" s="71" t="n">
        <f aca="false">RANK(C30,$C$21:$C$33)</f>
        <v>12</v>
      </c>
      <c r="I30" s="61" t="str">
        <f aca="false">VLOOKUP(B30,Map_Table,4,FALSE())</f>
        <v>Fixed</v>
      </c>
      <c r="J30" s="68" t="str">
        <f aca="false">IF(E30=0,"",IF(F30&gt;$C$8+Var_Threshold,"▲ Outpacing sales",IF(F30&lt;$C$8-Var_Threshold,"▼ Below sales growth","● In line")))</f>
        <v>● In line</v>
      </c>
    </row>
    <row r="31" customFormat="false" ht="15" hidden="false" customHeight="false" outlineLevel="0" collapsed="false">
      <c r="B31" s="78" t="str">
        <f aca="false">Inputs!B110</f>
        <v>Taxes, licenses &amp; insurance</v>
      </c>
      <c r="C31" s="40" t="n">
        <f aca="false">SUMIFS(Exp_Amt,Exp_Year,Exp_SelYear,Exp_Line,$B31)</f>
        <v>5484</v>
      </c>
      <c r="D31" s="50" t="n">
        <f aca="false">IFERROR(C31/$C$6,0)</f>
        <v>0.00563941088517361</v>
      </c>
      <c r="E31" s="40" t="n">
        <f aca="false">SUMIFS(Exp_Amt,Exp_Year,Exp_SelYear-1,Exp_Line,$B31)</f>
        <v>5318</v>
      </c>
      <c r="F31" s="70" t="n">
        <f aca="false">IF(E31=0,"n/a",C31/E31-1)</f>
        <v>0.031214742384355</v>
      </c>
      <c r="G31" s="50" t="n">
        <f aca="false">IFERROR(C31/C$34,0)</f>
        <v>0.0322770505697335</v>
      </c>
      <c r="H31" s="71" t="n">
        <f aca="false">RANK(C31,$C$21:$C$33)</f>
        <v>9</v>
      </c>
      <c r="I31" s="61" t="str">
        <f aca="false">VLOOKUP(B31,Map_Table,4,FALSE())</f>
        <v>Fixed</v>
      </c>
      <c r="J31" s="68" t="str">
        <f aca="false">IF(E31=0,"",IF(F31&gt;$C$8+Var_Threshold,"▲ Outpacing sales",IF(F31&lt;$C$8-Var_Threshold,"▼ Below sales growth","● In line")))</f>
        <v>● In line</v>
      </c>
    </row>
    <row r="32" customFormat="false" ht="15" hidden="false" customHeight="false" outlineLevel="0" collapsed="false">
      <c r="B32" s="78" t="str">
        <f aca="false">Inputs!B111</f>
        <v>Communication, IT &amp; supplies</v>
      </c>
      <c r="C32" s="40" t="n">
        <f aca="false">SUMIFS(Exp_Amt,Exp_Year,Exp_SelYear,Exp_Line,$B32)</f>
        <v>4463</v>
      </c>
      <c r="D32" s="50" t="n">
        <f aca="false">IFERROR(C32/$C$6,0)</f>
        <v>0.00458947680170128</v>
      </c>
      <c r="E32" s="40" t="n">
        <f aca="false">SUMIFS(Exp_Amt,Exp_Year,Exp_SelYear-1,Exp_Line,$B32)</f>
        <v>4299</v>
      </c>
      <c r="F32" s="70" t="n">
        <f aca="false">IF(E32=0,"n/a",C32/E32-1)</f>
        <v>0.0381484066061875</v>
      </c>
      <c r="G32" s="50" t="n">
        <f aca="false">IFERROR(C32/C$34,0)</f>
        <v>0.0262677747433845</v>
      </c>
      <c r="H32" s="71" t="n">
        <f aca="false">RANK(C32,$C$21:$C$33)</f>
        <v>11</v>
      </c>
      <c r="I32" s="61" t="str">
        <f aca="false">VLOOKUP(B32,Map_Table,4,FALSE())</f>
        <v>Fixed</v>
      </c>
      <c r="J32" s="68" t="str">
        <f aca="false">IF(E32=0,"",IF(F32&gt;$C$8+Var_Threshold,"▲ Outpacing sales",IF(F32&lt;$C$8-Var_Threshold,"▼ Below sales growth","● In line")))</f>
        <v>● In line</v>
      </c>
    </row>
    <row r="33" customFormat="false" ht="15" hidden="false" customHeight="false" outlineLevel="0" collapsed="false">
      <c r="B33" s="78" t="str">
        <f aca="false">Inputs!B112</f>
        <v>Bad debts &amp; credit losses</v>
      </c>
      <c r="C33" s="40" t="n">
        <f aca="false">SUMIFS(Exp_Amt,Exp_Year,Exp_SelYear,Exp_Line,$B33)</f>
        <v>1469</v>
      </c>
      <c r="D33" s="50" t="n">
        <f aca="false">IFERROR(C33/$C$6,0)</f>
        <v>0.0015106299398833</v>
      </c>
      <c r="E33" s="40" t="n">
        <f aca="false">SUMIFS(Exp_Amt,Exp_Year,Exp_SelYear-1,Exp_Line,$B33)</f>
        <v>1342</v>
      </c>
      <c r="F33" s="70" t="n">
        <f aca="false">IF(E33=0,"n/a",C33/E33-1)</f>
        <v>0.0946348733233979</v>
      </c>
      <c r="G33" s="50" t="n">
        <f aca="false">IFERROR(C33/C$34,0)</f>
        <v>0.008646058950937</v>
      </c>
      <c r="H33" s="71" t="n">
        <f aca="false">RANK(C33,$C$21:$C$33)</f>
        <v>13</v>
      </c>
      <c r="I33" s="61" t="str">
        <f aca="false">VLOOKUP(B33,Map_Table,4,FALSE())</f>
        <v>Variable</v>
      </c>
      <c r="J33" s="68" t="str">
        <f aca="false">IF(E33=0,"",IF(F33&gt;$C$8+Var_Threshold,"▲ Outpacing sales",IF(F33&lt;$C$8-Var_Threshold,"▼ Below sales growth","● In line")))</f>
        <v>● In line</v>
      </c>
    </row>
    <row r="34" customFormat="false" ht="15" hidden="false" customHeight="false" outlineLevel="0" collapsed="false">
      <c r="B34" s="45" t="s">
        <v>453</v>
      </c>
      <c r="C34" s="47" t="n">
        <f aca="false">SUM(C21:C33)</f>
        <v>169904</v>
      </c>
      <c r="D34" s="79" t="n">
        <f aca="false">IFERROR(C34/$C$6,0)</f>
        <v>0.174718903543862</v>
      </c>
      <c r="E34" s="47" t="n">
        <f aca="false">SUM(E21:E33)</f>
        <v>161127</v>
      </c>
      <c r="F34" s="76" t="n">
        <f aca="false">IF(E34=0,"n/a",C34/E34-1)</f>
        <v>0.0544725589131554</v>
      </c>
      <c r="G34" s="79" t="n">
        <f aca="false">SUM(G21:G33)</f>
        <v>1</v>
      </c>
    </row>
    <row r="36" customFormat="false" ht="15" hidden="false" customHeight="false" outlineLevel="0" collapsed="false">
      <c r="B36" s="12" t="s">
        <v>454</v>
      </c>
      <c r="C36" s="13"/>
      <c r="D36" s="13"/>
      <c r="E36" s="13"/>
      <c r="F36" s="13"/>
      <c r="G36" s="13"/>
      <c r="H36" s="13"/>
      <c r="I36" s="13"/>
      <c r="J36" s="13"/>
    </row>
    <row r="37" customFormat="false" ht="15" hidden="false" customHeight="false" outlineLevel="0" collapsed="false">
      <c r="B37" s="39" t="s">
        <v>133</v>
      </c>
      <c r="C37" s="40" t="n">
        <f aca="false">C6</f>
        <v>972442</v>
      </c>
    </row>
    <row r="38" customFormat="false" ht="15" hidden="false" customHeight="false" outlineLevel="0" collapsed="false">
      <c r="B38" s="39" t="s">
        <v>455</v>
      </c>
      <c r="C38" s="40" t="n">
        <f aca="false">C17</f>
        <v>722548</v>
      </c>
    </row>
    <row r="39" customFormat="false" ht="15" hidden="false" customHeight="false" outlineLevel="0" collapsed="false">
      <c r="B39" s="39" t="s">
        <v>456</v>
      </c>
      <c r="C39" s="40" t="n">
        <f aca="false">SUMIFS(Exp_Amt,Exp_Year,Exp_SelYear,Exp_Behav,Lists!$Q$5)</f>
        <v>49864</v>
      </c>
    </row>
    <row r="40" customFormat="false" ht="15" hidden="false" customHeight="false" outlineLevel="0" collapsed="false">
      <c r="B40" s="8" t="s">
        <v>457</v>
      </c>
      <c r="C40" s="37" t="n">
        <f aca="false">C37-C38-C39</f>
        <v>200030</v>
      </c>
    </row>
    <row r="41" customFormat="false" ht="15" hidden="false" customHeight="false" outlineLevel="0" collapsed="false">
      <c r="B41" s="39" t="s">
        <v>458</v>
      </c>
      <c r="C41" s="50" t="n">
        <f aca="false">IFERROR(C40/C37,0)</f>
        <v>0.205698643209569</v>
      </c>
    </row>
    <row r="42" customFormat="false" ht="15" hidden="false" customHeight="false" outlineLevel="0" collapsed="false">
      <c r="B42" s="39" t="s">
        <v>459</v>
      </c>
      <c r="C42" s="40" t="n">
        <f aca="false">SUMIFS(Exp_Amt,Exp_Year,Exp_SelYear,Exp_Behav,Lists!$Q$6)</f>
        <v>120040</v>
      </c>
    </row>
    <row r="43" customFormat="false" ht="15" hidden="false" customHeight="false" outlineLevel="0" collapsed="false">
      <c r="B43" s="39" t="s">
        <v>460</v>
      </c>
      <c r="C43" s="40" t="n">
        <f aca="false">C14</f>
        <v>21257</v>
      </c>
    </row>
    <row r="44" customFormat="false" ht="15" hidden="false" customHeight="false" outlineLevel="0" collapsed="false">
      <c r="B44" s="8" t="s">
        <v>461</v>
      </c>
      <c r="C44" s="37" t="n">
        <f aca="false">C40-C42-C43</f>
        <v>58733</v>
      </c>
    </row>
    <row r="45" customFormat="false" ht="15" hidden="false" customHeight="false" outlineLevel="0" collapsed="false">
      <c r="B45" s="8" t="s">
        <v>462</v>
      </c>
      <c r="C45" s="37" t="n">
        <f aca="false">IFERROR((C42+C43)/C41,0)</f>
        <v>686912.649472579</v>
      </c>
      <c r="E45" s="18" t="str">
        <f aca="false">"Break-even sits at "&amp;TEXT(IFERROR(C45/C6,0),"0.0%")&amp;" of actual net sales; each 1% fall in sales reduces operating profit by about "&amp;TEXT(IFERROR(C48*1%,0),"0.0%")&amp;"."</f>
        <v>Break-even sits at 70.6% of actual net sales; each 1% fall in sales reduces operating profit by about 3.4%.</v>
      </c>
    </row>
    <row r="46" customFormat="false" ht="15" hidden="false" customHeight="false" outlineLevel="0" collapsed="false">
      <c r="B46" s="39" t="s">
        <v>463</v>
      </c>
      <c r="C46" s="40" t="n">
        <f aca="false">C37-C45</f>
        <v>285529.350527421</v>
      </c>
    </row>
    <row r="47" customFormat="false" ht="15" hidden="false" customHeight="false" outlineLevel="0" collapsed="false">
      <c r="B47" s="39" t="s">
        <v>464</v>
      </c>
      <c r="C47" s="50" t="n">
        <f aca="false">IFERROR(C46/C37,0)</f>
        <v>0.293620956856472</v>
      </c>
    </row>
    <row r="48" customFormat="false" ht="15" hidden="false" customHeight="false" outlineLevel="0" collapsed="false">
      <c r="B48" s="39" t="s">
        <v>465</v>
      </c>
      <c r="C48" s="57" t="n">
        <f aca="false">IFERROR(C40/C44,0)</f>
        <v>3.40575145148383</v>
      </c>
    </row>
    <row r="49" customFormat="false" ht="15" hidden="false" customHeight="false" outlineLevel="0" collapsed="false">
      <c r="B49" s="39" t="s">
        <v>466</v>
      </c>
      <c r="C49" s="40" t="n">
        <f aca="false">INDEX(Income_Statement!$D$13:$F$13,MATCH(Exp_SelYear,Income_Statement!$D$5:$F$5,0))</f>
        <v>58733</v>
      </c>
    </row>
    <row r="50" customFormat="false" ht="15" hidden="false" customHeight="false" outlineLevel="0" collapsed="false">
      <c r="B50" s="39" t="s">
        <v>467</v>
      </c>
      <c r="C50" s="40" t="n">
        <f aca="false">ROUND(C44-C49,0)</f>
        <v>0</v>
      </c>
    </row>
    <row r="52" customFormat="false" ht="15" hidden="false" customHeight="false" outlineLevel="0" collapsed="false">
      <c r="B52" s="12" t="s">
        <v>468</v>
      </c>
      <c r="C52" s="13"/>
      <c r="D52" s="13"/>
      <c r="E52" s="13"/>
      <c r="F52" s="13"/>
      <c r="G52" s="13"/>
      <c r="H52" s="13"/>
      <c r="I52" s="13"/>
      <c r="J52" s="13"/>
    </row>
    <row r="53" customFormat="false" ht="33.75" hidden="false" customHeight="true" outlineLevel="0" collapsed="false">
      <c r="B53" s="49" t="s">
        <v>414</v>
      </c>
      <c r="C53" s="36" t="s">
        <v>415</v>
      </c>
      <c r="D53" s="36" t="s">
        <v>446</v>
      </c>
      <c r="E53" s="36" t="s">
        <v>447</v>
      </c>
      <c r="F53" s="36" t="s">
        <v>422</v>
      </c>
      <c r="G53" s="36" t="s">
        <v>469</v>
      </c>
      <c r="H53" s="36" t="s">
        <v>133</v>
      </c>
    </row>
    <row r="54" customFormat="false" ht="15" hidden="false" customHeight="false" outlineLevel="0" collapsed="false">
      <c r="B54" s="39" t="str">
        <f aca="false">TEXT(C54,"mmmm")</f>
        <v>January</v>
      </c>
      <c r="C54" s="73" t="n">
        <f aca="false">EOMONTH(DATE(Exp_SelYear,1,1),0)</f>
        <v>45688</v>
      </c>
      <c r="D54" s="40" t="n">
        <f aca="false">SUMIFS(Exp_Amt,Exp_Date,$C54,Exp_Func,Func_SD)</f>
        <v>8461</v>
      </c>
      <c r="E54" s="40" t="n">
        <f aca="false">SUMIFS(Exp_Amt,Exp_Date,$C54,Exp_Func,Func_GA)</f>
        <v>5280</v>
      </c>
      <c r="F54" s="40" t="n">
        <f aca="false">D54+E54</f>
        <v>13741</v>
      </c>
      <c r="G54" s="50" t="n">
        <f aca="false">IFERROR(F54/H54,0)</f>
        <v>0.184534601077045</v>
      </c>
      <c r="H54" s="40" t="n">
        <f aca="false">SUMIFS(Sales_Net,Sales_Date,$C54)</f>
        <v>74463</v>
      </c>
    </row>
    <row r="55" customFormat="false" ht="15" hidden="false" customHeight="false" outlineLevel="0" collapsed="false">
      <c r="B55" s="39" t="str">
        <f aca="false">TEXT(C55,"mmmm")</f>
        <v>February</v>
      </c>
      <c r="C55" s="73" t="n">
        <f aca="false">EOMONTH(C54,1)</f>
        <v>45716</v>
      </c>
      <c r="D55" s="40" t="n">
        <f aca="false">SUMIFS(Exp_Amt,Exp_Date,$C55,Exp_Func,Func_SD)</f>
        <v>8316</v>
      </c>
      <c r="E55" s="40" t="n">
        <f aca="false">SUMIFS(Exp_Amt,Exp_Date,$C55,Exp_Func,Func_GA)</f>
        <v>5293</v>
      </c>
      <c r="F55" s="40" t="n">
        <f aca="false">D55+E55</f>
        <v>13609</v>
      </c>
      <c r="G55" s="50" t="n">
        <f aca="false">IFERROR(F55/H55,0)</f>
        <v>0.189833865725565</v>
      </c>
      <c r="H55" s="40" t="n">
        <f aca="false">SUMIFS(Sales_Net,Sales_Date,$C55)</f>
        <v>71689</v>
      </c>
    </row>
    <row r="56" customFormat="false" ht="15" hidden="false" customHeight="false" outlineLevel="0" collapsed="false">
      <c r="B56" s="39" t="str">
        <f aca="false">TEXT(C56,"mmmm")</f>
        <v>March</v>
      </c>
      <c r="C56" s="73" t="n">
        <f aca="false">EOMONTH(C55,1)</f>
        <v>45747</v>
      </c>
      <c r="D56" s="40" t="n">
        <f aca="false">SUMIFS(Exp_Amt,Exp_Date,$C56,Exp_Func,Func_SD)</f>
        <v>8692</v>
      </c>
      <c r="E56" s="40" t="n">
        <f aca="false">SUMIFS(Exp_Amt,Exp_Date,$C56,Exp_Func,Func_GA)</f>
        <v>5778</v>
      </c>
      <c r="F56" s="40" t="n">
        <f aca="false">D56+E56</f>
        <v>14470</v>
      </c>
      <c r="G56" s="50" t="n">
        <f aca="false">IFERROR(F56/H56,0)</f>
        <v>0.186092570443819</v>
      </c>
      <c r="H56" s="40" t="n">
        <f aca="false">SUMIFS(Sales_Net,Sales_Date,$C56)</f>
        <v>77757</v>
      </c>
    </row>
    <row r="57" customFormat="false" ht="15" hidden="false" customHeight="false" outlineLevel="0" collapsed="false">
      <c r="B57" s="39" t="str">
        <f aca="false">TEXT(C57,"mmmm")</f>
        <v>April</v>
      </c>
      <c r="C57" s="73" t="n">
        <f aca="false">EOMONTH(C56,1)</f>
        <v>45777</v>
      </c>
      <c r="D57" s="40" t="n">
        <f aca="false">SUMIFS(Exp_Amt,Exp_Date,$C57,Exp_Func,Func_SD)</f>
        <v>8776</v>
      </c>
      <c r="E57" s="40" t="n">
        <f aca="false">SUMIFS(Exp_Amt,Exp_Date,$C57,Exp_Func,Func_GA)</f>
        <v>5312</v>
      </c>
      <c r="F57" s="40" t="n">
        <f aca="false">D57+E57</f>
        <v>14088</v>
      </c>
      <c r="G57" s="50" t="n">
        <f aca="false">IFERROR(F57/H57,0)</f>
        <v>0.178277210432406</v>
      </c>
      <c r="H57" s="40" t="n">
        <f aca="false">SUMIFS(Sales_Net,Sales_Date,$C57)</f>
        <v>79023</v>
      </c>
    </row>
    <row r="58" customFormat="false" ht="15" hidden="false" customHeight="false" outlineLevel="0" collapsed="false">
      <c r="B58" s="39" t="str">
        <f aca="false">TEXT(C58,"mmmm")</f>
        <v>May</v>
      </c>
      <c r="C58" s="73" t="n">
        <f aca="false">EOMONTH(C57,1)</f>
        <v>45808</v>
      </c>
      <c r="D58" s="40" t="n">
        <f aca="false">SUMIFS(Exp_Amt,Exp_Date,$C58,Exp_Func,Func_SD)</f>
        <v>8773</v>
      </c>
      <c r="E58" s="40" t="n">
        <f aca="false">SUMIFS(Exp_Amt,Exp_Date,$C58,Exp_Func,Func_GA)</f>
        <v>5324</v>
      </c>
      <c r="F58" s="40" t="n">
        <f aca="false">D58+E58</f>
        <v>14097</v>
      </c>
      <c r="G58" s="50" t="n">
        <f aca="false">IFERROR(F58/H58,0)</f>
        <v>0.17202792082591</v>
      </c>
      <c r="H58" s="40" t="n">
        <f aca="false">SUMIFS(Sales_Net,Sales_Date,$C58)</f>
        <v>81946</v>
      </c>
    </row>
    <row r="59" customFormat="false" ht="15" hidden="false" customHeight="false" outlineLevel="0" collapsed="false">
      <c r="B59" s="39" t="str">
        <f aca="false">TEXT(C59,"mmmm")</f>
        <v>June</v>
      </c>
      <c r="C59" s="73" t="n">
        <f aca="false">EOMONTH(C58,1)</f>
        <v>45838</v>
      </c>
      <c r="D59" s="40" t="n">
        <f aca="false">SUMIFS(Exp_Amt,Exp_Date,$C59,Exp_Func,Func_SD)</f>
        <v>8719</v>
      </c>
      <c r="E59" s="40" t="n">
        <f aca="false">SUMIFS(Exp_Amt,Exp_Date,$C59,Exp_Func,Func_GA)</f>
        <v>5248</v>
      </c>
      <c r="F59" s="40" t="n">
        <f aca="false">D59+E59</f>
        <v>13967</v>
      </c>
      <c r="G59" s="50" t="n">
        <f aca="false">IFERROR(F59/H59,0)</f>
        <v>0.175866931929789</v>
      </c>
      <c r="H59" s="40" t="n">
        <f aca="false">SUMIFS(Sales_Net,Sales_Date,$C59)</f>
        <v>79418</v>
      </c>
    </row>
    <row r="60" customFormat="false" ht="15" hidden="false" customHeight="false" outlineLevel="0" collapsed="false">
      <c r="B60" s="39" t="str">
        <f aca="false">TEXT(C60,"mmmm")</f>
        <v>July</v>
      </c>
      <c r="C60" s="73" t="n">
        <f aca="false">EOMONTH(C59,1)</f>
        <v>45869</v>
      </c>
      <c r="D60" s="40" t="n">
        <f aca="false">SUMIFS(Exp_Amt,Exp_Date,$C60,Exp_Func,Func_SD)</f>
        <v>8853</v>
      </c>
      <c r="E60" s="40" t="n">
        <f aca="false">SUMIFS(Exp_Amt,Exp_Date,$C60,Exp_Func,Func_GA)</f>
        <v>5283</v>
      </c>
      <c r="F60" s="40" t="n">
        <f aca="false">D60+E60</f>
        <v>14136</v>
      </c>
      <c r="G60" s="50" t="n">
        <f aca="false">IFERROR(F60/H60,0)</f>
        <v>0.173093171048281</v>
      </c>
      <c r="H60" s="40" t="n">
        <f aca="false">SUMIFS(Sales_Net,Sales_Date,$C60)</f>
        <v>81667</v>
      </c>
    </row>
    <row r="61" customFormat="false" ht="15" hidden="false" customHeight="false" outlineLevel="0" collapsed="false">
      <c r="B61" s="39" t="str">
        <f aca="false">TEXT(C61,"mmmm")</f>
        <v>August</v>
      </c>
      <c r="C61" s="73" t="n">
        <f aca="false">EOMONTH(C60,1)</f>
        <v>45900</v>
      </c>
      <c r="D61" s="40" t="n">
        <f aca="false">SUMIFS(Exp_Amt,Exp_Date,$C61,Exp_Func,Func_SD)</f>
        <v>8718</v>
      </c>
      <c r="E61" s="40" t="n">
        <f aca="false">SUMIFS(Exp_Amt,Exp_Date,$C61,Exp_Func,Func_GA)</f>
        <v>5289</v>
      </c>
      <c r="F61" s="40" t="n">
        <f aca="false">D61+E61</f>
        <v>14007</v>
      </c>
      <c r="G61" s="50" t="n">
        <f aca="false">IFERROR(F61/H61,0)</f>
        <v>0.172702052894396</v>
      </c>
      <c r="H61" s="40" t="n">
        <f aca="false">SUMIFS(Sales_Net,Sales_Date,$C61)</f>
        <v>81105</v>
      </c>
    </row>
    <row r="62" customFormat="false" ht="15" hidden="false" customHeight="false" outlineLevel="0" collapsed="false">
      <c r="B62" s="39" t="str">
        <f aca="false">TEXT(C62,"mmmm")</f>
        <v>September</v>
      </c>
      <c r="C62" s="73" t="n">
        <f aca="false">EOMONTH(C61,1)</f>
        <v>45930</v>
      </c>
      <c r="D62" s="40" t="n">
        <f aca="false">SUMIFS(Exp_Amt,Exp_Date,$C62,Exp_Func,Func_SD)</f>
        <v>8952</v>
      </c>
      <c r="E62" s="40" t="n">
        <f aca="false">SUMIFS(Exp_Amt,Exp_Date,$C62,Exp_Func,Func_GA)</f>
        <v>5255</v>
      </c>
      <c r="F62" s="40" t="n">
        <f aca="false">D62+E62</f>
        <v>14207</v>
      </c>
      <c r="G62" s="50" t="n">
        <f aca="false">IFERROR(F62/H62,0)</f>
        <v>0.173196957136588</v>
      </c>
      <c r="H62" s="40" t="n">
        <f aca="false">SUMIFS(Sales_Net,Sales_Date,$C62)</f>
        <v>82028</v>
      </c>
    </row>
    <row r="63" customFormat="false" ht="15" hidden="false" customHeight="false" outlineLevel="0" collapsed="false">
      <c r="B63" s="39" t="str">
        <f aca="false">TEXT(C63,"mmmm")</f>
        <v>October</v>
      </c>
      <c r="C63" s="73" t="n">
        <f aca="false">EOMONTH(C62,1)</f>
        <v>45961</v>
      </c>
      <c r="D63" s="40" t="n">
        <f aca="false">SUMIFS(Exp_Amt,Exp_Date,$C63,Exp_Func,Func_SD)</f>
        <v>9062</v>
      </c>
      <c r="E63" s="40" t="n">
        <f aca="false">SUMIFS(Exp_Amt,Exp_Date,$C63,Exp_Func,Func_GA)</f>
        <v>5270</v>
      </c>
      <c r="F63" s="40" t="n">
        <f aca="false">D63+E63</f>
        <v>14332</v>
      </c>
      <c r="G63" s="50" t="n">
        <f aca="false">IFERROR(F63/H63,0)</f>
        <v>0.171347273531557</v>
      </c>
      <c r="H63" s="40" t="n">
        <f aca="false">SUMIFS(Sales_Net,Sales_Date,$C63)</f>
        <v>83643</v>
      </c>
    </row>
    <row r="64" customFormat="false" ht="15" hidden="false" customHeight="false" outlineLevel="0" collapsed="false">
      <c r="B64" s="39" t="str">
        <f aca="false">TEXT(C64,"mmmm")</f>
        <v>November</v>
      </c>
      <c r="C64" s="73" t="n">
        <f aca="false">EOMONTH(C63,1)</f>
        <v>45991</v>
      </c>
      <c r="D64" s="40" t="n">
        <f aca="false">SUMIFS(Exp_Amt,Exp_Date,$C64,Exp_Func,Func_SD)</f>
        <v>9219</v>
      </c>
      <c r="E64" s="40" t="n">
        <f aca="false">SUMIFS(Exp_Amt,Exp_Date,$C64,Exp_Func,Func_GA)</f>
        <v>5236</v>
      </c>
      <c r="F64" s="40" t="n">
        <f aca="false">D64+E64</f>
        <v>14455</v>
      </c>
      <c r="G64" s="50" t="n">
        <f aca="false">IFERROR(F64/H64,0)</f>
        <v>0.168471229939045</v>
      </c>
      <c r="H64" s="40" t="n">
        <f aca="false">SUMIFS(Sales_Net,Sales_Date,$C64)</f>
        <v>85801</v>
      </c>
    </row>
    <row r="65" customFormat="false" ht="15" hidden="false" customHeight="false" outlineLevel="0" collapsed="false">
      <c r="B65" s="39" t="str">
        <f aca="false">TEXT(C65,"mmmm")</f>
        <v>December</v>
      </c>
      <c r="C65" s="73" t="n">
        <f aca="false">EOMONTH(C64,1)</f>
        <v>46022</v>
      </c>
      <c r="D65" s="40" t="n">
        <f aca="false">SUMIFS(Exp_Amt,Exp_Date,$C65,Exp_Func,Func_SD)</f>
        <v>9536</v>
      </c>
      <c r="E65" s="40" t="n">
        <f aca="false">SUMIFS(Exp_Amt,Exp_Date,$C65,Exp_Func,Func_GA)</f>
        <v>5259</v>
      </c>
      <c r="F65" s="40" t="n">
        <f aca="false">D65+E65</f>
        <v>14795</v>
      </c>
      <c r="G65" s="50" t="n">
        <f aca="false">IFERROR(F65/H65,0)</f>
        <v>0.157557879491385</v>
      </c>
      <c r="H65" s="40" t="n">
        <f aca="false">SUMIFS(Sales_Net,Sales_Date,$C65)</f>
        <v>93902</v>
      </c>
    </row>
    <row r="66" customFormat="false" ht="15" hidden="false" customHeight="false" outlineLevel="0" collapsed="false">
      <c r="B66" s="45" t="s">
        <v>422</v>
      </c>
      <c r="C66" s="75"/>
      <c r="D66" s="47" t="n">
        <f aca="false">SUM(D54:D65)</f>
        <v>106077</v>
      </c>
      <c r="E66" s="47" t="n">
        <f aca="false">SUM(E54:E65)</f>
        <v>63827</v>
      </c>
      <c r="F66" s="47" t="n">
        <f aca="false">SUM(F54:F65)</f>
        <v>169904</v>
      </c>
      <c r="G66" s="79" t="n">
        <f aca="false">IFERROR(F66/H66,0)</f>
        <v>0.174718903543862</v>
      </c>
      <c r="H66" s="47" t="n">
        <f aca="false">SUM(H54:H65)</f>
        <v>972442</v>
      </c>
    </row>
  </sheetData>
  <conditionalFormatting sqref="D21:D33">
    <cfRule type="dataBar" priority="2">
      <dataBar showValue="1" minLength="10" maxLength="90">
        <cfvo type="min" val="0"/>
        <cfvo type="max" val="0"/>
        <color rgb="FF8DB4E2"/>
      </dataBar>
      <extLst>
        <ext xmlns:x14="http://schemas.microsoft.com/office/spreadsheetml/2009/9/main" uri="{B025F937-C7B1-47D3-B67F-A62EFF666E3E}">
          <x14:id>{6AA31DF5-5FAB-426A-8266-9AA6EC105A9E}</x14:id>
        </ext>
      </extLst>
    </cfRule>
  </conditionalFormatting>
  <conditionalFormatting sqref="J12:J33">
    <cfRule type="expression" priority="3" aboveAverage="0" equalAverage="0" bottom="0" percent="0" rank="0" text="" dxfId="4">
      <formula>LEFT(J12,1)="▲"</formula>
    </cfRule>
  </conditionalFormatting>
  <conditionalFormatting sqref="H21:H33">
    <cfRule type="cellIs" priority="4" operator="lessThanOrEqual" aboveAverage="0" equalAverage="0" bottom="0" percent="0" rank="0" text="" dxfId="6">
      <formula>3</formula>
    </cfRule>
  </conditionalFormatting>
  <conditionalFormatting sqref="G54:G65">
    <cfRule type="colorScale" priority="5">
      <colorScale>
        <cfvo type="min" val="0"/>
        <cfvo type="percentile" val="50"/>
        <cfvo type="max" val="0"/>
        <color rgb="FFC6EFCE"/>
        <color rgb="FFFFFFFF"/>
        <color rgb="FFF8CBAD"/>
      </colorScale>
    </cfRule>
  </conditionalFormatting>
  <dataValidations count="1">
    <dataValidation allowBlank="false" errorStyle="stop" operator="between" showDropDown="false" showErrorMessage="true" showInputMessage="false" sqref="C5" type="list">
      <formula1>FY_List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AA31DF5-5FAB-426A-8266-9AA6EC105A9E}">
            <x14:dataBar minLength="10" maxLength="90" axisPosition="none" gradient="true">
              <x14:cfvo type="min"/>
              <x14:cfvo type="max"/>
              <x14:negativeFillColor rgb="FF8DB4E2"/>
              <x14:axisColor rgb="FF000000"/>
            </x14:dataBar>
          </x14:cfRule>
          <xm:sqref>D21:D33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
    <col collapsed="false" customWidth="true" hidden="false" outlineLevel="0" max="6" min="4" style="0" width="13"/>
    <col collapsed="false" customWidth="true" hidden="false" outlineLevel="0" max="7" min="7" style="0" width="12"/>
    <col collapsed="false" customWidth="true" hidden="false" outlineLevel="0" max="8" min="8" style="0" width="10"/>
    <col collapsed="false" customWidth="true" hidden="false" outlineLevel="0" max="9" min="9" style="0" width="13"/>
    <col collapsed="false" customWidth="true" hidden="false" outlineLevel="0" max="10" min="10" style="0" width="58"/>
  </cols>
  <sheetData>
    <row r="1" customFormat="false" ht="24" hidden="false" customHeight="true" outlineLevel="0" collapsed="false">
      <c r="B1" s="17" t="s">
        <v>69</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52" t="s">
        <v>470</v>
      </c>
    </row>
    <row r="5" customFormat="false" ht="24" hidden="false" customHeight="true" outlineLevel="0" collapsed="false">
      <c r="B5" s="33" t="s">
        <v>471</v>
      </c>
      <c r="C5" s="34"/>
      <c r="D5" s="35" t="n">
        <f aca="false">Inputs!D$22</f>
        <v>2023</v>
      </c>
      <c r="E5" s="35" t="n">
        <f aca="false">Inputs!E$22</f>
        <v>2024</v>
      </c>
      <c r="F5" s="35" t="n">
        <f aca="false">Inputs!F$22</f>
        <v>2025</v>
      </c>
      <c r="G5" s="36" t="s">
        <v>472</v>
      </c>
      <c r="H5" s="36" t="s">
        <v>473</v>
      </c>
      <c r="I5" s="36" t="str">
        <f aca="false">"FY"&amp;Inputs!F$22&amp;" status"</f>
        <v>FY2025 status</v>
      </c>
      <c r="J5" s="36" t="s">
        <v>474</v>
      </c>
    </row>
    <row r="6" customFormat="false" ht="15" hidden="false" customHeight="false" outlineLevel="0" collapsed="false">
      <c r="B6" s="12" t="s">
        <v>475</v>
      </c>
      <c r="C6" s="13"/>
      <c r="D6" s="13"/>
      <c r="E6" s="13"/>
      <c r="F6" s="13"/>
      <c r="G6" s="13"/>
      <c r="H6" s="13"/>
      <c r="I6" s="13"/>
      <c r="J6" s="13"/>
    </row>
    <row r="7" customFormat="false" ht="15" hidden="false" customHeight="false" outlineLevel="0" collapsed="false">
      <c r="B7" s="39" t="s">
        <v>476</v>
      </c>
      <c r="D7" s="50" t="n">
        <f aca="false">IFERROR(Income_Statement!D9/Income_Statement!D7,0)</f>
        <v>0.252267031047913</v>
      </c>
      <c r="E7" s="50" t="n">
        <f aca="false">IFERROR(Income_Statement!E9/Income_Statement!E7,0)</f>
        <v>0.25487105985257</v>
      </c>
      <c r="F7" s="50" t="n">
        <f aca="false">IFERROR(Income_Statement!F9/Income_Statement!F7,0)</f>
        <v>0.256975737370455</v>
      </c>
      <c r="G7" s="81" t="n">
        <v>0.25</v>
      </c>
      <c r="H7" s="82" t="s">
        <v>477</v>
      </c>
      <c r="I7" s="77" t="str">
        <f aca="false">IF(H7="Higher",IF(F7&gt;=G7,"✔ Meets","▼ Below"),IF(F7&lt;=G7,"✔ Meets","▲ Above"))</f>
        <v>✔ Meets</v>
      </c>
      <c r="J7" s="52" t="s">
        <v>478</v>
      </c>
    </row>
    <row r="8" customFormat="false" ht="15" hidden="false" customHeight="false" outlineLevel="0" collapsed="false">
      <c r="B8" s="39" t="s">
        <v>479</v>
      </c>
      <c r="D8" s="50" t="n">
        <f aca="false">IFERROR(Income_Statement!D24/Income_Statement!D7,0)</f>
        <v>0.0698559768510738</v>
      </c>
      <c r="E8" s="50" t="n">
        <f aca="false">IFERROR(Income_Statement!E24/Income_Statement!E7,0)</f>
        <v>0.0768168534992945</v>
      </c>
      <c r="F8" s="50" t="n">
        <f aca="false">IFERROR(Income_Statement!F24/Income_Statement!F7,0)</f>
        <v>0.0843649287052595</v>
      </c>
      <c r="G8" s="81" t="n">
        <v>0.07</v>
      </c>
      <c r="H8" s="82" t="s">
        <v>477</v>
      </c>
      <c r="I8" s="77" t="str">
        <f aca="false">IF(H8="Higher",IF(F8&gt;=G8,"✔ Meets","▼ Below"),IF(F8&lt;=G8,"✔ Meets","▲ Above"))</f>
        <v>✔ Meets</v>
      </c>
      <c r="J8" s="52" t="s">
        <v>480</v>
      </c>
    </row>
    <row r="9" customFormat="false" ht="15" hidden="false" customHeight="false" outlineLevel="0" collapsed="false">
      <c r="B9" s="39" t="s">
        <v>481</v>
      </c>
      <c r="D9" s="50" t="n">
        <f aca="false">IFERROR(Income_Statement!D13/Income_Statement!D7,0)</f>
        <v>0.0465475120506432</v>
      </c>
      <c r="E9" s="50" t="n">
        <f aca="false">IFERROR(Income_Statement!E13/Income_Statement!E7,0)</f>
        <v>0.0538352142909685</v>
      </c>
      <c r="F9" s="50" t="n">
        <f aca="false">IFERROR(Income_Statement!F13/Income_Statement!F7,0)</f>
        <v>0.0603974324432717</v>
      </c>
      <c r="G9" s="81" t="n">
        <v>0.045</v>
      </c>
      <c r="H9" s="82" t="s">
        <v>477</v>
      </c>
      <c r="I9" s="77" t="str">
        <f aca="false">IF(H9="Higher",IF(F9&gt;=G9,"✔ Meets","▼ Below"),IF(F9&lt;=G9,"✔ Meets","▲ Above"))</f>
        <v>✔ Meets</v>
      </c>
      <c r="J9" s="52" t="s">
        <v>482</v>
      </c>
    </row>
    <row r="10" customFormat="false" ht="15" hidden="false" customHeight="false" outlineLevel="0" collapsed="false">
      <c r="B10" s="39" t="s">
        <v>483</v>
      </c>
      <c r="D10" s="50" t="n">
        <f aca="false">IFERROR(Income_Statement!D20/Income_Statement!D7,0)</f>
        <v>0.0273797432281353</v>
      </c>
      <c r="E10" s="50" t="n">
        <f aca="false">IFERROR(Income_Statement!E20/Income_Statement!E7,0)</f>
        <v>0.0323314438309568</v>
      </c>
      <c r="F10" s="50" t="n">
        <f aca="false">IFERROR(Income_Statement!F20/Income_Statement!F7,0)</f>
        <v>0.0384660473323859</v>
      </c>
      <c r="G10" s="81" t="n">
        <v>0.03</v>
      </c>
      <c r="H10" s="82" t="s">
        <v>477</v>
      </c>
      <c r="I10" s="77" t="str">
        <f aca="false">IF(H10="Higher",IF(F10&gt;=G10,"✔ Meets","▼ Below"),IF(F10&lt;=G10,"✔ Meets","▲ Above"))</f>
        <v>✔ Meets</v>
      </c>
      <c r="J10" s="52" t="s">
        <v>484</v>
      </c>
    </row>
    <row r="11" customFormat="false" ht="15" hidden="false" customHeight="false" outlineLevel="0" collapsed="false">
      <c r="B11" s="39" t="s">
        <v>485</v>
      </c>
      <c r="D11" s="50" t="n">
        <f aca="false">IFERROR(Income_Statement!D20/AVERAGE(Balance_Sheet!C17,Balance_Sheet!D17),0)</f>
        <v>0.0549430273407668</v>
      </c>
      <c r="E11" s="50" t="n">
        <f aca="false">IFERROR(Income_Statement!E20/AVERAGE(Balance_Sheet!D17,Balance_Sheet!E17),0)</f>
        <v>0.0661498696225725</v>
      </c>
      <c r="F11" s="50" t="n">
        <f aca="false">IFERROR(Income_Statement!F20/AVERAGE(Balance_Sheet!E17,Balance_Sheet!F17),0)</f>
        <v>0.079556850096612</v>
      </c>
      <c r="G11" s="81" t="n">
        <v>0.06</v>
      </c>
      <c r="H11" s="82" t="s">
        <v>477</v>
      </c>
      <c r="I11" s="77" t="str">
        <f aca="false">IF(H11="Higher",IF(F11&gt;=G11,"✔ Meets","▼ Below"),IF(F11&lt;=G11,"✔ Meets","▲ Above"))</f>
        <v>✔ Meets</v>
      </c>
      <c r="J11" s="52" t="s">
        <v>486</v>
      </c>
    </row>
    <row r="12" customFormat="false" ht="15" hidden="false" customHeight="false" outlineLevel="0" collapsed="false">
      <c r="B12" s="39" t="s">
        <v>487</v>
      </c>
      <c r="D12" s="50" t="n">
        <f aca="false">IFERROR(Income_Statement!D20/AVERAGE(Balance_Sheet!C34,Balance_Sheet!D34),0)</f>
        <v>0.119502154089847</v>
      </c>
      <c r="E12" s="50" t="n">
        <f aca="false">IFERROR(Income_Statement!E20/AVERAGE(Balance_Sheet!D34,Balance_Sheet!E34),0)</f>
        <v>0.139843183193172</v>
      </c>
      <c r="F12" s="50" t="n">
        <f aca="false">IFERROR(Income_Statement!F20/AVERAGE(Balance_Sheet!E34,Balance_Sheet!F34),0)</f>
        <v>0.161643835616438</v>
      </c>
      <c r="G12" s="81" t="n">
        <v>0.14</v>
      </c>
      <c r="H12" s="82" t="s">
        <v>477</v>
      </c>
      <c r="I12" s="77" t="str">
        <f aca="false">IF(H12="Higher",IF(F12&gt;=G12,"✔ Meets","▼ Below"),IF(F12&lt;=G12,"✔ Meets","▲ Above"))</f>
        <v>✔ Meets</v>
      </c>
      <c r="J12" s="52" t="s">
        <v>488</v>
      </c>
    </row>
    <row r="13" customFormat="false" ht="15" hidden="false" customHeight="false" outlineLevel="0" collapsed="false">
      <c r="B13" s="39" t="s">
        <v>489</v>
      </c>
      <c r="D13" s="50" t="n">
        <f aca="false">IFERROR(Income_Statement!D23/(Balance_Sheet!D17-Balance_Sheet!D26),0)</f>
        <v>0.1471897658353</v>
      </c>
      <c r="E13" s="50" t="n">
        <f aca="false">IFERROR(Income_Statement!E23/(Balance_Sheet!E17-Balance_Sheet!E26),0)</f>
        <v>0.158538609336202</v>
      </c>
      <c r="F13" s="50" t="n">
        <f aca="false">IFERROR(Income_Statement!F23/(Balance_Sheet!F17-Balance_Sheet!F26),0)</f>
        <v>0.18818149732819</v>
      </c>
      <c r="G13" s="81" t="n">
        <v>0.12</v>
      </c>
      <c r="H13" s="82" t="s">
        <v>477</v>
      </c>
      <c r="I13" s="77" t="str">
        <f aca="false">IF(H13="Higher",IF(F13&gt;=G13,"✔ Meets","▼ Below"),IF(F13&lt;=G13,"✔ Meets","▲ Above"))</f>
        <v>✔ Meets</v>
      </c>
      <c r="J13" s="52" t="s">
        <v>490</v>
      </c>
    </row>
    <row r="14" customFormat="false" ht="30" hidden="false" customHeight="true" outlineLevel="0" collapsed="false">
      <c r="B14" s="83" t="str">
        <f aca="false">"Commentary: gross margin "&amp;IF(F7&gt;=E7,"improved","weakened")&amp;" to "&amp;TEXT(F7,"0.0%")&amp;" from "&amp;TEXT(E7,"0.0%")&amp;"; EBITDA margin "&amp;TEXT(F8,"0.0%")&amp;" and net margin "&amp;TEXT(F10,"0.0%")&amp;". Return on equity "&amp;IF(F12&gt;=E12,"rose","fell")&amp;" to "&amp;TEXT(F12,"0.0%")&amp;" against a benchmark of "&amp;TEXT(G12,"0.0%")&amp;"."</f>
        <v>Commentary: gross margin improved to 25.7% from 25.5%; EBITDA margin 8.4% and net margin 3.8%. Return on equity rose to 16.2% against a benchmark of 14.0%.</v>
      </c>
      <c r="C14" s="83"/>
      <c r="D14" s="83"/>
      <c r="E14" s="83"/>
      <c r="F14" s="83"/>
      <c r="G14" s="83"/>
      <c r="H14" s="83"/>
      <c r="I14" s="83"/>
      <c r="J14" s="83"/>
    </row>
    <row r="15" customFormat="false" ht="15" hidden="false" customHeight="false" outlineLevel="0" collapsed="false">
      <c r="B15" s="12" t="s">
        <v>491</v>
      </c>
      <c r="C15" s="13"/>
      <c r="D15" s="13"/>
      <c r="E15" s="13"/>
      <c r="F15" s="13"/>
      <c r="G15" s="13"/>
      <c r="H15" s="13"/>
      <c r="I15" s="13"/>
      <c r="J15" s="13"/>
    </row>
    <row r="16" customFormat="false" ht="15" hidden="false" customHeight="false" outlineLevel="0" collapsed="false">
      <c r="B16" s="39" t="s">
        <v>322</v>
      </c>
      <c r="D16" s="57" t="n">
        <f aca="false">IFERROR(Balance_Sheet!D12/Balance_Sheet!D26,0)</f>
        <v>1.57550099572465</v>
      </c>
      <c r="E16" s="57" t="n">
        <f aca="false">IFERROR(Balance_Sheet!E12/Balance_Sheet!E26,0)</f>
        <v>1.76093716347189</v>
      </c>
      <c r="F16" s="57" t="n">
        <f aca="false">IFERROR(Balance_Sheet!F12/Balance_Sheet!F26,0)</f>
        <v>1.75515074326367</v>
      </c>
      <c r="G16" s="84" t="n">
        <v>1.5</v>
      </c>
      <c r="H16" s="82" t="s">
        <v>477</v>
      </c>
      <c r="I16" s="77" t="str">
        <f aca="false">IF(H16="Higher",IF(F16&gt;=G16,"✔ Meets","▼ Below"),IF(F16&lt;=G16,"✔ Meets","▲ Above"))</f>
        <v>✔ Meets</v>
      </c>
      <c r="J16" s="52" t="s">
        <v>492</v>
      </c>
    </row>
    <row r="17" customFormat="false" ht="15" hidden="false" customHeight="false" outlineLevel="0" collapsed="false">
      <c r="B17" s="39" t="s">
        <v>493</v>
      </c>
      <c r="D17" s="57" t="n">
        <f aca="false">IFERROR((Balance_Sheet!D8+Balance_Sheet!D9)/Balance_Sheet!D26,0)</f>
        <v>0.969285724233014</v>
      </c>
      <c r="E17" s="57" t="n">
        <f aca="false">IFERROR((Balance_Sheet!E8+Balance_Sheet!E9)/Balance_Sheet!E26,0)</f>
        <v>1.13716212578075</v>
      </c>
      <c r="F17" s="57" t="n">
        <f aca="false">IFERROR((Balance_Sheet!F8+Balance_Sheet!F9)/Balance_Sheet!F26,0)</f>
        <v>1.12564404392042</v>
      </c>
      <c r="G17" s="84" t="n">
        <v>0.9</v>
      </c>
      <c r="H17" s="82" t="s">
        <v>477</v>
      </c>
      <c r="I17" s="77" t="str">
        <f aca="false">IF(H17="Higher",IF(F17&gt;=G17,"✔ Meets","▼ Below"),IF(F17&lt;=G17,"✔ Meets","▲ Above"))</f>
        <v>✔ Meets</v>
      </c>
      <c r="J17" s="52" t="s">
        <v>494</v>
      </c>
    </row>
    <row r="18" customFormat="false" ht="15" hidden="false" customHeight="false" outlineLevel="0" collapsed="false">
      <c r="B18" s="39" t="s">
        <v>495</v>
      </c>
      <c r="D18" s="57" t="n">
        <f aca="false">IFERROR(Balance_Sheet!D8/Balance_Sheet!D26,0)</f>
        <v>0.405364379517317</v>
      </c>
      <c r="E18" s="57" t="n">
        <f aca="false">IFERROR(Balance_Sheet!E8/Balance_Sheet!E26,0)</f>
        <v>0.541541029506784</v>
      </c>
      <c r="F18" s="57" t="n">
        <f aca="false">IFERROR(Balance_Sheet!F8/Balance_Sheet!F26,0)</f>
        <v>0.525835729401851</v>
      </c>
      <c r="G18" s="84" t="n">
        <v>0.3</v>
      </c>
      <c r="H18" s="82" t="s">
        <v>477</v>
      </c>
      <c r="I18" s="77" t="str">
        <f aca="false">IF(H18="Higher",IF(F18&gt;=G18,"✔ Meets","▼ Below"),IF(F18&lt;=G18,"✔ Meets","▲ Above"))</f>
        <v>✔ Meets</v>
      </c>
      <c r="J18" s="52" t="s">
        <v>496</v>
      </c>
    </row>
    <row r="19" customFormat="false" ht="15" hidden="false" customHeight="false" outlineLevel="0" collapsed="false">
      <c r="B19" s="39" t="s">
        <v>497</v>
      </c>
      <c r="D19" s="40" t="n">
        <f aca="false">Balance_Sheet!D12-Balance_Sheet!D26</f>
        <v>82650</v>
      </c>
      <c r="E19" s="40" t="n">
        <f aca="false">Balance_Sheet!E12-Balance_Sheet!E26</f>
        <v>113057</v>
      </c>
      <c r="F19" s="40" t="n">
        <f aca="false">Balance_Sheet!F12-Balance_Sheet!F26</f>
        <v>117398</v>
      </c>
      <c r="I19" s="85" t="s">
        <v>421</v>
      </c>
      <c r="J19" s="52" t="s">
        <v>498</v>
      </c>
    </row>
    <row r="20" customFormat="false" ht="15" hidden="false" customHeight="false" outlineLevel="0" collapsed="false">
      <c r="B20" s="39" t="s">
        <v>499</v>
      </c>
      <c r="D20" s="50" t="n">
        <f aca="false">IFERROR(D19/Income_Statement!D7,0)</f>
        <v>0.10065544781627</v>
      </c>
      <c r="E20" s="50" t="n">
        <f aca="false">IFERROR(E19/Income_Statement!E7,0)</f>
        <v>0.1260055860318</v>
      </c>
      <c r="F20" s="50" t="n">
        <f aca="false">IFERROR(F19/Income_Statement!F7,0)</f>
        <v>0.12072493783691</v>
      </c>
      <c r="I20" s="85" t="s">
        <v>421</v>
      </c>
      <c r="J20" s="52" t="s">
        <v>500</v>
      </c>
    </row>
    <row r="21" customFormat="false" ht="15" hidden="false" customHeight="false" outlineLevel="0" collapsed="false">
      <c r="B21" s="39" t="s">
        <v>501</v>
      </c>
      <c r="D21" s="57" t="n">
        <f aca="false">IFERROR(Cash_Flow!D22/Balance_Sheet!D26,0)</f>
        <v>0.224469759215675</v>
      </c>
      <c r="E21" s="57" t="n">
        <f aca="false">IFERROR(Cash_Flow!E22/Balance_Sheet!E26,0)</f>
        <v>0.297800452293776</v>
      </c>
      <c r="F21" s="57" t="n">
        <f aca="false">IFERROR(Cash_Flow!F22/Balance_Sheet!F26,0)</f>
        <v>0.371535349247088</v>
      </c>
      <c r="G21" s="84" t="n">
        <v>0.35</v>
      </c>
      <c r="H21" s="82" t="s">
        <v>477</v>
      </c>
      <c r="I21" s="77" t="str">
        <f aca="false">IF(H21="Higher",IF(F21&gt;=G21,"✔ Meets","▼ Below"),IF(F21&lt;=G21,"✔ Meets","▲ Above"))</f>
        <v>✔ Meets</v>
      </c>
      <c r="J21" s="52" t="s">
        <v>502</v>
      </c>
    </row>
    <row r="22" customFormat="false" ht="30" hidden="false" customHeight="true" outlineLevel="0" collapsed="false">
      <c r="B22" s="83" t="str">
        <f aca="false">"Commentary: current ratio "&amp;IF(F16&gt;=E16,"strengthened","softened")&amp;" to "&amp;TEXT(F16,"0.00")&amp;"x (quick ratio "&amp;TEXT(F17,"0.00")&amp;"x). Working capital stands at PHP "&amp;TEXT(F19/1000,"#,##0.0")&amp;" million and operating cash flow covers "&amp;TEXT(F21,"0.00")&amp;"x of current liabilities."</f>
        <v>Commentary: current ratio softened to 1.76x (quick ratio 1.13x). Working capital stands at PHP 117.4 million and operating cash flow covers 0.37x of current liabilities.</v>
      </c>
      <c r="C22" s="83"/>
      <c r="D22" s="83"/>
      <c r="E22" s="83"/>
      <c r="F22" s="83"/>
      <c r="G22" s="83"/>
      <c r="H22" s="83"/>
      <c r="I22" s="83"/>
      <c r="J22" s="83"/>
    </row>
    <row r="23" customFormat="false" ht="15" hidden="false" customHeight="false" outlineLevel="0" collapsed="false">
      <c r="B23" s="12" t="s">
        <v>503</v>
      </c>
      <c r="C23" s="13"/>
      <c r="D23" s="13"/>
      <c r="E23" s="13"/>
      <c r="F23" s="13"/>
      <c r="G23" s="13"/>
      <c r="H23" s="13"/>
      <c r="I23" s="13"/>
      <c r="J23" s="13"/>
    </row>
    <row r="24" customFormat="false" ht="15" hidden="false" customHeight="false" outlineLevel="0" collapsed="false">
      <c r="B24" s="39" t="s">
        <v>504</v>
      </c>
      <c r="D24" s="57" t="n">
        <f aca="false">IFERROR(Schedules!D87/Balance_Sheet!D34,0)</f>
        <v>0.69189717187031</v>
      </c>
      <c r="E24" s="57" t="n">
        <f aca="false">IFERROR(Schedules!E87/Balance_Sheet!E34,0)</f>
        <v>0.696232101796462</v>
      </c>
      <c r="F24" s="57" t="n">
        <f aca="false">IFERROR(Schedules!F87/Balance_Sheet!F34,0)</f>
        <v>0.543962830569893</v>
      </c>
      <c r="G24" s="84" t="n">
        <v>1</v>
      </c>
      <c r="H24" s="82" t="s">
        <v>505</v>
      </c>
      <c r="I24" s="77" t="str">
        <f aca="false">IF(H24="Higher",IF(F24&gt;=G24,"✔ Meets","▼ Below"),IF(F24&lt;=G24,"✔ Meets","▲ Above"))</f>
        <v>✔ Meets</v>
      </c>
      <c r="J24" s="52" t="s">
        <v>506</v>
      </c>
    </row>
    <row r="25" customFormat="false" ht="15" hidden="false" customHeight="false" outlineLevel="0" collapsed="false">
      <c r="B25" s="39" t="s">
        <v>507</v>
      </c>
      <c r="D25" s="57" t="n">
        <f aca="false">IFERROR(Balance_Sheet!D29/Balance_Sheet!D34,0)</f>
        <v>1.11219417890629</v>
      </c>
      <c r="E25" s="57" t="n">
        <f aca="false">IFERROR(Balance_Sheet!E29/Balance_Sheet!E34,0)</f>
        <v>1.11569362123141</v>
      </c>
      <c r="F25" s="57" t="n">
        <f aca="false">IFERROR(Balance_Sheet!F29/Balance_Sheet!F34,0)</f>
        <v>0.956896058109954</v>
      </c>
      <c r="G25" s="84" t="n">
        <v>1.5</v>
      </c>
      <c r="H25" s="82" t="s">
        <v>505</v>
      </c>
      <c r="I25" s="77" t="str">
        <f aca="false">IF(H25="Higher",IF(F25&gt;=G25,"✔ Meets","▼ Below"),IF(F25&lt;=G25,"✔ Meets","▲ Above"))</f>
        <v>✔ Meets</v>
      </c>
      <c r="J25" s="52" t="s">
        <v>508</v>
      </c>
    </row>
    <row r="26" customFormat="false" ht="15" hidden="false" customHeight="false" outlineLevel="0" collapsed="false">
      <c r="B26" s="39" t="s">
        <v>509</v>
      </c>
      <c r="D26" s="50" t="n">
        <f aca="false">IFERROR(Balance_Sheet!D29/Balance_Sheet!D17,0)</f>
        <v>0.526558680074667</v>
      </c>
      <c r="E26" s="50" t="n">
        <f aca="false">IFERROR(Balance_Sheet!E29/Balance_Sheet!E17,0)</f>
        <v>0.527341771055697</v>
      </c>
      <c r="F26" s="50" t="n">
        <f aca="false">IFERROR(Balance_Sheet!F29/Balance_Sheet!F17,0)</f>
        <v>0.48898665524124</v>
      </c>
      <c r="G26" s="81" t="n">
        <v>0.6</v>
      </c>
      <c r="H26" s="82" t="s">
        <v>505</v>
      </c>
      <c r="I26" s="77" t="str">
        <f aca="false">IF(H26="Higher",IF(F26&gt;=G26,"✔ Meets","▼ Below"),IF(F26&lt;=G26,"✔ Meets","▲ Above"))</f>
        <v>✔ Meets</v>
      </c>
      <c r="J26" s="52" t="s">
        <v>510</v>
      </c>
    </row>
    <row r="27" customFormat="false" ht="15" hidden="false" customHeight="false" outlineLevel="0" collapsed="false">
      <c r="B27" s="39" t="s">
        <v>511</v>
      </c>
      <c r="D27" s="50" t="n">
        <f aca="false">IFERROR(Balance_Sheet!D34/Balance_Sheet!D17,0)</f>
        <v>0.473441319925333</v>
      </c>
      <c r="E27" s="50" t="n">
        <f aca="false">IFERROR(Balance_Sheet!E34/Balance_Sheet!E17,0)</f>
        <v>0.472658228944303</v>
      </c>
      <c r="F27" s="50" t="n">
        <f aca="false">IFERROR(Balance_Sheet!F34/Balance_Sheet!F17,0)</f>
        <v>0.51101334475876</v>
      </c>
      <c r="G27" s="81" t="n">
        <v>0.4</v>
      </c>
      <c r="H27" s="82" t="s">
        <v>477</v>
      </c>
      <c r="I27" s="77" t="str">
        <f aca="false">IF(H27="Higher",IF(F27&gt;=G27,"✔ Meets","▼ Below"),IF(F27&lt;=G27,"✔ Meets","▲ Above"))</f>
        <v>✔ Meets</v>
      </c>
      <c r="J27" s="52" t="s">
        <v>512</v>
      </c>
    </row>
    <row r="28" customFormat="false" ht="15" hidden="false" customHeight="false" outlineLevel="0" collapsed="false">
      <c r="B28" s="39" t="s">
        <v>513</v>
      </c>
      <c r="D28" s="57" t="n">
        <f aca="false">IFERROR(Income_Statement!D23/-Income_Statement!D17,0)</f>
        <v>3.83562038192112</v>
      </c>
      <c r="E28" s="57" t="n">
        <f aca="false">IFERROR(Income_Statement!E23/-Income_Statement!E17,0)</f>
        <v>4.32880174291939</v>
      </c>
      <c r="F28" s="57" t="n">
        <f aca="false">IFERROR(Income_Statement!F23/-Income_Statement!F17,0)</f>
        <v>5.1969049247606</v>
      </c>
      <c r="G28" s="84" t="n">
        <v>4</v>
      </c>
      <c r="H28" s="82" t="s">
        <v>477</v>
      </c>
      <c r="I28" s="77" t="str">
        <f aca="false">IF(H28="Higher",IF(F28&gt;=G28,"✔ Meets","▼ Below"),IF(F28&lt;=G28,"✔ Meets","▲ Above"))</f>
        <v>✔ Meets</v>
      </c>
      <c r="J28" s="52" t="s">
        <v>514</v>
      </c>
    </row>
    <row r="29" customFormat="false" ht="15" hidden="false" customHeight="false" outlineLevel="0" collapsed="false">
      <c r="B29" s="39" t="s">
        <v>515</v>
      </c>
      <c r="D29" s="57" t="n">
        <f aca="false">IFERROR(Income_Statement!D24/-Income_Statement!D17,0)</f>
        <v>5.50427022358699</v>
      </c>
      <c r="E29" s="57" t="n">
        <f aca="false">IFERROR(Income_Statement!E24/-Income_Statement!E17,0)</f>
        <v>6.00636165577342</v>
      </c>
      <c r="F29" s="57" t="n">
        <f aca="false">IFERROR(Income_Statement!F24/-Income_Statement!F17,0)</f>
        <v>7.01436388508892</v>
      </c>
      <c r="G29" s="84" t="n">
        <v>6</v>
      </c>
      <c r="H29" s="82" t="s">
        <v>477</v>
      </c>
      <c r="I29" s="77" t="str">
        <f aca="false">IF(H29="Higher",IF(F29&gt;=G29,"✔ Meets","▼ Below"),IF(F29&lt;=G29,"✔ Meets","▲ Above"))</f>
        <v>✔ Meets</v>
      </c>
      <c r="J29" s="52" t="s">
        <v>516</v>
      </c>
    </row>
    <row r="30" customFormat="false" ht="15" hidden="false" customHeight="false" outlineLevel="0" collapsed="false">
      <c r="B30" s="39" t="s">
        <v>517</v>
      </c>
      <c r="D30" s="57" t="n">
        <f aca="false">IFERROR((Schedules!D87-Balance_Sheet!D8)/Income_Statement!D24,0)</f>
        <v>1.35606694560669</v>
      </c>
      <c r="E30" s="57" t="n">
        <f aca="false">IFERROR((Schedules!E87-Balance_Sheet!E8)/Income_Statement!E24,0)</f>
        <v>1.03796990844856</v>
      </c>
      <c r="F30" s="57" t="n">
        <f aca="false">IFERROR((Schedules!F87-Balance_Sheet!F8)/Income_Statement!F24,0)</f>
        <v>0.624719648951731</v>
      </c>
      <c r="G30" s="84" t="n">
        <v>2.5</v>
      </c>
      <c r="H30" s="82" t="s">
        <v>505</v>
      </c>
      <c r="I30" s="77" t="str">
        <f aca="false">IF(H30="Higher",IF(F30&gt;=G30,"✔ Meets","▼ Below"),IF(F30&lt;=G30,"✔ Meets","▲ Above"))</f>
        <v>✔ Meets</v>
      </c>
      <c r="J30" s="52" t="s">
        <v>518</v>
      </c>
    </row>
    <row r="31" customFormat="false" ht="15" hidden="false" customHeight="false" outlineLevel="0" collapsed="false">
      <c r="B31" s="39" t="s">
        <v>519</v>
      </c>
      <c r="D31" s="57" t="n">
        <f aca="false">IFERROR(Income_Statement!D24/(Schedules!D90-Schedules!D83),0)</f>
        <v>2.55831586459123</v>
      </c>
      <c r="E31" s="57" t="n">
        <f aca="false">IFERROR(Income_Statement!E24/(Schedules!E90-Schedules!E83),0)</f>
        <v>2.81605720122574</v>
      </c>
      <c r="F31" s="57" t="n">
        <f aca="false">IFERROR(Income_Statement!F24/(Schedules!F90-Schedules!F83),0)</f>
        <v>3.07311956847468</v>
      </c>
      <c r="G31" s="84" t="n">
        <v>1.5</v>
      </c>
      <c r="H31" s="82" t="s">
        <v>477</v>
      </c>
      <c r="I31" s="77" t="str">
        <f aca="false">IF(H31="Higher",IF(F31&gt;=G31,"✔ Meets","▼ Below"),IF(F31&lt;=G31,"✔ Meets","▲ Above"))</f>
        <v>✔ Meets</v>
      </c>
      <c r="J31" s="52" t="s">
        <v>520</v>
      </c>
    </row>
    <row r="32" customFormat="false" ht="30" hidden="false" customHeight="true" outlineLevel="0" collapsed="false">
      <c r="B32" s="83" t="str">
        <f aca="false">"Commentary: borrowings-to-equity "&amp;IF(F24&lt;=E24,"declined","rose")&amp;" to "&amp;TEXT(F24,"0.00")&amp;"x; interest cover is "&amp;TEXT(F28,"0.0")&amp;"x and net debt is "&amp;TEXT(F30,"0.0")&amp;"x EBITDA. Debt service cover of "&amp;TEXT(F31,"0.00")&amp;"x "&amp;IF(F31&gt;=G31,"exceeds","is below")&amp;" the "&amp;TEXT(G31,"0.0")&amp;"x reference level."</f>
        <v>Commentary: borrowings-to-equity declined to 0.54x; interest cover is 5.2x and net debt is 0.6x EBITDA. Debt service cover of 3.07x exceeds the 1.5x reference level.</v>
      </c>
      <c r="C32" s="83"/>
      <c r="D32" s="83"/>
      <c r="E32" s="83"/>
      <c r="F32" s="83"/>
      <c r="G32" s="83"/>
      <c r="H32" s="83"/>
      <c r="I32" s="83"/>
      <c r="J32" s="83"/>
    </row>
    <row r="33" customFormat="false" ht="15" hidden="false" customHeight="false" outlineLevel="0" collapsed="false">
      <c r="B33" s="12" t="s">
        <v>521</v>
      </c>
      <c r="C33" s="13"/>
      <c r="D33" s="13"/>
      <c r="E33" s="13"/>
      <c r="F33" s="13"/>
      <c r="G33" s="13"/>
      <c r="H33" s="13"/>
      <c r="I33" s="13"/>
      <c r="J33" s="13"/>
    </row>
    <row r="34" customFormat="false" ht="15" hidden="false" customHeight="false" outlineLevel="0" collapsed="false">
      <c r="B34" s="39" t="s">
        <v>522</v>
      </c>
      <c r="D34" s="57" t="n">
        <f aca="false">IFERROR(Income_Statement!D7/AVERAGE(Balance_Sheet!C9,Balance_Sheet!D9),0)</f>
        <v>10.8051083316336</v>
      </c>
      <c r="E34" s="57" t="n">
        <f aca="false">IFERROR(Income_Statement!E7/AVERAGE(Balance_Sheet!D9,Balance_Sheet!E9),0)</f>
        <v>10.5880034457937</v>
      </c>
      <c r="F34" s="57" t="n">
        <f aca="false">IFERROR(Income_Statement!F7/AVERAGE(Balance_Sheet!E9,Balance_Sheet!F9),0)</f>
        <v>10.7012869821671</v>
      </c>
      <c r="G34" s="84" t="n">
        <v>10</v>
      </c>
      <c r="H34" s="82" t="s">
        <v>477</v>
      </c>
      <c r="I34" s="77" t="str">
        <f aca="false">IF(H34="Higher",IF(F34&gt;=G34,"✔ Meets","▼ Below"),IF(F34&lt;=G34,"✔ Meets","▲ Above"))</f>
        <v>✔ Meets</v>
      </c>
      <c r="J34" s="52" t="s">
        <v>523</v>
      </c>
    </row>
    <row r="35" customFormat="false" ht="15" hidden="false" customHeight="false" outlineLevel="0" collapsed="false">
      <c r="B35" s="39" t="s">
        <v>250</v>
      </c>
      <c r="D35" s="51" t="n">
        <f aca="false">IFERROR(Days_Year/D34,0)</f>
        <v>33.7803184195207</v>
      </c>
      <c r="E35" s="51" t="n">
        <f aca="false">IFERROR(Days_Year/E34,0)</f>
        <v>34.4729770696292</v>
      </c>
      <c r="F35" s="51" t="n">
        <f aca="false">IFERROR(Days_Year/F34,0)</f>
        <v>34.1080470609044</v>
      </c>
      <c r="G35" s="86" t="n">
        <v>40</v>
      </c>
      <c r="H35" s="82" t="s">
        <v>505</v>
      </c>
      <c r="I35" s="77" t="str">
        <f aca="false">IF(H35="Higher",IF(F35&gt;=G35,"✔ Meets","▼ Below"),IF(F35&lt;=G35,"✔ Meets","▲ Above"))</f>
        <v>✔ Meets</v>
      </c>
      <c r="J35" s="52" t="s">
        <v>524</v>
      </c>
    </row>
    <row r="36" customFormat="false" ht="15" hidden="false" customHeight="false" outlineLevel="0" collapsed="false">
      <c r="B36" s="39" t="s">
        <v>525</v>
      </c>
      <c r="D36" s="57" t="n">
        <f aca="false">IFERROR(-Income_Statement!D8/AVERAGE(Balance_Sheet!C10,Balance_Sheet!D10),0)</f>
        <v>8.17567711523609</v>
      </c>
      <c r="E36" s="57" t="n">
        <f aca="false">IFERROR(-Income_Statement!E8/AVERAGE(Balance_Sheet!D10,Balance_Sheet!E10),0)</f>
        <v>8.55540697042018</v>
      </c>
      <c r="F36" s="57" t="n">
        <f aca="false">IFERROR(-Income_Statement!F8/AVERAGE(Balance_Sheet!E10,Balance_Sheet!F10),0)</f>
        <v>8.72036930875298</v>
      </c>
      <c r="G36" s="84" t="n">
        <v>8</v>
      </c>
      <c r="H36" s="82" t="s">
        <v>477</v>
      </c>
      <c r="I36" s="77" t="str">
        <f aca="false">IF(H36="Higher",IF(F36&gt;=G36,"✔ Meets","▼ Below"),IF(F36&lt;=G36,"✔ Meets","▲ Above"))</f>
        <v>✔ Meets</v>
      </c>
      <c r="J36" s="52" t="s">
        <v>526</v>
      </c>
    </row>
    <row r="37" customFormat="false" ht="15" hidden="false" customHeight="false" outlineLevel="0" collapsed="false">
      <c r="B37" s="39" t="s">
        <v>527</v>
      </c>
      <c r="D37" s="51" t="n">
        <f aca="false">IFERROR(Days_Year/D36,0)</f>
        <v>44.6446202382174</v>
      </c>
      <c r="E37" s="51" t="n">
        <f aca="false">IFERROR(Days_Year/E36,0)</f>
        <v>42.6630785960231</v>
      </c>
      <c r="F37" s="51" t="n">
        <f aca="false">IFERROR(Days_Year/F36,0)</f>
        <v>41.8560254820441</v>
      </c>
      <c r="G37" s="86" t="n">
        <v>45</v>
      </c>
      <c r="H37" s="82" t="s">
        <v>505</v>
      </c>
      <c r="I37" s="77" t="str">
        <f aca="false">IF(H37="Higher",IF(F37&gt;=G37,"✔ Meets","▼ Below"),IF(F37&lt;=G37,"✔ Meets","▲ Above"))</f>
        <v>✔ Meets</v>
      </c>
      <c r="J37" s="52" t="s">
        <v>528</v>
      </c>
    </row>
    <row r="38" customFormat="false" ht="15" hidden="false" customHeight="false" outlineLevel="0" collapsed="false">
      <c r="B38" s="39" t="s">
        <v>529</v>
      </c>
      <c r="D38" s="57" t="n">
        <f aca="false">IFERROR(-Income_Statement!D8/AVERAGE(Balance_Sheet!C21,Balance_Sheet!D21),0)</f>
        <v>9.47605046880426</v>
      </c>
      <c r="E38" s="57" t="n">
        <f aca="false">IFERROR(-Income_Statement!E8/AVERAGE(Balance_Sheet!D21,Balance_Sheet!E21),0)</f>
        <v>9.39098066482656</v>
      </c>
      <c r="F38" s="57" t="n">
        <f aca="false">IFERROR(-Income_Statement!F8/AVERAGE(Balance_Sheet!E21,Balance_Sheet!F21),0)</f>
        <v>9.13224764757553</v>
      </c>
      <c r="G38" s="84" t="n">
        <v>8</v>
      </c>
      <c r="H38" s="82" t="s">
        <v>505</v>
      </c>
      <c r="I38" s="77" t="str">
        <f aca="false">IF(H38="Higher",IF(F38&gt;=G38,"✔ Meets","▼ Below"),IF(F38&lt;=G38,"✔ Meets","▲ Above"))</f>
        <v>▲ Above</v>
      </c>
      <c r="J38" s="52" t="s">
        <v>530</v>
      </c>
    </row>
    <row r="39" customFormat="false" ht="15" hidden="false" customHeight="false" outlineLevel="0" collapsed="false">
      <c r="B39" s="39" t="s">
        <v>531</v>
      </c>
      <c r="D39" s="51" t="n">
        <f aca="false">IFERROR(Days_Year/D38,0)</f>
        <v>38.5181570319409</v>
      </c>
      <c r="E39" s="51" t="n">
        <f aca="false">IFERROR(Days_Year/E38,0)</f>
        <v>38.8670803430667</v>
      </c>
      <c r="F39" s="51" t="n">
        <f aca="false">IFERROR(Days_Year/F38,0)</f>
        <v>39.9682547041857</v>
      </c>
      <c r="G39" s="86" t="n">
        <v>45</v>
      </c>
      <c r="H39" s="82" t="s">
        <v>477</v>
      </c>
      <c r="I39" s="77" t="str">
        <f aca="false">IF(H39="Higher",IF(F39&gt;=G39,"✔ Meets","▼ Below"),IF(F39&lt;=G39,"✔ Meets","▲ Above"))</f>
        <v>▼ Below</v>
      </c>
      <c r="J39" s="52" t="s">
        <v>532</v>
      </c>
    </row>
    <row r="40" customFormat="false" ht="15" hidden="false" customHeight="false" outlineLevel="0" collapsed="false">
      <c r="B40" s="39" t="s">
        <v>533</v>
      </c>
      <c r="D40" s="51" t="n">
        <f aca="false">D35+D37-D39</f>
        <v>39.9067816257972</v>
      </c>
      <c r="E40" s="51" t="n">
        <f aca="false">E35+E37-E39</f>
        <v>38.2689753225856</v>
      </c>
      <c r="F40" s="51" t="n">
        <f aca="false">F35+F37-F39</f>
        <v>35.9958178387628</v>
      </c>
      <c r="G40" s="86" t="n">
        <v>45</v>
      </c>
      <c r="H40" s="82" t="s">
        <v>505</v>
      </c>
      <c r="I40" s="77" t="str">
        <f aca="false">IF(H40="Higher",IF(F40&gt;=G40,"✔ Meets","▼ Below"),IF(F40&lt;=G40,"✔ Meets","▲ Above"))</f>
        <v>✔ Meets</v>
      </c>
      <c r="J40" s="52" t="s">
        <v>534</v>
      </c>
    </row>
    <row r="41" customFormat="false" ht="15" hidden="false" customHeight="false" outlineLevel="0" collapsed="false">
      <c r="B41" s="39" t="s">
        <v>535</v>
      </c>
      <c r="D41" s="57" t="n">
        <f aca="false">IFERROR(Income_Statement!D7/AVERAGE(Balance_Sheet!C17,Balance_Sheet!D17),0)</f>
        <v>2.00670352833359</v>
      </c>
      <c r="E41" s="57" t="n">
        <f aca="false">IFERROR(Income_Statement!E7/AVERAGE(Balance_Sheet!D17,Balance_Sheet!E17),0)</f>
        <v>2.04599182048391</v>
      </c>
      <c r="F41" s="57" t="n">
        <f aca="false">IFERROR(Income_Statement!F7/AVERAGE(Balance_Sheet!E17,Balance_Sheet!F17),0)</f>
        <v>2.06823564191973</v>
      </c>
      <c r="G41" s="84" t="n">
        <v>2</v>
      </c>
      <c r="H41" s="82" t="s">
        <v>477</v>
      </c>
      <c r="I41" s="77" t="str">
        <f aca="false">IF(H41="Higher",IF(F41&gt;=G41,"✔ Meets","▼ Below"),IF(F41&lt;=G41,"✔ Meets","▲ Above"))</f>
        <v>✔ Meets</v>
      </c>
      <c r="J41" s="52" t="s">
        <v>536</v>
      </c>
    </row>
    <row r="42" customFormat="false" ht="15" hidden="false" customHeight="false" outlineLevel="0" collapsed="false">
      <c r="B42" s="39" t="s">
        <v>537</v>
      </c>
      <c r="D42" s="57" t="n">
        <f aca="false">IFERROR(Income_Statement!D7/AVERAGE(Balance_Sheet!C14,Balance_Sheet!D14),0)</f>
        <v>4.64681631301799</v>
      </c>
      <c r="E42" s="57" t="n">
        <f aca="false">IFERROR(Income_Statement!E7/AVERAGE(Balance_Sheet!D14,Balance_Sheet!E14),0)</f>
        <v>4.87004711348488</v>
      </c>
      <c r="F42" s="57" t="n">
        <f aca="false">IFERROR(Income_Statement!F7/AVERAGE(Balance_Sheet!E14,Balance_Sheet!F14),0)</f>
        <v>5.06130925272924</v>
      </c>
      <c r="G42" s="84" t="n">
        <v>5</v>
      </c>
      <c r="H42" s="82" t="s">
        <v>477</v>
      </c>
      <c r="I42" s="77" t="str">
        <f aca="false">IF(H42="Higher",IF(F42&gt;=G42,"✔ Meets","▼ Below"),IF(F42&lt;=G42,"✔ Meets","▲ Above"))</f>
        <v>✔ Meets</v>
      </c>
      <c r="J42" s="52" t="s">
        <v>538</v>
      </c>
    </row>
    <row r="43" customFormat="false" ht="30" hidden="false" customHeight="true" outlineLevel="0" collapsed="false">
      <c r="B43" s="83" t="str">
        <f aca="false">"Commentary: cash conversion cycle of "&amp;TEXT(F40,"0.0")&amp;" days ("&amp;IF(F40&lt;=E40,"shorter","longer")&amp;" than the prior year): receivables "&amp;TEXT(F35,"0.0")&amp;" days, inventory "&amp;TEXT(F37,"0.0")&amp;" days, payables "&amp;TEXT(F39,"0.0")&amp;" days. Asset turnover "&amp;TEXT(F41,"0.00")&amp;"x."</f>
        <v>Commentary: cash conversion cycle of 36.0 days (shorter than the prior year): receivables 34.1 days, inventory 41.9 days, payables 40.0 days. Asset turnover 2.07x.</v>
      </c>
      <c r="C43" s="83"/>
      <c r="D43" s="83"/>
      <c r="E43" s="83"/>
      <c r="F43" s="83"/>
      <c r="G43" s="83"/>
      <c r="H43" s="83"/>
      <c r="I43" s="83"/>
      <c r="J43" s="83"/>
    </row>
    <row r="44" customFormat="false" ht="15" hidden="false" customHeight="false" outlineLevel="0" collapsed="false">
      <c r="B44" s="12" t="s">
        <v>539</v>
      </c>
      <c r="C44" s="13"/>
      <c r="D44" s="13"/>
      <c r="E44" s="13"/>
      <c r="F44" s="13"/>
      <c r="G44" s="13"/>
      <c r="H44" s="13"/>
      <c r="I44" s="13"/>
      <c r="J44" s="13"/>
    </row>
    <row r="45" customFormat="false" ht="15" hidden="false" customHeight="false" outlineLevel="0" collapsed="false">
      <c r="B45" s="39" t="s">
        <v>540</v>
      </c>
      <c r="D45" s="44" t="n">
        <f aca="false">Cash_Flow!D43</f>
        <v>10137</v>
      </c>
      <c r="E45" s="44" t="n">
        <f aca="false">Cash_Flow!E43</f>
        <v>13346</v>
      </c>
      <c r="F45" s="44" t="n">
        <f aca="false">Cash_Flow!F43</f>
        <v>30860</v>
      </c>
      <c r="I45" s="85" t="s">
        <v>421</v>
      </c>
      <c r="J45" s="52" t="s">
        <v>541</v>
      </c>
    </row>
    <row r="46" customFormat="false" ht="15" hidden="false" customHeight="false" outlineLevel="0" collapsed="false">
      <c r="B46" s="39" t="s">
        <v>542</v>
      </c>
      <c r="D46" s="50" t="n">
        <f aca="false">IFERROR(Cash_Flow!D43/Income_Statement!D7,0)</f>
        <v>0.012345363273001</v>
      </c>
      <c r="E46" s="50" t="n">
        <f aca="false">IFERROR(Cash_Flow!E43/Income_Statement!E7,0)</f>
        <v>0.0148745371908011</v>
      </c>
      <c r="F46" s="50" t="n">
        <f aca="false">IFERROR(Cash_Flow!F43/Income_Statement!F7,0)</f>
        <v>0.0317345404661666</v>
      </c>
      <c r="G46" s="81" t="n">
        <v>0.02</v>
      </c>
      <c r="H46" s="82" t="s">
        <v>477</v>
      </c>
      <c r="I46" s="77" t="str">
        <f aca="false">IF(H46="Higher",IF(F46&gt;=G46,"✔ Meets","▼ Below"),IF(F46&lt;=G46,"✔ Meets","▲ Above"))</f>
        <v>✔ Meets</v>
      </c>
      <c r="J46" s="52" t="s">
        <v>543</v>
      </c>
    </row>
    <row r="47" customFormat="false" ht="15" hidden="false" customHeight="false" outlineLevel="0" collapsed="false">
      <c r="B47" s="39" t="s">
        <v>544</v>
      </c>
      <c r="D47" s="57" t="n">
        <f aca="false">IFERROR(Cash_Flow!D22/Income_Statement!D20,0)</f>
        <v>1.43390267769771</v>
      </c>
      <c r="E47" s="57" t="n">
        <f aca="false">IFERROR(Cash_Flow!E22/Income_Statement!E20,0)</f>
        <v>1.52525078423937</v>
      </c>
      <c r="F47" s="57" t="n">
        <f aca="false">IFERROR(Cash_Flow!F22/Income_Statement!F20,0)</f>
        <v>1.5441373041758</v>
      </c>
      <c r="G47" s="84" t="n">
        <v>1</v>
      </c>
      <c r="H47" s="82" t="s">
        <v>477</v>
      </c>
      <c r="I47" s="77" t="str">
        <f aca="false">IF(H47="Higher",IF(F47&gt;=G47,"✔ Meets","▼ Below"),IF(F47&lt;=G47,"✔ Meets","▲ Above"))</f>
        <v>✔ Meets</v>
      </c>
      <c r="J47" s="52" t="s">
        <v>545</v>
      </c>
    </row>
    <row r="48" customFormat="false" ht="15" hidden="false" customHeight="false" outlineLevel="0" collapsed="false">
      <c r="B48" s="12" t="s">
        <v>546</v>
      </c>
      <c r="C48" s="13"/>
      <c r="D48" s="13"/>
      <c r="E48" s="13"/>
      <c r="F48" s="13"/>
      <c r="G48" s="13"/>
      <c r="H48" s="13"/>
      <c r="I48" s="13"/>
      <c r="J48" s="13"/>
    </row>
    <row r="49" customFormat="false" ht="15" hidden="false" customHeight="false" outlineLevel="0" collapsed="false">
      <c r="B49" s="39" t="s">
        <v>483</v>
      </c>
      <c r="D49" s="50" t="n">
        <f aca="false">IFERROR(Income_Statement!D20/Income_Statement!D7,0)</f>
        <v>0.0273797432281353</v>
      </c>
      <c r="E49" s="50" t="n">
        <f aca="false">IFERROR(Income_Statement!E20/Income_Statement!E7,0)</f>
        <v>0.0323314438309568</v>
      </c>
      <c r="F49" s="50" t="n">
        <f aca="false">IFERROR(Income_Statement!F20/Income_Statement!F7,0)</f>
        <v>0.0384660473323859</v>
      </c>
      <c r="I49" s="85" t="s">
        <v>421</v>
      </c>
      <c r="J49" s="52" t="s">
        <v>547</v>
      </c>
    </row>
    <row r="50" customFormat="false" ht="15" hidden="false" customHeight="false" outlineLevel="0" collapsed="false">
      <c r="B50" s="39" t="s">
        <v>548</v>
      </c>
      <c r="D50" s="57" t="n">
        <f aca="false">IFERROR(Income_Statement!D7/AVERAGE(Balance_Sheet!C17,Balance_Sheet!D17),0)</f>
        <v>2.00670352833359</v>
      </c>
      <c r="E50" s="57" t="n">
        <f aca="false">IFERROR(Income_Statement!E7/AVERAGE(Balance_Sheet!D17,Balance_Sheet!E17),0)</f>
        <v>2.04599182048391</v>
      </c>
      <c r="F50" s="57" t="n">
        <f aca="false">IFERROR(Income_Statement!F7/AVERAGE(Balance_Sheet!E17,Balance_Sheet!F17),0)</f>
        <v>2.06823564191973</v>
      </c>
      <c r="I50" s="85" t="s">
        <v>421</v>
      </c>
      <c r="J50" s="52" t="s">
        <v>549</v>
      </c>
    </row>
    <row r="51" customFormat="false" ht="15" hidden="false" customHeight="false" outlineLevel="0" collapsed="false">
      <c r="B51" s="39" t="s">
        <v>550</v>
      </c>
      <c r="D51" s="57" t="n">
        <f aca="false">IFERROR(AVERAGE(Balance_Sheet!C17,Balance_Sheet!D17)/AVERAGE(Balance_Sheet!C34,Balance_Sheet!D34),0)</f>
        <v>2.17501946786938</v>
      </c>
      <c r="E51" s="57" t="n">
        <f aca="false">IFERROR(AVERAGE(Balance_Sheet!D17,Balance_Sheet!E17)/AVERAGE(Balance_Sheet!D34,Balance_Sheet!E34),0)</f>
        <v>2.11403565858961</v>
      </c>
      <c r="F51" s="57" t="n">
        <f aca="false">IFERROR(AVERAGE(Balance_Sheet!E17,Balance_Sheet!F17)/AVERAGE(Balance_Sheet!E34,Balance_Sheet!F34),0)</f>
        <v>2.03180286072339</v>
      </c>
      <c r="I51" s="85" t="s">
        <v>421</v>
      </c>
      <c r="J51" s="52" t="s">
        <v>551</v>
      </c>
    </row>
    <row r="52" customFormat="false" ht="15" hidden="false" customHeight="false" outlineLevel="0" collapsed="false">
      <c r="B52" s="87" t="s">
        <v>552</v>
      </c>
      <c r="D52" s="60" t="n">
        <f aca="false">D49*D50*D51</f>
        <v>0.119502154089847</v>
      </c>
      <c r="E52" s="60" t="n">
        <f aca="false">E49*E50*E51</f>
        <v>0.139843183193172</v>
      </c>
      <c r="F52" s="60" t="n">
        <f aca="false">F49*F50*F51</f>
        <v>0.161643835616438</v>
      </c>
      <c r="I52" s="85" t="s">
        <v>421</v>
      </c>
      <c r="J52" s="52" t="s">
        <v>553</v>
      </c>
    </row>
    <row r="53" customFormat="false" ht="15" hidden="false" customHeight="false" outlineLevel="0" collapsed="false">
      <c r="B53" s="39" t="s">
        <v>554</v>
      </c>
      <c r="D53" s="88" t="n">
        <f aca="false">ROUND(D52-D12,6)</f>
        <v>0</v>
      </c>
      <c r="E53" s="88" t="n">
        <f aca="false">ROUND(E52-E12,6)</f>
        <v>0</v>
      </c>
      <c r="F53" s="88" t="n">
        <f aca="false">ROUND(F52-F12,6)</f>
        <v>0</v>
      </c>
      <c r="I53" s="85" t="s">
        <v>421</v>
      </c>
      <c r="J53" s="52" t="s">
        <v>555</v>
      </c>
    </row>
  </sheetData>
  <mergeCells count="4">
    <mergeCell ref="B14:J14"/>
    <mergeCell ref="B22:J22"/>
    <mergeCell ref="B32:J32"/>
    <mergeCell ref="B43:J43"/>
  </mergeCells>
  <conditionalFormatting sqref="I6:I53">
    <cfRule type="expression" priority="2" aboveAverage="0" equalAverage="0" bottom="0" percent="0" rank="0" text="" dxfId="0">
      <formula>LEFT(I6,1)="✔"</formula>
    </cfRule>
    <cfRule type="expression" priority="3" aboveAverage="0" equalAverage="0" bottom="0" percent="0" rank="0" text="" dxfId="4">
      <formula>OR(LEFT(I6,1)="▼",LEFT(I6,1)="▲")</formula>
    </cfRule>
  </conditionalFormatting>
  <dataValidations count="1">
    <dataValidation allowBlank="true" errorStyle="stop" operator="between" showDropDown="false" showErrorMessage="false" showInputMessage="false" sqref="H7:H13 H16:H18 H21 H24:H31 H34:H42 H46:H47" type="list">
      <formula1>"Higher,Lower"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true"/>
  </sheetPr>
  <dimension ref="B1:G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6" min="3" style="0" width="16"/>
    <col collapsed="false" customWidth="true" hidden="false" outlineLevel="0" max="7" min="7" style="0" width="78"/>
  </cols>
  <sheetData>
    <row r="1" customFormat="false" ht="24" hidden="false" customHeight="true" outlineLevel="0" collapsed="false">
      <c r="B1" s="17" t="s">
        <v>556</v>
      </c>
    </row>
    <row r="2" customFormat="false" ht="15" hidden="false" customHeight="false" outlineLevel="0" collapsed="false">
      <c r="B2" s="18" t="s">
        <v>557</v>
      </c>
    </row>
    <row r="3" customFormat="false" ht="15" hidden="false" customHeight="false" outlineLevel="0" collapsed="false">
      <c r="B3" s="19" t="str">
        <f aca="false">HYPERLINK("#Cover!A1","◄ Back to Cover")</f>
        <v>◄ Back to Cover</v>
      </c>
    </row>
    <row r="5" customFormat="false" ht="15" hidden="false" customHeight="false" outlineLevel="0" collapsed="false">
      <c r="B5" s="12" t="s">
        <v>558</v>
      </c>
      <c r="C5" s="13"/>
      <c r="D5" s="13"/>
      <c r="E5" s="13"/>
      <c r="F5" s="13"/>
      <c r="G5" s="13"/>
    </row>
    <row r="6" customFormat="false" ht="15" hidden="false" customHeight="false" outlineLevel="0" collapsed="false">
      <c r="B6" s="39" t="s">
        <v>559</v>
      </c>
      <c r="C6" s="89" t="s">
        <v>560</v>
      </c>
    </row>
    <row r="7" customFormat="false" ht="15" hidden="false" customHeight="false" outlineLevel="0" collapsed="false">
      <c r="B7" s="39" t="s">
        <v>561</v>
      </c>
      <c r="C7" s="89" t="s">
        <v>562</v>
      </c>
    </row>
    <row r="8" customFormat="false" ht="15" hidden="false" customHeight="false" outlineLevel="0" collapsed="false">
      <c r="B8" s="39" t="s">
        <v>563</v>
      </c>
      <c r="C8" s="89" t="s">
        <v>564</v>
      </c>
    </row>
    <row r="9" customFormat="false" ht="15" hidden="false" customHeight="false" outlineLevel="0" collapsed="false">
      <c r="B9" s="39" t="s">
        <v>565</v>
      </c>
      <c r="C9" s="89" t="s">
        <v>566</v>
      </c>
    </row>
    <row r="10" customFormat="false" ht="15" hidden="false" customHeight="false" outlineLevel="0" collapsed="false">
      <c r="B10" s="39" t="s">
        <v>567</v>
      </c>
      <c r="C10" s="89" t="s">
        <v>568</v>
      </c>
    </row>
    <row r="11" customFormat="false" ht="15" hidden="false" customHeight="false" outlineLevel="0" collapsed="false">
      <c r="B11" s="39" t="s">
        <v>569</v>
      </c>
      <c r="C11" s="89" t="s">
        <v>570</v>
      </c>
    </row>
    <row r="12" customFormat="false" ht="15" hidden="false" customHeight="false" outlineLevel="0" collapsed="false">
      <c r="B12" s="39" t="s">
        <v>571</v>
      </c>
      <c r="C12" s="89" t="s">
        <v>572</v>
      </c>
    </row>
    <row r="13" customFormat="false" ht="15" hidden="false" customHeight="false" outlineLevel="0" collapsed="false">
      <c r="B13" s="39" t="s">
        <v>573</v>
      </c>
      <c r="C13" s="90" t="n">
        <v>0.25</v>
      </c>
      <c r="G13" s="52" t="s">
        <v>574</v>
      </c>
    </row>
    <row r="14" customFormat="false" ht="15" hidden="false" customHeight="false" outlineLevel="0" collapsed="false">
      <c r="B14" s="39" t="s">
        <v>575</v>
      </c>
      <c r="C14" s="90" t="n">
        <v>0.02</v>
      </c>
      <c r="G14" s="52" t="s">
        <v>576</v>
      </c>
    </row>
    <row r="15" customFormat="false" ht="15" hidden="false" customHeight="false" outlineLevel="0" collapsed="false">
      <c r="B15" s="39" t="s">
        <v>577</v>
      </c>
      <c r="C15" s="90" t="n">
        <v>0.2</v>
      </c>
      <c r="G15" s="52" t="s">
        <v>578</v>
      </c>
    </row>
    <row r="16" customFormat="false" ht="15" hidden="false" customHeight="false" outlineLevel="0" collapsed="false">
      <c r="B16" s="39" t="s">
        <v>579</v>
      </c>
      <c r="C16" s="91" t="n">
        <v>365</v>
      </c>
      <c r="G16" s="52" t="s">
        <v>580</v>
      </c>
    </row>
    <row r="17" customFormat="false" ht="15" hidden="false" customHeight="false" outlineLevel="0" collapsed="false">
      <c r="B17" s="39" t="s">
        <v>581</v>
      </c>
      <c r="C17" s="92" t="n">
        <v>0.1</v>
      </c>
      <c r="G17" s="52" t="s">
        <v>582</v>
      </c>
    </row>
    <row r="18" customFormat="false" ht="15" hidden="false" customHeight="false" outlineLevel="0" collapsed="false">
      <c r="B18" s="39" t="s">
        <v>583</v>
      </c>
      <c r="C18" s="93" t="n">
        <v>100</v>
      </c>
      <c r="G18" s="52" t="s">
        <v>584</v>
      </c>
    </row>
    <row r="19" customFormat="false" ht="15" hidden="false" customHeight="false" outlineLevel="0" collapsed="false">
      <c r="B19" s="39" t="s">
        <v>585</v>
      </c>
      <c r="C19" s="94" t="n">
        <v>5</v>
      </c>
      <c r="G19" s="52" t="s">
        <v>586</v>
      </c>
    </row>
    <row r="21" customFormat="false" ht="15" hidden="false" customHeight="false" outlineLevel="0" collapsed="false">
      <c r="B21" s="12" t="s">
        <v>587</v>
      </c>
      <c r="C21" s="13"/>
      <c r="D21" s="13"/>
      <c r="E21" s="13"/>
      <c r="F21" s="13"/>
      <c r="G21" s="13"/>
    </row>
    <row r="22" customFormat="false" ht="15" hidden="false" customHeight="false" outlineLevel="0" collapsed="false">
      <c r="B22" s="33" t="s">
        <v>117</v>
      </c>
      <c r="C22" s="35" t="n">
        <v>2022</v>
      </c>
      <c r="D22" s="35" t="n">
        <f aca="false">C22+1</f>
        <v>2023</v>
      </c>
      <c r="E22" s="35" t="n">
        <f aca="false">D22+1</f>
        <v>2024</v>
      </c>
      <c r="F22" s="35" t="n">
        <f aca="false">E22+1</f>
        <v>2025</v>
      </c>
      <c r="G22" s="33" t="s">
        <v>588</v>
      </c>
    </row>
    <row r="23" customFormat="false" ht="15" hidden="false" customHeight="false" outlineLevel="0" collapsed="false">
      <c r="B23" s="48" t="s">
        <v>589</v>
      </c>
    </row>
    <row r="24" customFormat="false" ht="15" hidden="false" customHeight="false" outlineLevel="0" collapsed="false">
      <c r="B24" s="39" t="s">
        <v>590</v>
      </c>
      <c r="D24" s="95" t="n">
        <v>0.0725</v>
      </c>
      <c r="E24" s="95" t="n">
        <v>0.079</v>
      </c>
      <c r="F24" s="95" t="n">
        <v>0.081</v>
      </c>
      <c r="G24" s="52" t="s">
        <v>591</v>
      </c>
    </row>
    <row r="25" customFormat="false" ht="15" hidden="false" customHeight="false" outlineLevel="0" collapsed="false">
      <c r="B25" s="39" t="s">
        <v>592</v>
      </c>
      <c r="D25" s="95" t="n">
        <v>0.075</v>
      </c>
      <c r="E25" s="95" t="n">
        <v>0.08</v>
      </c>
      <c r="F25" s="95" t="n">
        <v>0.0825</v>
      </c>
      <c r="G25" s="52" t="s">
        <v>593</v>
      </c>
    </row>
    <row r="26" customFormat="false" ht="15" hidden="false" customHeight="false" outlineLevel="0" collapsed="false">
      <c r="B26" s="39" t="s">
        <v>594</v>
      </c>
      <c r="D26" s="95" t="n">
        <v>0.0125</v>
      </c>
      <c r="E26" s="95" t="n">
        <v>0.015</v>
      </c>
      <c r="F26" s="95" t="n">
        <v>0.015</v>
      </c>
      <c r="G26" s="52" t="s">
        <v>595</v>
      </c>
    </row>
    <row r="27" customFormat="false" ht="15" hidden="false" customHeight="false" outlineLevel="0" collapsed="false">
      <c r="B27" s="39" t="s">
        <v>596</v>
      </c>
      <c r="D27" s="96" t="n">
        <v>1350</v>
      </c>
      <c r="E27" s="96" t="n">
        <v>1520</v>
      </c>
      <c r="F27" s="96" t="n">
        <v>1700</v>
      </c>
    </row>
    <row r="28" customFormat="false" ht="15" hidden="false" customHeight="false" outlineLevel="0" collapsed="false">
      <c r="B28" s="39" t="s">
        <v>597</v>
      </c>
      <c r="D28" s="96" t="n">
        <v>1200</v>
      </c>
      <c r="E28" s="96" t="n">
        <v>1350</v>
      </c>
      <c r="F28" s="96" t="n">
        <v>1500</v>
      </c>
      <c r="G28" s="52" t="s">
        <v>598</v>
      </c>
    </row>
    <row r="29" customFormat="false" ht="15" hidden="false" customHeight="false" outlineLevel="0" collapsed="false">
      <c r="B29" s="39" t="s">
        <v>599</v>
      </c>
      <c r="D29" s="81" t="n">
        <v>0.78</v>
      </c>
      <c r="E29" s="81" t="n">
        <v>0.8</v>
      </c>
      <c r="F29" s="81" t="n">
        <v>0.8</v>
      </c>
      <c r="G29" s="52" t="s">
        <v>600</v>
      </c>
    </row>
    <row r="30" customFormat="false" ht="15" hidden="false" customHeight="false" outlineLevel="0" collapsed="false">
      <c r="B30" s="39" t="s">
        <v>601</v>
      </c>
      <c r="D30" s="81" t="n">
        <v>0.25</v>
      </c>
      <c r="E30" s="81" t="n">
        <v>0.25</v>
      </c>
      <c r="F30" s="81" t="n">
        <v>0.3</v>
      </c>
      <c r="G30" s="52" t="s">
        <v>602</v>
      </c>
    </row>
    <row r="31" customFormat="false" ht="15" hidden="false" customHeight="false" outlineLevel="0" collapsed="false">
      <c r="B31" s="48" t="s">
        <v>603</v>
      </c>
    </row>
    <row r="32" customFormat="false" ht="15" hidden="false" customHeight="false" outlineLevel="0" collapsed="false">
      <c r="B32" s="39" t="s">
        <v>604</v>
      </c>
      <c r="D32" s="86" t="n">
        <v>36</v>
      </c>
      <c r="E32" s="86" t="n">
        <v>36</v>
      </c>
      <c r="F32" s="86" t="n">
        <v>35</v>
      </c>
      <c r="G32" s="52" t="s">
        <v>605</v>
      </c>
    </row>
    <row r="33" customFormat="false" ht="15" hidden="false" customHeight="false" outlineLevel="0" collapsed="false">
      <c r="B33" s="39" t="s">
        <v>606</v>
      </c>
      <c r="D33" s="86" t="n">
        <v>45</v>
      </c>
      <c r="E33" s="86" t="n">
        <v>44</v>
      </c>
      <c r="F33" s="86" t="n">
        <v>43</v>
      </c>
      <c r="G33" s="52" t="s">
        <v>607</v>
      </c>
    </row>
    <row r="34" customFormat="false" ht="15" hidden="false" customHeight="false" outlineLevel="0" collapsed="false">
      <c r="B34" s="39" t="s">
        <v>608</v>
      </c>
      <c r="D34" s="86" t="n">
        <v>40</v>
      </c>
      <c r="E34" s="86" t="n">
        <v>41</v>
      </c>
      <c r="F34" s="86" t="n">
        <v>42</v>
      </c>
      <c r="G34" s="52" t="s">
        <v>609</v>
      </c>
    </row>
    <row r="35" customFormat="false" ht="15" hidden="false" customHeight="false" outlineLevel="0" collapsed="false">
      <c r="B35" s="39" t="s">
        <v>610</v>
      </c>
      <c r="D35" s="81" t="n">
        <v>0.075</v>
      </c>
      <c r="E35" s="81" t="n">
        <v>0.075</v>
      </c>
      <c r="F35" s="81" t="n">
        <v>0.075</v>
      </c>
    </row>
    <row r="36" customFormat="false" ht="15" hidden="false" customHeight="false" outlineLevel="0" collapsed="false">
      <c r="B36" s="39" t="s">
        <v>611</v>
      </c>
      <c r="D36" s="81" t="n">
        <v>0.09</v>
      </c>
      <c r="E36" s="81" t="n">
        <v>0.09</v>
      </c>
      <c r="F36" s="81" t="n">
        <v>0.09</v>
      </c>
    </row>
    <row r="37" customFormat="false" ht="15" hidden="false" customHeight="false" outlineLevel="0" collapsed="false">
      <c r="B37" s="48" t="s">
        <v>612</v>
      </c>
    </row>
    <row r="38" customFormat="false" ht="15" hidden="false" customHeight="false" outlineLevel="0" collapsed="false">
      <c r="B38" s="39" t="s">
        <v>158</v>
      </c>
      <c r="C38" s="96" t="n">
        <v>62000</v>
      </c>
      <c r="G38" s="52" t="s">
        <v>613</v>
      </c>
    </row>
    <row r="39" customFormat="false" ht="15" hidden="false" customHeight="false" outlineLevel="0" collapsed="false">
      <c r="B39" s="39" t="s">
        <v>160</v>
      </c>
      <c r="C39" s="96" t="n">
        <v>71000</v>
      </c>
    </row>
    <row r="40" customFormat="false" ht="15" hidden="false" customHeight="false" outlineLevel="0" collapsed="false">
      <c r="B40" s="39" t="s">
        <v>162</v>
      </c>
      <c r="C40" s="96" t="n">
        <v>74500</v>
      </c>
    </row>
    <row r="41" customFormat="false" ht="15" hidden="false" customHeight="false" outlineLevel="0" collapsed="false">
      <c r="B41" s="39" t="s">
        <v>164</v>
      </c>
      <c r="C41" s="96" t="n">
        <v>11200</v>
      </c>
    </row>
    <row r="42" customFormat="false" ht="15" hidden="false" customHeight="false" outlineLevel="0" collapsed="false">
      <c r="B42" s="39" t="s">
        <v>172</v>
      </c>
      <c r="C42" s="96" t="n">
        <v>62300</v>
      </c>
    </row>
    <row r="43" customFormat="false" ht="15" hidden="false" customHeight="false" outlineLevel="0" collapsed="false">
      <c r="B43" s="39" t="s">
        <v>173</v>
      </c>
      <c r="C43" s="96" t="n">
        <v>13400</v>
      </c>
    </row>
    <row r="44" customFormat="false" ht="15" hidden="false" customHeight="false" outlineLevel="0" collapsed="false">
      <c r="B44" s="39" t="s">
        <v>174</v>
      </c>
      <c r="C44" s="96" t="n">
        <v>2800</v>
      </c>
    </row>
    <row r="45" customFormat="false" ht="15" hidden="false" customHeight="false" outlineLevel="0" collapsed="false">
      <c r="B45" s="39" t="s">
        <v>614</v>
      </c>
      <c r="C45" s="96" t="n">
        <v>100000</v>
      </c>
    </row>
    <row r="46" customFormat="false" ht="15" hidden="false" customHeight="false" outlineLevel="0" collapsed="false">
      <c r="B46" s="39" t="s">
        <v>182</v>
      </c>
      <c r="C46" s="96" t="n">
        <v>120000</v>
      </c>
    </row>
    <row r="47" customFormat="false" ht="15" hidden="false" customHeight="false" outlineLevel="0" collapsed="false">
      <c r="B47" s="39" t="s">
        <v>184</v>
      </c>
      <c r="C47" s="96" t="n">
        <v>18000</v>
      </c>
    </row>
    <row r="48" customFormat="false" ht="15" hidden="false" customHeight="false" outlineLevel="0" collapsed="false">
      <c r="B48" s="39" t="s">
        <v>185</v>
      </c>
      <c r="C48" s="96" t="n">
        <v>41700</v>
      </c>
      <c r="G48" s="52" t="s">
        <v>615</v>
      </c>
    </row>
    <row r="49" customFormat="false" ht="15" hidden="false" customHeight="false" outlineLevel="0" collapsed="false">
      <c r="B49" s="48" t="s">
        <v>616</v>
      </c>
    </row>
    <row r="50" customFormat="false" ht="15" hidden="false" customHeight="false" outlineLevel="0" collapsed="false">
      <c r="B50" s="39" t="s">
        <v>617</v>
      </c>
      <c r="C50" s="96" t="n">
        <v>9800</v>
      </c>
      <c r="D50" s="96" t="n">
        <v>10200</v>
      </c>
      <c r="E50" s="96" t="n">
        <v>10500</v>
      </c>
      <c r="F50" s="96" t="n">
        <v>11100</v>
      </c>
      <c r="G50" s="52" t="s">
        <v>618</v>
      </c>
    </row>
    <row r="51" customFormat="false" ht="15" hidden="false" customHeight="false" outlineLevel="0" collapsed="false">
      <c r="B51" s="39" t="s">
        <v>619</v>
      </c>
      <c r="C51" s="96" t="n">
        <v>45000</v>
      </c>
      <c r="D51" s="96" t="n">
        <v>48000</v>
      </c>
      <c r="E51" s="96" t="n">
        <v>42000</v>
      </c>
      <c r="F51" s="96" t="n">
        <v>38000</v>
      </c>
      <c r="G51" s="52" t="s">
        <v>620</v>
      </c>
    </row>
    <row r="52" customFormat="false" ht="15" hidden="false" customHeight="false" outlineLevel="0" collapsed="false">
      <c r="B52" s="39" t="s">
        <v>621</v>
      </c>
      <c r="D52" s="96" t="n">
        <v>0</v>
      </c>
      <c r="E52" s="96" t="n">
        <v>35000</v>
      </c>
      <c r="F52" s="96" t="n">
        <v>0</v>
      </c>
      <c r="G52" s="52" t="s">
        <v>622</v>
      </c>
    </row>
    <row r="53" customFormat="false" ht="15" hidden="false" customHeight="false" outlineLevel="0" collapsed="false">
      <c r="B53" s="39" t="s">
        <v>623</v>
      </c>
      <c r="D53" s="96" t="n">
        <v>12000</v>
      </c>
      <c r="E53" s="96" t="n">
        <v>13000</v>
      </c>
      <c r="F53" s="96" t="n">
        <v>15000</v>
      </c>
    </row>
    <row r="54" customFormat="false" ht="15" hidden="false" customHeight="false" outlineLevel="0" collapsed="false">
      <c r="B54" s="39" t="s">
        <v>624</v>
      </c>
      <c r="C54" s="96" t="n">
        <v>12000</v>
      </c>
      <c r="D54" s="96" t="n">
        <v>13000</v>
      </c>
      <c r="E54" s="96" t="n">
        <v>15000</v>
      </c>
      <c r="F54" s="96" t="n">
        <v>16500</v>
      </c>
      <c r="G54" s="52" t="s">
        <v>625</v>
      </c>
    </row>
    <row r="55" customFormat="false" ht="15" hidden="false" customHeight="false" outlineLevel="0" collapsed="false">
      <c r="B55" s="39" t="s">
        <v>626</v>
      </c>
      <c r="D55" s="96" t="n">
        <v>0</v>
      </c>
      <c r="E55" s="96" t="n">
        <v>0</v>
      </c>
      <c r="F55" s="96" t="n">
        <v>0</v>
      </c>
    </row>
    <row r="56" customFormat="false" ht="15" hidden="false" customHeight="false" outlineLevel="0" collapsed="false">
      <c r="B56" s="39" t="s">
        <v>627</v>
      </c>
      <c r="D56" s="96" t="n">
        <v>0</v>
      </c>
      <c r="E56" s="96" t="n">
        <v>0</v>
      </c>
      <c r="F56" s="96" t="n">
        <v>0</v>
      </c>
    </row>
    <row r="57" customFormat="false" ht="15" hidden="false" customHeight="false" outlineLevel="0" collapsed="false">
      <c r="B57" s="48" t="s">
        <v>628</v>
      </c>
    </row>
    <row r="58" customFormat="false" ht="15" hidden="false" customHeight="false" outlineLevel="0" collapsed="false">
      <c r="B58" s="39" t="s">
        <v>629</v>
      </c>
      <c r="D58" s="81" t="n">
        <v>0.015</v>
      </c>
      <c r="E58" s="81" t="n">
        <v>0.015</v>
      </c>
      <c r="F58" s="81" t="n">
        <v>0.015</v>
      </c>
    </row>
    <row r="59" customFormat="false" ht="15" hidden="false" customHeight="false" outlineLevel="0" collapsed="false">
      <c r="B59" s="39" t="s">
        <v>630</v>
      </c>
      <c r="D59" s="81" t="n">
        <v>0.12</v>
      </c>
      <c r="E59" s="81" t="n">
        <v>0.12</v>
      </c>
      <c r="F59" s="81" t="n">
        <v>0.12</v>
      </c>
      <c r="G59" s="52" t="s">
        <v>631</v>
      </c>
    </row>
    <row r="60" customFormat="false" ht="15" hidden="false" customHeight="false" outlineLevel="0" collapsed="false">
      <c r="B60" s="39" t="s">
        <v>632</v>
      </c>
      <c r="D60" s="81" t="n">
        <v>0.18</v>
      </c>
      <c r="E60" s="81" t="n">
        <v>0.17</v>
      </c>
      <c r="F60" s="81" t="n">
        <v>0.16</v>
      </c>
      <c r="G60" s="52" t="s">
        <v>633</v>
      </c>
    </row>
    <row r="61" customFormat="false" ht="15" hidden="false" customHeight="false" outlineLevel="0" collapsed="false">
      <c r="B61" s="39" t="s">
        <v>634</v>
      </c>
      <c r="D61" s="81" t="n">
        <v>0.07</v>
      </c>
      <c r="E61" s="81" t="n">
        <v>0.065</v>
      </c>
      <c r="F61" s="81" t="n">
        <v>0.06</v>
      </c>
    </row>
    <row r="62" customFormat="false" ht="15" hidden="false" customHeight="false" outlineLevel="0" collapsed="false">
      <c r="B62" s="39" t="s">
        <v>635</v>
      </c>
      <c r="D62" s="81" t="n">
        <v>0.035</v>
      </c>
      <c r="E62" s="81" t="n">
        <v>0.03</v>
      </c>
      <c r="F62" s="81" t="n">
        <v>0.025</v>
      </c>
    </row>
    <row r="64" customFormat="false" ht="15" hidden="false" customHeight="false" outlineLevel="0" collapsed="false">
      <c r="B64" s="12" t="s">
        <v>636</v>
      </c>
      <c r="C64" s="13"/>
      <c r="D64" s="13"/>
      <c r="E64" s="13"/>
      <c r="F64" s="13"/>
      <c r="G64" s="13"/>
    </row>
    <row r="65" customFormat="false" ht="30" hidden="false" customHeight="true" outlineLevel="0" collapsed="false">
      <c r="B65" s="49" t="s">
        <v>637</v>
      </c>
      <c r="C65" s="36" t="s">
        <v>638</v>
      </c>
      <c r="D65" s="36" t="s">
        <v>639</v>
      </c>
      <c r="E65" s="36" t="s">
        <v>640</v>
      </c>
    </row>
    <row r="66" customFormat="false" ht="15" hidden="false" customHeight="false" outlineLevel="0" collapsed="false">
      <c r="B66" s="39" t="s">
        <v>329</v>
      </c>
      <c r="C66" s="97" t="n">
        <v>0</v>
      </c>
      <c r="D66" s="96" t="n">
        <v>60000</v>
      </c>
      <c r="E66" s="96" t="n">
        <v>0</v>
      </c>
      <c r="G66" s="52" t="s">
        <v>641</v>
      </c>
    </row>
    <row r="67" customFormat="false" ht="15" hidden="false" customHeight="false" outlineLevel="0" collapsed="false">
      <c r="B67" s="39" t="s">
        <v>331</v>
      </c>
      <c r="C67" s="97" t="n">
        <v>30</v>
      </c>
      <c r="D67" s="96" t="n">
        <v>96000</v>
      </c>
      <c r="E67" s="96" t="n">
        <v>26000</v>
      </c>
    </row>
    <row r="68" customFormat="false" ht="15" hidden="false" customHeight="false" outlineLevel="0" collapsed="false">
      <c r="B68" s="39" t="s">
        <v>332</v>
      </c>
      <c r="C68" s="97" t="n">
        <v>12</v>
      </c>
      <c r="D68" s="96" t="n">
        <v>38000</v>
      </c>
      <c r="E68" s="96" t="n">
        <v>18500</v>
      </c>
    </row>
    <row r="69" customFormat="false" ht="15" hidden="false" customHeight="false" outlineLevel="0" collapsed="false">
      <c r="B69" s="39" t="s">
        <v>333</v>
      </c>
      <c r="C69" s="97" t="n">
        <v>7</v>
      </c>
      <c r="D69" s="96" t="n">
        <v>52000</v>
      </c>
      <c r="E69" s="96" t="n">
        <v>31000</v>
      </c>
    </row>
    <row r="70" customFormat="false" ht="15" hidden="false" customHeight="false" outlineLevel="0" collapsed="false">
      <c r="B70" s="39" t="s">
        <v>334</v>
      </c>
      <c r="C70" s="97" t="n">
        <v>5</v>
      </c>
      <c r="D70" s="96" t="n">
        <v>14000</v>
      </c>
      <c r="E70" s="96" t="n">
        <v>9800</v>
      </c>
    </row>
    <row r="72" customFormat="false" ht="15" hidden="false" customHeight="false" outlineLevel="0" collapsed="false">
      <c r="B72" s="33" t="s">
        <v>642</v>
      </c>
      <c r="C72" s="34"/>
      <c r="D72" s="35" t="n">
        <f aca="false">D$22</f>
        <v>2023</v>
      </c>
      <c r="E72" s="35" t="n">
        <f aca="false">E$22</f>
        <v>2024</v>
      </c>
      <c r="F72" s="35" t="n">
        <f aca="false">F$22</f>
        <v>2025</v>
      </c>
    </row>
    <row r="73" customFormat="false" ht="15" hidden="false" customHeight="false" outlineLevel="0" collapsed="false">
      <c r="B73" s="48" t="s">
        <v>643</v>
      </c>
    </row>
    <row r="74" customFormat="false" ht="15" hidden="false" customHeight="false" outlineLevel="0" collapsed="false">
      <c r="B74" s="39" t="s">
        <v>329</v>
      </c>
      <c r="D74" s="96" t="n">
        <v>0</v>
      </c>
      <c r="E74" s="96" t="n">
        <v>0</v>
      </c>
      <c r="F74" s="96" t="n">
        <v>0</v>
      </c>
    </row>
    <row r="75" customFormat="false" ht="15" hidden="false" customHeight="false" outlineLevel="0" collapsed="false">
      <c r="B75" s="39" t="s">
        <v>331</v>
      </c>
      <c r="D75" s="96" t="n">
        <v>4500</v>
      </c>
      <c r="E75" s="96" t="n">
        <v>11000</v>
      </c>
      <c r="F75" s="96" t="n">
        <v>6500</v>
      </c>
    </row>
    <row r="76" customFormat="false" ht="15" hidden="false" customHeight="false" outlineLevel="0" collapsed="false">
      <c r="B76" s="39" t="s">
        <v>332</v>
      </c>
      <c r="D76" s="96" t="n">
        <v>5200</v>
      </c>
      <c r="E76" s="96" t="n">
        <v>8400</v>
      </c>
      <c r="F76" s="96" t="n">
        <v>6800</v>
      </c>
    </row>
    <row r="77" customFormat="false" ht="15" hidden="false" customHeight="false" outlineLevel="0" collapsed="false">
      <c r="B77" s="39" t="s">
        <v>333</v>
      </c>
      <c r="D77" s="96" t="n">
        <v>9800</v>
      </c>
      <c r="E77" s="96" t="n">
        <v>7600</v>
      </c>
      <c r="F77" s="96" t="n">
        <v>10400</v>
      </c>
    </row>
    <row r="78" customFormat="false" ht="15" hidden="false" customHeight="false" outlineLevel="0" collapsed="false">
      <c r="B78" s="39" t="s">
        <v>334</v>
      </c>
      <c r="D78" s="96" t="n">
        <v>2600</v>
      </c>
      <c r="E78" s="96" t="n">
        <v>3900</v>
      </c>
      <c r="F78" s="96" t="n">
        <v>3200</v>
      </c>
    </row>
    <row r="79" customFormat="false" ht="15" hidden="false" customHeight="false" outlineLevel="0" collapsed="false">
      <c r="B79" s="48" t="s">
        <v>644</v>
      </c>
    </row>
    <row r="80" customFormat="false" ht="15" hidden="false" customHeight="false" outlineLevel="0" collapsed="false">
      <c r="B80" s="39" t="s">
        <v>329</v>
      </c>
      <c r="D80" s="96" t="n">
        <v>0</v>
      </c>
      <c r="E80" s="96" t="n">
        <v>0</v>
      </c>
      <c r="F80" s="96" t="n">
        <v>0</v>
      </c>
    </row>
    <row r="81" customFormat="false" ht="15" hidden="false" customHeight="false" outlineLevel="0" collapsed="false">
      <c r="B81" s="39" t="s">
        <v>331</v>
      </c>
      <c r="D81" s="96" t="n">
        <v>0</v>
      </c>
      <c r="E81" s="96" t="n">
        <v>0</v>
      </c>
      <c r="F81" s="96" t="n">
        <v>0</v>
      </c>
    </row>
    <row r="82" customFormat="false" ht="15" hidden="false" customHeight="false" outlineLevel="0" collapsed="false">
      <c r="B82" s="39" t="s">
        <v>332</v>
      </c>
      <c r="D82" s="96" t="n">
        <v>0</v>
      </c>
      <c r="E82" s="96" t="n">
        <v>0</v>
      </c>
      <c r="F82" s="96" t="n">
        <v>0</v>
      </c>
    </row>
    <row r="83" customFormat="false" ht="15" hidden="false" customHeight="false" outlineLevel="0" collapsed="false">
      <c r="B83" s="39" t="s">
        <v>333</v>
      </c>
      <c r="D83" s="96" t="n">
        <v>6400</v>
      </c>
      <c r="E83" s="96" t="n">
        <v>5600</v>
      </c>
      <c r="F83" s="96" t="n">
        <v>7200</v>
      </c>
    </row>
    <row r="84" customFormat="false" ht="15" hidden="false" customHeight="false" outlineLevel="0" collapsed="false">
      <c r="B84" s="39" t="s">
        <v>334</v>
      </c>
      <c r="D84" s="96" t="n">
        <v>0</v>
      </c>
      <c r="E84" s="96" t="n">
        <v>0</v>
      </c>
      <c r="F84" s="96" t="n">
        <v>0</v>
      </c>
    </row>
    <row r="85" customFormat="false" ht="15" hidden="false" customHeight="false" outlineLevel="0" collapsed="false">
      <c r="B85" s="48" t="s">
        <v>645</v>
      </c>
    </row>
    <row r="86" customFormat="false" ht="15" hidden="false" customHeight="false" outlineLevel="0" collapsed="false">
      <c r="B86" s="39" t="s">
        <v>329</v>
      </c>
      <c r="D86" s="96" t="n">
        <v>0</v>
      </c>
      <c r="E86" s="96" t="n">
        <v>0</v>
      </c>
      <c r="F86" s="96" t="n">
        <v>0</v>
      </c>
    </row>
    <row r="87" customFormat="false" ht="15" hidden="false" customHeight="false" outlineLevel="0" collapsed="false">
      <c r="B87" s="39" t="s">
        <v>331</v>
      </c>
      <c r="D87" s="96" t="n">
        <v>0</v>
      </c>
      <c r="E87" s="96" t="n">
        <v>0</v>
      </c>
      <c r="F87" s="96" t="n">
        <v>0</v>
      </c>
    </row>
    <row r="88" customFormat="false" ht="15" hidden="false" customHeight="false" outlineLevel="0" collapsed="false">
      <c r="B88" s="39" t="s">
        <v>332</v>
      </c>
      <c r="D88" s="96" t="n">
        <v>0</v>
      </c>
      <c r="E88" s="96" t="n">
        <v>0</v>
      </c>
      <c r="F88" s="96" t="n">
        <v>0</v>
      </c>
    </row>
    <row r="89" customFormat="false" ht="15" hidden="false" customHeight="false" outlineLevel="0" collapsed="false">
      <c r="B89" s="39" t="s">
        <v>333</v>
      </c>
      <c r="D89" s="96" t="n">
        <v>5700</v>
      </c>
      <c r="E89" s="96" t="n">
        <v>5000</v>
      </c>
      <c r="F89" s="96" t="n">
        <v>6300</v>
      </c>
    </row>
    <row r="90" customFormat="false" ht="15" hidden="false" customHeight="false" outlineLevel="0" collapsed="false">
      <c r="B90" s="39" t="s">
        <v>334</v>
      </c>
      <c r="D90" s="96" t="n">
        <v>0</v>
      </c>
      <c r="E90" s="96" t="n">
        <v>0</v>
      </c>
      <c r="F90" s="96" t="n">
        <v>0</v>
      </c>
    </row>
    <row r="91" customFormat="false" ht="15" hidden="false" customHeight="false" outlineLevel="0" collapsed="false">
      <c r="B91" s="48" t="s">
        <v>646</v>
      </c>
    </row>
    <row r="92" customFormat="false" ht="15" hidden="false" customHeight="false" outlineLevel="0" collapsed="false">
      <c r="B92" s="39" t="s">
        <v>329</v>
      </c>
      <c r="D92" s="96" t="n">
        <v>0</v>
      </c>
      <c r="E92" s="96" t="n">
        <v>0</v>
      </c>
      <c r="F92" s="96" t="n">
        <v>0</v>
      </c>
    </row>
    <row r="93" customFormat="false" ht="15" hidden="false" customHeight="false" outlineLevel="0" collapsed="false">
      <c r="B93" s="39" t="s">
        <v>331</v>
      </c>
      <c r="D93" s="96" t="n">
        <v>0</v>
      </c>
      <c r="E93" s="96" t="n">
        <v>0</v>
      </c>
      <c r="F93" s="96" t="n">
        <v>0</v>
      </c>
    </row>
    <row r="94" customFormat="false" ht="15" hidden="false" customHeight="false" outlineLevel="0" collapsed="false">
      <c r="B94" s="39" t="s">
        <v>332</v>
      </c>
      <c r="D94" s="96" t="n">
        <v>0</v>
      </c>
      <c r="E94" s="96" t="n">
        <v>0</v>
      </c>
      <c r="F94" s="96" t="n">
        <v>0</v>
      </c>
    </row>
    <row r="95" customFormat="false" ht="15" hidden="false" customHeight="false" outlineLevel="0" collapsed="false">
      <c r="B95" s="39" t="s">
        <v>333</v>
      </c>
      <c r="D95" s="96" t="n">
        <v>1100</v>
      </c>
      <c r="E95" s="96" t="n">
        <v>450</v>
      </c>
      <c r="F95" s="96" t="n">
        <v>1250</v>
      </c>
    </row>
    <row r="96" customFormat="false" ht="15" hidden="false" customHeight="false" outlineLevel="0" collapsed="false">
      <c r="B96" s="39" t="s">
        <v>334</v>
      </c>
      <c r="D96" s="96" t="n">
        <v>0</v>
      </c>
      <c r="E96" s="96" t="n">
        <v>0</v>
      </c>
      <c r="F96" s="96" t="n">
        <v>0</v>
      </c>
    </row>
    <row r="98" customFormat="false" ht="15" hidden="false" customHeight="false" outlineLevel="0" collapsed="false">
      <c r="B98" s="12" t="s">
        <v>647</v>
      </c>
      <c r="C98" s="13"/>
      <c r="D98" s="13"/>
      <c r="E98" s="13"/>
      <c r="F98" s="13"/>
      <c r="G98" s="13"/>
    </row>
    <row r="99" customFormat="false" ht="24" hidden="false" customHeight="true" outlineLevel="0" collapsed="false">
      <c r="B99" s="49" t="s">
        <v>450</v>
      </c>
      <c r="C99" s="36" t="s">
        <v>648</v>
      </c>
      <c r="D99" s="36" t="s">
        <v>649</v>
      </c>
      <c r="E99" s="36" t="s">
        <v>650</v>
      </c>
    </row>
    <row r="100" customFormat="false" ht="15" hidden="false" customHeight="false" outlineLevel="0" collapsed="false">
      <c r="B100" s="98" t="s">
        <v>297</v>
      </c>
      <c r="C100" s="99" t="n">
        <v>6101</v>
      </c>
      <c r="D100" s="100" t="s">
        <v>651</v>
      </c>
      <c r="E100" s="82" t="s">
        <v>652</v>
      </c>
      <c r="G100" s="52" t="s">
        <v>653</v>
      </c>
    </row>
    <row r="101" customFormat="false" ht="15" hidden="false" customHeight="false" outlineLevel="0" collapsed="false">
      <c r="B101" s="98" t="s">
        <v>298</v>
      </c>
      <c r="C101" s="99" t="n">
        <v>6102</v>
      </c>
      <c r="D101" s="100" t="s">
        <v>651</v>
      </c>
      <c r="E101" s="82" t="s">
        <v>652</v>
      </c>
    </row>
    <row r="102" customFormat="false" ht="15" hidden="false" customHeight="false" outlineLevel="0" collapsed="false">
      <c r="B102" s="98" t="s">
        <v>299</v>
      </c>
      <c r="C102" s="99" t="n">
        <v>6103</v>
      </c>
      <c r="D102" s="100" t="s">
        <v>651</v>
      </c>
      <c r="E102" s="82" t="s">
        <v>652</v>
      </c>
    </row>
    <row r="103" customFormat="false" ht="15" hidden="false" customHeight="false" outlineLevel="0" collapsed="false">
      <c r="B103" s="98" t="s">
        <v>300</v>
      </c>
      <c r="C103" s="99" t="n">
        <v>6104</v>
      </c>
      <c r="D103" s="100" t="s">
        <v>651</v>
      </c>
      <c r="E103" s="82" t="s">
        <v>654</v>
      </c>
    </row>
    <row r="104" customFormat="false" ht="15" hidden="false" customHeight="false" outlineLevel="0" collapsed="false">
      <c r="B104" s="98" t="s">
        <v>301</v>
      </c>
      <c r="C104" s="99" t="n">
        <v>6105</v>
      </c>
      <c r="D104" s="100" t="s">
        <v>651</v>
      </c>
      <c r="E104" s="82" t="s">
        <v>654</v>
      </c>
    </row>
    <row r="105" customFormat="false" ht="15" hidden="false" customHeight="false" outlineLevel="0" collapsed="false">
      <c r="B105" s="98" t="s">
        <v>302</v>
      </c>
      <c r="C105" s="99" t="n">
        <v>6201</v>
      </c>
      <c r="D105" s="100" t="s">
        <v>655</v>
      </c>
      <c r="E105" s="82" t="s">
        <v>654</v>
      </c>
    </row>
    <row r="106" customFormat="false" ht="15" hidden="false" customHeight="false" outlineLevel="0" collapsed="false">
      <c r="B106" s="98" t="s">
        <v>303</v>
      </c>
      <c r="C106" s="99" t="n">
        <v>6202</v>
      </c>
      <c r="D106" s="100" t="s">
        <v>655</v>
      </c>
      <c r="E106" s="82" t="s">
        <v>654</v>
      </c>
    </row>
    <row r="107" customFormat="false" ht="15" hidden="false" customHeight="false" outlineLevel="0" collapsed="false">
      <c r="B107" s="98" t="s">
        <v>304</v>
      </c>
      <c r="C107" s="99" t="n">
        <v>6203</v>
      </c>
      <c r="D107" s="100" t="s">
        <v>655</v>
      </c>
      <c r="E107" s="82" t="s">
        <v>654</v>
      </c>
    </row>
    <row r="108" customFormat="false" ht="15" hidden="false" customHeight="false" outlineLevel="0" collapsed="false">
      <c r="B108" s="98" t="s">
        <v>305</v>
      </c>
      <c r="C108" s="99" t="n">
        <v>6204</v>
      </c>
      <c r="D108" s="100" t="s">
        <v>655</v>
      </c>
      <c r="E108" s="82" t="s">
        <v>654</v>
      </c>
    </row>
    <row r="109" customFormat="false" ht="15" hidden="false" customHeight="false" outlineLevel="0" collapsed="false">
      <c r="B109" s="98" t="s">
        <v>306</v>
      </c>
      <c r="C109" s="99" t="n">
        <v>6205</v>
      </c>
      <c r="D109" s="100" t="s">
        <v>655</v>
      </c>
      <c r="E109" s="82" t="s">
        <v>654</v>
      </c>
    </row>
    <row r="110" customFormat="false" ht="15" hidden="false" customHeight="false" outlineLevel="0" collapsed="false">
      <c r="B110" s="98" t="s">
        <v>307</v>
      </c>
      <c r="C110" s="99" t="n">
        <v>6206</v>
      </c>
      <c r="D110" s="100" t="s">
        <v>655</v>
      </c>
      <c r="E110" s="82" t="s">
        <v>654</v>
      </c>
    </row>
    <row r="111" customFormat="false" ht="15" hidden="false" customHeight="false" outlineLevel="0" collapsed="false">
      <c r="B111" s="98" t="s">
        <v>308</v>
      </c>
      <c r="C111" s="99" t="n">
        <v>6207</v>
      </c>
      <c r="D111" s="100" t="s">
        <v>655</v>
      </c>
      <c r="E111" s="82" t="s">
        <v>654</v>
      </c>
    </row>
    <row r="112" customFormat="false" ht="15" hidden="false" customHeight="false" outlineLevel="0" collapsed="false">
      <c r="B112" s="98" t="s">
        <v>309</v>
      </c>
      <c r="C112" s="99" t="n">
        <v>6208</v>
      </c>
      <c r="D112" s="100" t="s">
        <v>655</v>
      </c>
      <c r="E112" s="82" t="s">
        <v>652</v>
      </c>
    </row>
  </sheetData>
  <dataValidations count="4">
    <dataValidation allowBlank="false" errorStyle="stop" operator="between" showDropDown="false" showErrorMessage="false" showInputMessage="false" sqref="D100:D112" type="list">
      <formula1>"Selling &amp; Distribution,General &amp; Administrative"</formula1>
      <formula2>0</formula2>
    </dataValidation>
    <dataValidation allowBlank="false" errorStyle="stop" operator="between" showDropDown="false" showErrorMessage="false" showInputMessage="false" sqref="E100:E112" type="list">
      <formula1>"Variable,Fixed"</formula1>
      <formula2>0</formula2>
    </dataValidation>
    <dataValidation allowBlank="false" error="Enter a value between 0% and 100%." errorStyle="stop" errorTitle="Invalid percentage" operator="between" showDropDown="false" showErrorMessage="true" showInputMessage="false" sqref="C13:C15 C17 D24:F26 D29:F30 D35:F36 D58:F62" type="decimal">
      <formula1>0</formula1>
      <formula2>1</formula2>
    </dataValidation>
    <dataValidation allowBlank="false" error="Enter a non-negative number." errorStyle="stop" errorTitle="Invalid amount" operator="greaterThanOrEqual" showDropDown="false" showErrorMessage="true" showInputMessage="false" sqref="D27:F28 D32:F34 C38:C48 C50:F51 D52:F53 C54:F54 D55:F56 C66:E70 D74:F78 D80:F84 D86:F90 D92:F9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A1:J4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8"/>
    <col collapsed="false" customWidth="true" hidden="false" outlineLevel="0" max="4" min="4" style="0" width="9"/>
    <col collapsed="false" customWidth="true" hidden="false" outlineLevel="0" max="5" min="5" style="0" width="12"/>
    <col collapsed="false" customWidth="true" hidden="false" outlineLevel="0" max="6" min="6" style="0" width="28"/>
    <col collapsed="false" customWidth="true" hidden="false" outlineLevel="0" max="9" min="7" style="0" width="14"/>
    <col collapsed="false" customWidth="true" hidden="false" outlineLevel="0" max="10" min="10" style="0" width="22"/>
  </cols>
  <sheetData>
    <row r="1" customFormat="false" ht="24" hidden="false" customHeight="true" outlineLevel="0" collapsed="false">
      <c r="B1" s="17" t="s">
        <v>656</v>
      </c>
    </row>
    <row r="2" customFormat="false" ht="15" hidden="false" customHeight="false" outlineLevel="0" collapsed="false">
      <c r="B2" s="18" t="s">
        <v>657</v>
      </c>
    </row>
    <row r="3" customFormat="false" ht="15" hidden="false" customHeight="false" outlineLevel="0" collapsed="false">
      <c r="B3" s="19" t="str">
        <f aca="false">HYPERLINK("#Cover!A1","◄ Back to Cover")</f>
        <v>◄ Back to Cover</v>
      </c>
      <c r="F3" s="28" t="s">
        <v>658</v>
      </c>
      <c r="G3" s="37" t="n">
        <f aca="false">SUBTOTAL(109,G5:G436)</f>
        <v>2690798</v>
      </c>
      <c r="H3" s="37" t="n">
        <f aca="false">SUBTOTAL(109,H5:H436)</f>
        <v>2005083</v>
      </c>
      <c r="I3" s="37" t="n">
        <f aca="false">SUBTOTAL(109,I5:I436)</f>
        <v>685715</v>
      </c>
    </row>
    <row r="4" customFormat="false" ht="24" hidden="false" customHeight="true" outlineLevel="0" collapsed="false">
      <c r="A4" s="49" t="s">
        <v>415</v>
      </c>
      <c r="B4" s="36" t="s">
        <v>659</v>
      </c>
      <c r="C4" s="36" t="s">
        <v>414</v>
      </c>
      <c r="D4" s="36" t="s">
        <v>436</v>
      </c>
      <c r="E4" s="36" t="s">
        <v>407</v>
      </c>
      <c r="F4" s="36" t="s">
        <v>404</v>
      </c>
      <c r="G4" s="36" t="s">
        <v>133</v>
      </c>
      <c r="H4" s="36" t="s">
        <v>135</v>
      </c>
      <c r="I4" s="36" t="s">
        <v>137</v>
      </c>
      <c r="J4" s="36" t="s">
        <v>660</v>
      </c>
    </row>
    <row r="5" customFormat="false" ht="15" hidden="false" customHeight="false" outlineLevel="0" collapsed="false">
      <c r="A5" s="101" t="n">
        <v>44957</v>
      </c>
      <c r="B5" s="102" t="n">
        <f aca="false">YEAR(A5)</f>
        <v>2023</v>
      </c>
      <c r="C5" s="102" t="n">
        <f aca="false">MONTH(A5)</f>
        <v>1</v>
      </c>
      <c r="D5" s="68" t="str">
        <f aca="false">"Q"&amp;ROUNDUP(C5/3,0)</f>
        <v>Q1</v>
      </c>
      <c r="E5" s="100" t="s">
        <v>291</v>
      </c>
      <c r="F5" s="100" t="s">
        <v>252</v>
      </c>
      <c r="G5" s="96" t="n">
        <v>14280</v>
      </c>
      <c r="H5" s="96" t="n">
        <v>10782</v>
      </c>
      <c r="I5" s="40" t="n">
        <f aca="false">G5-H5</f>
        <v>3498</v>
      </c>
      <c r="J5" s="68" t="str">
        <f aca="false">"S"&amp;TEXT(A5,"yyyymm")&amp;"-"&amp;UPPER(LEFT(E5,3))&amp;"-"&amp;UPPER(LEFT(F5,3))</f>
        <v>S202301-LUZ-PAC</v>
      </c>
    </row>
    <row r="6" customFormat="false" ht="15" hidden="false" customHeight="false" outlineLevel="0" collapsed="false">
      <c r="A6" s="101" t="n">
        <v>44957</v>
      </c>
      <c r="B6" s="102" t="n">
        <f aca="false">YEAR(A6)</f>
        <v>2023</v>
      </c>
      <c r="C6" s="102" t="n">
        <f aca="false">MONTH(A6)</f>
        <v>1</v>
      </c>
      <c r="D6" s="68" t="str">
        <f aca="false">"Q"&amp;ROUNDUP(C6/3,0)</f>
        <v>Q1</v>
      </c>
      <c r="E6" s="100" t="s">
        <v>292</v>
      </c>
      <c r="F6" s="100" t="s">
        <v>252</v>
      </c>
      <c r="G6" s="96" t="n">
        <v>5799</v>
      </c>
      <c r="H6" s="96" t="n">
        <v>4397</v>
      </c>
      <c r="I6" s="40" t="n">
        <f aca="false">G6-H6</f>
        <v>1402</v>
      </c>
      <c r="J6" s="68" t="str">
        <f aca="false">"S"&amp;TEXT(A6,"yyyymm")&amp;"-"&amp;UPPER(LEFT(E6,3))&amp;"-"&amp;UPPER(LEFT(F6,3))</f>
        <v>S202301-VIS-PAC</v>
      </c>
    </row>
    <row r="7" customFormat="false" ht="15" hidden="false" customHeight="false" outlineLevel="0" collapsed="false">
      <c r="A7" s="101" t="n">
        <v>44957</v>
      </c>
      <c r="B7" s="102" t="n">
        <f aca="false">YEAR(A7)</f>
        <v>2023</v>
      </c>
      <c r="C7" s="102" t="n">
        <f aca="false">MONTH(A7)</f>
        <v>1</v>
      </c>
      <c r="D7" s="68" t="str">
        <f aca="false">"Q"&amp;ROUNDUP(C7/3,0)</f>
        <v>Q1</v>
      </c>
      <c r="E7" s="100" t="s">
        <v>293</v>
      </c>
      <c r="F7" s="100" t="s">
        <v>252</v>
      </c>
      <c r="G7" s="96" t="n">
        <v>4673</v>
      </c>
      <c r="H7" s="96" t="n">
        <v>3516</v>
      </c>
      <c r="I7" s="40" t="n">
        <f aca="false">G7-H7</f>
        <v>1157</v>
      </c>
      <c r="J7" s="68" t="str">
        <f aca="false">"S"&amp;TEXT(A7,"yyyymm")&amp;"-"&amp;UPPER(LEFT(E7,3))&amp;"-"&amp;UPPER(LEFT(F7,3))</f>
        <v>S202301-MIN-PAC</v>
      </c>
    </row>
    <row r="8" customFormat="false" ht="15" hidden="false" customHeight="false" outlineLevel="0" collapsed="false">
      <c r="A8" s="101" t="n">
        <v>44957</v>
      </c>
      <c r="B8" s="102" t="n">
        <f aca="false">YEAR(A8)</f>
        <v>2023</v>
      </c>
      <c r="C8" s="102" t="n">
        <f aca="false">MONTH(A8)</f>
        <v>1</v>
      </c>
      <c r="D8" s="68" t="str">
        <f aca="false">"Q"&amp;ROUNDUP(C8/3,0)</f>
        <v>Q1</v>
      </c>
      <c r="E8" s="100" t="s">
        <v>291</v>
      </c>
      <c r="F8" s="100" t="s">
        <v>253</v>
      </c>
      <c r="G8" s="96" t="n">
        <v>10453</v>
      </c>
      <c r="H8" s="96" t="n">
        <v>7688</v>
      </c>
      <c r="I8" s="40" t="n">
        <f aca="false">G8-H8</f>
        <v>2765</v>
      </c>
      <c r="J8" s="68" t="str">
        <f aca="false">"S"&amp;TEXT(A8,"yyyymm")&amp;"-"&amp;UPPER(LEFT(E8,3))&amp;"-"&amp;UPPER(LEFT(F8,3))</f>
        <v>S202301-LUZ-BEV</v>
      </c>
    </row>
    <row r="9" customFormat="false" ht="15" hidden="false" customHeight="false" outlineLevel="0" collapsed="false">
      <c r="A9" s="101" t="n">
        <v>44957</v>
      </c>
      <c r="B9" s="102" t="n">
        <f aca="false">YEAR(A9)</f>
        <v>2023</v>
      </c>
      <c r="C9" s="102" t="n">
        <f aca="false">MONTH(A9)</f>
        <v>1</v>
      </c>
      <c r="D9" s="68" t="str">
        <f aca="false">"Q"&amp;ROUNDUP(C9/3,0)</f>
        <v>Q1</v>
      </c>
      <c r="E9" s="100" t="s">
        <v>292</v>
      </c>
      <c r="F9" s="100" t="s">
        <v>253</v>
      </c>
      <c r="G9" s="96" t="n">
        <v>4190</v>
      </c>
      <c r="H9" s="96" t="n">
        <v>3081</v>
      </c>
      <c r="I9" s="40" t="n">
        <f aca="false">G9-H9</f>
        <v>1109</v>
      </c>
      <c r="J9" s="68" t="str">
        <f aca="false">"S"&amp;TEXT(A9,"yyyymm")&amp;"-"&amp;UPPER(LEFT(E9,3))&amp;"-"&amp;UPPER(LEFT(F9,3))</f>
        <v>S202301-VIS-BEV</v>
      </c>
    </row>
    <row r="10" customFormat="false" ht="15" hidden="false" customHeight="false" outlineLevel="0" collapsed="false">
      <c r="A10" s="101" t="n">
        <v>44957</v>
      </c>
      <c r="B10" s="102" t="n">
        <f aca="false">YEAR(A10)</f>
        <v>2023</v>
      </c>
      <c r="C10" s="102" t="n">
        <f aca="false">MONTH(A10)</f>
        <v>1</v>
      </c>
      <c r="D10" s="68" t="str">
        <f aca="false">"Q"&amp;ROUNDUP(C10/3,0)</f>
        <v>Q1</v>
      </c>
      <c r="E10" s="100" t="s">
        <v>293</v>
      </c>
      <c r="F10" s="100" t="s">
        <v>253</v>
      </c>
      <c r="G10" s="96" t="n">
        <v>3451</v>
      </c>
      <c r="H10" s="96" t="n">
        <v>2545</v>
      </c>
      <c r="I10" s="40" t="n">
        <f aca="false">G10-H10</f>
        <v>906</v>
      </c>
      <c r="J10" s="68" t="str">
        <f aca="false">"S"&amp;TEXT(A10,"yyyymm")&amp;"-"&amp;UPPER(LEFT(E10,3))&amp;"-"&amp;UPPER(LEFT(F10,3))</f>
        <v>S202301-MIN-BEV</v>
      </c>
    </row>
    <row r="11" customFormat="false" ht="15" hidden="false" customHeight="false" outlineLevel="0" collapsed="false">
      <c r="A11" s="101" t="n">
        <v>44957</v>
      </c>
      <c r="B11" s="102" t="n">
        <f aca="false">YEAR(A11)</f>
        <v>2023</v>
      </c>
      <c r="C11" s="102" t="n">
        <f aca="false">MONTH(A11)</f>
        <v>1</v>
      </c>
      <c r="D11" s="68" t="str">
        <f aca="false">"Q"&amp;ROUNDUP(C11/3,0)</f>
        <v>Q1</v>
      </c>
      <c r="E11" s="100" t="s">
        <v>291</v>
      </c>
      <c r="F11" s="100" t="s">
        <v>254</v>
      </c>
      <c r="G11" s="96" t="n">
        <v>6743</v>
      </c>
      <c r="H11" s="96" t="n">
        <v>4759</v>
      </c>
      <c r="I11" s="40" t="n">
        <f aca="false">G11-H11</f>
        <v>1984</v>
      </c>
      <c r="J11" s="68" t="str">
        <f aca="false">"S"&amp;TEXT(A11,"yyyymm")&amp;"-"&amp;UPPER(LEFT(E11,3))&amp;"-"&amp;UPPER(LEFT(F11,3))</f>
        <v>S202301-LUZ-HOU</v>
      </c>
    </row>
    <row r="12" customFormat="false" ht="15" hidden="false" customHeight="false" outlineLevel="0" collapsed="false">
      <c r="A12" s="101" t="n">
        <v>44957</v>
      </c>
      <c r="B12" s="102" t="n">
        <f aca="false">YEAR(A12)</f>
        <v>2023</v>
      </c>
      <c r="C12" s="102" t="n">
        <f aca="false">MONTH(A12)</f>
        <v>1</v>
      </c>
      <c r="D12" s="68" t="str">
        <f aca="false">"Q"&amp;ROUNDUP(C12/3,0)</f>
        <v>Q1</v>
      </c>
      <c r="E12" s="100" t="s">
        <v>292</v>
      </c>
      <c r="F12" s="100" t="s">
        <v>254</v>
      </c>
      <c r="G12" s="96" t="n">
        <v>2593</v>
      </c>
      <c r="H12" s="96" t="n">
        <v>1831</v>
      </c>
      <c r="I12" s="40" t="n">
        <f aca="false">G12-H12</f>
        <v>762</v>
      </c>
      <c r="J12" s="68" t="str">
        <f aca="false">"S"&amp;TEXT(A12,"yyyymm")&amp;"-"&amp;UPPER(LEFT(E12,3))&amp;"-"&amp;UPPER(LEFT(F12,3))</f>
        <v>S202301-VIS-HOU</v>
      </c>
    </row>
    <row r="13" customFormat="false" ht="15" hidden="false" customHeight="false" outlineLevel="0" collapsed="false">
      <c r="A13" s="101" t="n">
        <v>44957</v>
      </c>
      <c r="B13" s="102" t="n">
        <f aca="false">YEAR(A13)</f>
        <v>2023</v>
      </c>
      <c r="C13" s="102" t="n">
        <f aca="false">MONTH(A13)</f>
        <v>1</v>
      </c>
      <c r="D13" s="68" t="str">
        <f aca="false">"Q"&amp;ROUNDUP(C13/3,0)</f>
        <v>Q1</v>
      </c>
      <c r="E13" s="100" t="s">
        <v>293</v>
      </c>
      <c r="F13" s="100" t="s">
        <v>254</v>
      </c>
      <c r="G13" s="96" t="n">
        <v>2125</v>
      </c>
      <c r="H13" s="96" t="n">
        <v>1504</v>
      </c>
      <c r="I13" s="40" t="n">
        <f aca="false">G13-H13</f>
        <v>621</v>
      </c>
      <c r="J13" s="68" t="str">
        <f aca="false">"S"&amp;TEXT(A13,"yyyymm")&amp;"-"&amp;UPPER(LEFT(E13,3))&amp;"-"&amp;UPPER(LEFT(F13,3))</f>
        <v>S202301-MIN-HOU</v>
      </c>
    </row>
    <row r="14" customFormat="false" ht="15" hidden="false" customHeight="false" outlineLevel="0" collapsed="false">
      <c r="A14" s="101" t="n">
        <v>44957</v>
      </c>
      <c r="B14" s="102" t="n">
        <f aca="false">YEAR(A14)</f>
        <v>2023</v>
      </c>
      <c r="C14" s="102" t="n">
        <f aca="false">MONTH(A14)</f>
        <v>1</v>
      </c>
      <c r="D14" s="68" t="str">
        <f aca="false">"Q"&amp;ROUNDUP(C14/3,0)</f>
        <v>Q1</v>
      </c>
      <c r="E14" s="100" t="s">
        <v>291</v>
      </c>
      <c r="F14" s="100" t="s">
        <v>255</v>
      </c>
      <c r="G14" s="96" t="n">
        <v>4615</v>
      </c>
      <c r="H14" s="96" t="n">
        <v>3775</v>
      </c>
      <c r="I14" s="40" t="n">
        <f aca="false">G14-H14</f>
        <v>840</v>
      </c>
      <c r="J14" s="68" t="str">
        <f aca="false">"S"&amp;TEXT(A14,"yyyymm")&amp;"-"&amp;UPPER(LEFT(E14,3))&amp;"-"&amp;UPPER(LEFT(F14,3))</f>
        <v>S202301-LUZ-FRE</v>
      </c>
    </row>
    <row r="15" customFormat="false" ht="15" hidden="false" customHeight="false" outlineLevel="0" collapsed="false">
      <c r="A15" s="101" t="n">
        <v>44957</v>
      </c>
      <c r="B15" s="102" t="n">
        <f aca="false">YEAR(A15)</f>
        <v>2023</v>
      </c>
      <c r="C15" s="102" t="n">
        <f aca="false">MONTH(A15)</f>
        <v>1</v>
      </c>
      <c r="D15" s="68" t="str">
        <f aca="false">"Q"&amp;ROUNDUP(C15/3,0)</f>
        <v>Q1</v>
      </c>
      <c r="E15" s="100" t="s">
        <v>292</v>
      </c>
      <c r="F15" s="100" t="s">
        <v>255</v>
      </c>
      <c r="G15" s="96" t="n">
        <v>1856</v>
      </c>
      <c r="H15" s="96" t="n">
        <v>1516</v>
      </c>
      <c r="I15" s="40" t="n">
        <f aca="false">G15-H15</f>
        <v>340</v>
      </c>
      <c r="J15" s="68" t="str">
        <f aca="false">"S"&amp;TEXT(A15,"yyyymm")&amp;"-"&amp;UPPER(LEFT(E15,3))&amp;"-"&amp;UPPER(LEFT(F15,3))</f>
        <v>S202301-VIS-FRE</v>
      </c>
    </row>
    <row r="16" customFormat="false" ht="15" hidden="false" customHeight="false" outlineLevel="0" collapsed="false">
      <c r="A16" s="101" t="n">
        <v>44957</v>
      </c>
      <c r="B16" s="102" t="n">
        <f aca="false">YEAR(A16)</f>
        <v>2023</v>
      </c>
      <c r="C16" s="102" t="n">
        <f aca="false">MONTH(A16)</f>
        <v>1</v>
      </c>
      <c r="D16" s="68" t="str">
        <f aca="false">"Q"&amp;ROUNDUP(C16/3,0)</f>
        <v>Q1</v>
      </c>
      <c r="E16" s="100" t="s">
        <v>293</v>
      </c>
      <c r="F16" s="100" t="s">
        <v>255</v>
      </c>
      <c r="G16" s="96" t="n">
        <v>1490</v>
      </c>
      <c r="H16" s="96" t="n">
        <v>1211</v>
      </c>
      <c r="I16" s="40" t="n">
        <f aca="false">G16-H16</f>
        <v>279</v>
      </c>
      <c r="J16" s="68" t="str">
        <f aca="false">"S"&amp;TEXT(A16,"yyyymm")&amp;"-"&amp;UPPER(LEFT(E16,3))&amp;"-"&amp;UPPER(LEFT(F16,3))</f>
        <v>S202301-MIN-FRE</v>
      </c>
    </row>
    <row r="17" customFormat="false" ht="15" hidden="false" customHeight="false" outlineLevel="0" collapsed="false">
      <c r="A17" s="101" t="n">
        <v>44985</v>
      </c>
      <c r="B17" s="102" t="n">
        <f aca="false">YEAR(A17)</f>
        <v>2023</v>
      </c>
      <c r="C17" s="102" t="n">
        <f aca="false">MONTH(A17)</f>
        <v>2</v>
      </c>
      <c r="D17" s="68" t="str">
        <f aca="false">"Q"&amp;ROUNDUP(C17/3,0)</f>
        <v>Q1</v>
      </c>
      <c r="E17" s="100" t="s">
        <v>291</v>
      </c>
      <c r="F17" s="100" t="s">
        <v>252</v>
      </c>
      <c r="G17" s="96" t="n">
        <v>14550</v>
      </c>
      <c r="H17" s="96" t="n">
        <v>11042</v>
      </c>
      <c r="I17" s="40" t="n">
        <f aca="false">G17-H17</f>
        <v>3508</v>
      </c>
      <c r="J17" s="68" t="str">
        <f aca="false">"S"&amp;TEXT(A17,"yyyymm")&amp;"-"&amp;UPPER(LEFT(E17,3))&amp;"-"&amp;UPPER(LEFT(F17,3))</f>
        <v>S202302-LUZ-PAC</v>
      </c>
    </row>
    <row r="18" customFormat="false" ht="15" hidden="false" customHeight="false" outlineLevel="0" collapsed="false">
      <c r="A18" s="101" t="n">
        <v>44985</v>
      </c>
      <c r="B18" s="102" t="n">
        <f aca="false">YEAR(A18)</f>
        <v>2023</v>
      </c>
      <c r="C18" s="102" t="n">
        <f aca="false">MONTH(A18)</f>
        <v>2</v>
      </c>
      <c r="D18" s="68" t="str">
        <f aca="false">"Q"&amp;ROUNDUP(C18/3,0)</f>
        <v>Q1</v>
      </c>
      <c r="E18" s="100" t="s">
        <v>292</v>
      </c>
      <c r="F18" s="100" t="s">
        <v>252</v>
      </c>
      <c r="G18" s="96" t="n">
        <v>5711</v>
      </c>
      <c r="H18" s="96" t="n">
        <v>4338</v>
      </c>
      <c r="I18" s="40" t="n">
        <f aca="false">G18-H18</f>
        <v>1373</v>
      </c>
      <c r="J18" s="68" t="str">
        <f aca="false">"S"&amp;TEXT(A18,"yyyymm")&amp;"-"&amp;UPPER(LEFT(E18,3))&amp;"-"&amp;UPPER(LEFT(F18,3))</f>
        <v>S202302-VIS-PAC</v>
      </c>
    </row>
    <row r="19" customFormat="false" ht="15" hidden="false" customHeight="false" outlineLevel="0" collapsed="false">
      <c r="A19" s="101" t="n">
        <v>44985</v>
      </c>
      <c r="B19" s="102" t="n">
        <f aca="false">YEAR(A19)</f>
        <v>2023</v>
      </c>
      <c r="C19" s="102" t="n">
        <f aca="false">MONTH(A19)</f>
        <v>2</v>
      </c>
      <c r="D19" s="68" t="str">
        <f aca="false">"Q"&amp;ROUNDUP(C19/3,0)</f>
        <v>Q1</v>
      </c>
      <c r="E19" s="100" t="s">
        <v>293</v>
      </c>
      <c r="F19" s="100" t="s">
        <v>252</v>
      </c>
      <c r="G19" s="96" t="n">
        <v>4637</v>
      </c>
      <c r="H19" s="96" t="n">
        <v>3483</v>
      </c>
      <c r="I19" s="40" t="n">
        <f aca="false">G19-H19</f>
        <v>1154</v>
      </c>
      <c r="J19" s="68" t="str">
        <f aca="false">"S"&amp;TEXT(A19,"yyyymm")&amp;"-"&amp;UPPER(LEFT(E19,3))&amp;"-"&amp;UPPER(LEFT(F19,3))</f>
        <v>S202302-MIN-PAC</v>
      </c>
    </row>
    <row r="20" customFormat="false" ht="15" hidden="false" customHeight="false" outlineLevel="0" collapsed="false">
      <c r="A20" s="101" t="n">
        <v>44985</v>
      </c>
      <c r="B20" s="102" t="n">
        <f aca="false">YEAR(A20)</f>
        <v>2023</v>
      </c>
      <c r="C20" s="102" t="n">
        <f aca="false">MONTH(A20)</f>
        <v>2</v>
      </c>
      <c r="D20" s="68" t="str">
        <f aca="false">"Q"&amp;ROUNDUP(C20/3,0)</f>
        <v>Q1</v>
      </c>
      <c r="E20" s="100" t="s">
        <v>291</v>
      </c>
      <c r="F20" s="100" t="s">
        <v>253</v>
      </c>
      <c r="G20" s="96" t="n">
        <v>9958</v>
      </c>
      <c r="H20" s="96" t="n">
        <v>7324</v>
      </c>
      <c r="I20" s="40" t="n">
        <f aca="false">G20-H20</f>
        <v>2634</v>
      </c>
      <c r="J20" s="68" t="str">
        <f aca="false">"S"&amp;TEXT(A20,"yyyymm")&amp;"-"&amp;UPPER(LEFT(E20,3))&amp;"-"&amp;UPPER(LEFT(F20,3))</f>
        <v>S202302-LUZ-BEV</v>
      </c>
    </row>
    <row r="21" customFormat="false" ht="15" hidden="false" customHeight="false" outlineLevel="0" collapsed="false">
      <c r="A21" s="101" t="n">
        <v>44985</v>
      </c>
      <c r="B21" s="102" t="n">
        <f aca="false">YEAR(A21)</f>
        <v>2023</v>
      </c>
      <c r="C21" s="102" t="n">
        <f aca="false">MONTH(A21)</f>
        <v>2</v>
      </c>
      <c r="D21" s="68" t="str">
        <f aca="false">"Q"&amp;ROUNDUP(C21/3,0)</f>
        <v>Q1</v>
      </c>
      <c r="E21" s="100" t="s">
        <v>292</v>
      </c>
      <c r="F21" s="100" t="s">
        <v>253</v>
      </c>
      <c r="G21" s="96" t="n">
        <v>3937</v>
      </c>
      <c r="H21" s="96" t="n">
        <v>2892</v>
      </c>
      <c r="I21" s="40" t="n">
        <f aca="false">G21-H21</f>
        <v>1045</v>
      </c>
      <c r="J21" s="68" t="str">
        <f aca="false">"S"&amp;TEXT(A21,"yyyymm")&amp;"-"&amp;UPPER(LEFT(E21,3))&amp;"-"&amp;UPPER(LEFT(F21,3))</f>
        <v>S202302-VIS-BEV</v>
      </c>
    </row>
    <row r="22" customFormat="false" ht="15" hidden="false" customHeight="false" outlineLevel="0" collapsed="false">
      <c r="A22" s="101" t="n">
        <v>44985</v>
      </c>
      <c r="B22" s="102" t="n">
        <f aca="false">YEAR(A22)</f>
        <v>2023</v>
      </c>
      <c r="C22" s="102" t="n">
        <f aca="false">MONTH(A22)</f>
        <v>2</v>
      </c>
      <c r="D22" s="68" t="str">
        <f aca="false">"Q"&amp;ROUNDUP(C22/3,0)</f>
        <v>Q1</v>
      </c>
      <c r="E22" s="100" t="s">
        <v>293</v>
      </c>
      <c r="F22" s="100" t="s">
        <v>253</v>
      </c>
      <c r="G22" s="96" t="n">
        <v>3368</v>
      </c>
      <c r="H22" s="96" t="n">
        <v>2482</v>
      </c>
      <c r="I22" s="40" t="n">
        <f aca="false">G22-H22</f>
        <v>886</v>
      </c>
      <c r="J22" s="68" t="str">
        <f aca="false">"S"&amp;TEXT(A22,"yyyymm")&amp;"-"&amp;UPPER(LEFT(E22,3))&amp;"-"&amp;UPPER(LEFT(F22,3))</f>
        <v>S202302-MIN-BEV</v>
      </c>
    </row>
    <row r="23" customFormat="false" ht="15" hidden="false" customHeight="false" outlineLevel="0" collapsed="false">
      <c r="A23" s="101" t="n">
        <v>44985</v>
      </c>
      <c r="B23" s="102" t="n">
        <f aca="false">YEAR(A23)</f>
        <v>2023</v>
      </c>
      <c r="C23" s="102" t="n">
        <f aca="false">MONTH(A23)</f>
        <v>2</v>
      </c>
      <c r="D23" s="68" t="str">
        <f aca="false">"Q"&amp;ROUNDUP(C23/3,0)</f>
        <v>Q1</v>
      </c>
      <c r="E23" s="100" t="s">
        <v>291</v>
      </c>
      <c r="F23" s="100" t="s">
        <v>254</v>
      </c>
      <c r="G23" s="96" t="n">
        <v>6458</v>
      </c>
      <c r="H23" s="96" t="n">
        <v>4527</v>
      </c>
      <c r="I23" s="40" t="n">
        <f aca="false">G23-H23</f>
        <v>1931</v>
      </c>
      <c r="J23" s="68" t="str">
        <f aca="false">"S"&amp;TEXT(A23,"yyyymm")&amp;"-"&amp;UPPER(LEFT(E23,3))&amp;"-"&amp;UPPER(LEFT(F23,3))</f>
        <v>S202302-LUZ-HOU</v>
      </c>
    </row>
    <row r="24" customFormat="false" ht="15" hidden="false" customHeight="false" outlineLevel="0" collapsed="false">
      <c r="A24" s="101" t="n">
        <v>44985</v>
      </c>
      <c r="B24" s="102" t="n">
        <f aca="false">YEAR(A24)</f>
        <v>2023</v>
      </c>
      <c r="C24" s="102" t="n">
        <f aca="false">MONTH(A24)</f>
        <v>2</v>
      </c>
      <c r="D24" s="68" t="str">
        <f aca="false">"Q"&amp;ROUNDUP(C24/3,0)</f>
        <v>Q1</v>
      </c>
      <c r="E24" s="100" t="s">
        <v>292</v>
      </c>
      <c r="F24" s="100" t="s">
        <v>254</v>
      </c>
      <c r="G24" s="96" t="n">
        <v>2582</v>
      </c>
      <c r="H24" s="96" t="n">
        <v>1817</v>
      </c>
      <c r="I24" s="40" t="n">
        <f aca="false">G24-H24</f>
        <v>765</v>
      </c>
      <c r="J24" s="68" t="str">
        <f aca="false">"S"&amp;TEXT(A24,"yyyymm")&amp;"-"&amp;UPPER(LEFT(E24,3))&amp;"-"&amp;UPPER(LEFT(F24,3))</f>
        <v>S202302-VIS-HOU</v>
      </c>
    </row>
    <row r="25" customFormat="false" ht="15" hidden="false" customHeight="false" outlineLevel="0" collapsed="false">
      <c r="A25" s="101" t="n">
        <v>44985</v>
      </c>
      <c r="B25" s="102" t="n">
        <f aca="false">YEAR(A25)</f>
        <v>2023</v>
      </c>
      <c r="C25" s="102" t="n">
        <f aca="false">MONTH(A25)</f>
        <v>2</v>
      </c>
      <c r="D25" s="68" t="str">
        <f aca="false">"Q"&amp;ROUNDUP(C25/3,0)</f>
        <v>Q1</v>
      </c>
      <c r="E25" s="100" t="s">
        <v>293</v>
      </c>
      <c r="F25" s="100" t="s">
        <v>254</v>
      </c>
      <c r="G25" s="96" t="n">
        <v>2096</v>
      </c>
      <c r="H25" s="96" t="n">
        <v>1476</v>
      </c>
      <c r="I25" s="40" t="n">
        <f aca="false">G25-H25</f>
        <v>620</v>
      </c>
      <c r="J25" s="68" t="str">
        <f aca="false">"S"&amp;TEXT(A25,"yyyymm")&amp;"-"&amp;UPPER(LEFT(E25,3))&amp;"-"&amp;UPPER(LEFT(F25,3))</f>
        <v>S202302-MIN-HOU</v>
      </c>
    </row>
    <row r="26" customFormat="false" ht="15" hidden="false" customHeight="false" outlineLevel="0" collapsed="false">
      <c r="A26" s="101" t="n">
        <v>44985</v>
      </c>
      <c r="B26" s="102" t="n">
        <f aca="false">YEAR(A26)</f>
        <v>2023</v>
      </c>
      <c r="C26" s="102" t="n">
        <f aca="false">MONTH(A26)</f>
        <v>2</v>
      </c>
      <c r="D26" s="68" t="str">
        <f aca="false">"Q"&amp;ROUNDUP(C26/3,0)</f>
        <v>Q1</v>
      </c>
      <c r="E26" s="100" t="s">
        <v>291</v>
      </c>
      <c r="F26" s="100" t="s">
        <v>255</v>
      </c>
      <c r="G26" s="96" t="n">
        <v>4581</v>
      </c>
      <c r="H26" s="96" t="n">
        <v>3733</v>
      </c>
      <c r="I26" s="40" t="n">
        <f aca="false">G26-H26</f>
        <v>848</v>
      </c>
      <c r="J26" s="68" t="str">
        <f aca="false">"S"&amp;TEXT(A26,"yyyymm")&amp;"-"&amp;UPPER(LEFT(E26,3))&amp;"-"&amp;UPPER(LEFT(F26,3))</f>
        <v>S202302-LUZ-FRE</v>
      </c>
    </row>
    <row r="27" customFormat="false" ht="15" hidden="false" customHeight="false" outlineLevel="0" collapsed="false">
      <c r="A27" s="101" t="n">
        <v>44985</v>
      </c>
      <c r="B27" s="102" t="n">
        <f aca="false">YEAR(A27)</f>
        <v>2023</v>
      </c>
      <c r="C27" s="102" t="n">
        <f aca="false">MONTH(A27)</f>
        <v>2</v>
      </c>
      <c r="D27" s="68" t="str">
        <f aca="false">"Q"&amp;ROUNDUP(C27/3,0)</f>
        <v>Q1</v>
      </c>
      <c r="E27" s="100" t="s">
        <v>292</v>
      </c>
      <c r="F27" s="100" t="s">
        <v>255</v>
      </c>
      <c r="G27" s="96" t="n">
        <v>1766</v>
      </c>
      <c r="H27" s="96" t="n">
        <v>1439</v>
      </c>
      <c r="I27" s="40" t="n">
        <f aca="false">G27-H27</f>
        <v>327</v>
      </c>
      <c r="J27" s="68" t="str">
        <f aca="false">"S"&amp;TEXT(A27,"yyyymm")&amp;"-"&amp;UPPER(LEFT(E27,3))&amp;"-"&amp;UPPER(LEFT(F27,3))</f>
        <v>S202302-VIS-FRE</v>
      </c>
    </row>
    <row r="28" customFormat="false" ht="15" hidden="false" customHeight="false" outlineLevel="0" collapsed="false">
      <c r="A28" s="101" t="n">
        <v>44985</v>
      </c>
      <c r="B28" s="102" t="n">
        <f aca="false">YEAR(A28)</f>
        <v>2023</v>
      </c>
      <c r="C28" s="102" t="n">
        <f aca="false">MONTH(A28)</f>
        <v>2</v>
      </c>
      <c r="D28" s="68" t="str">
        <f aca="false">"Q"&amp;ROUNDUP(C28/3,0)</f>
        <v>Q1</v>
      </c>
      <c r="E28" s="100" t="s">
        <v>293</v>
      </c>
      <c r="F28" s="100" t="s">
        <v>255</v>
      </c>
      <c r="G28" s="96" t="n">
        <v>1515</v>
      </c>
      <c r="H28" s="96" t="n">
        <v>1236</v>
      </c>
      <c r="I28" s="40" t="n">
        <f aca="false">G28-H28</f>
        <v>279</v>
      </c>
      <c r="J28" s="68" t="str">
        <f aca="false">"S"&amp;TEXT(A28,"yyyymm")&amp;"-"&amp;UPPER(LEFT(E28,3))&amp;"-"&amp;UPPER(LEFT(F28,3))</f>
        <v>S202302-MIN-FRE</v>
      </c>
    </row>
    <row r="29" customFormat="false" ht="15" hidden="false" customHeight="false" outlineLevel="0" collapsed="false">
      <c r="A29" s="101" t="n">
        <v>45016</v>
      </c>
      <c r="B29" s="102" t="n">
        <f aca="false">YEAR(A29)</f>
        <v>2023</v>
      </c>
      <c r="C29" s="102" t="n">
        <f aca="false">MONTH(A29)</f>
        <v>3</v>
      </c>
      <c r="D29" s="68" t="str">
        <f aca="false">"Q"&amp;ROUNDUP(C29/3,0)</f>
        <v>Q1</v>
      </c>
      <c r="E29" s="100" t="s">
        <v>291</v>
      </c>
      <c r="F29" s="100" t="s">
        <v>252</v>
      </c>
      <c r="G29" s="96" t="n">
        <v>15078</v>
      </c>
      <c r="H29" s="96" t="n">
        <v>11441</v>
      </c>
      <c r="I29" s="40" t="n">
        <f aca="false">G29-H29</f>
        <v>3637</v>
      </c>
      <c r="J29" s="68" t="str">
        <f aca="false">"S"&amp;TEXT(A29,"yyyymm")&amp;"-"&amp;UPPER(LEFT(E29,3))&amp;"-"&amp;UPPER(LEFT(F29,3))</f>
        <v>S202303-LUZ-PAC</v>
      </c>
    </row>
    <row r="30" customFormat="false" ht="15" hidden="false" customHeight="false" outlineLevel="0" collapsed="false">
      <c r="A30" s="101" t="n">
        <v>45016</v>
      </c>
      <c r="B30" s="102" t="n">
        <f aca="false">YEAR(A30)</f>
        <v>2023</v>
      </c>
      <c r="C30" s="102" t="n">
        <f aca="false">MONTH(A30)</f>
        <v>3</v>
      </c>
      <c r="D30" s="68" t="str">
        <f aca="false">"Q"&amp;ROUNDUP(C30/3,0)</f>
        <v>Q1</v>
      </c>
      <c r="E30" s="100" t="s">
        <v>292</v>
      </c>
      <c r="F30" s="100" t="s">
        <v>252</v>
      </c>
      <c r="G30" s="96" t="n">
        <v>5896</v>
      </c>
      <c r="H30" s="96" t="n">
        <v>4447</v>
      </c>
      <c r="I30" s="40" t="n">
        <f aca="false">G30-H30</f>
        <v>1449</v>
      </c>
      <c r="J30" s="68" t="str">
        <f aca="false">"S"&amp;TEXT(A30,"yyyymm")&amp;"-"&amp;UPPER(LEFT(E30,3))&amp;"-"&amp;UPPER(LEFT(F30,3))</f>
        <v>S202303-VIS-PAC</v>
      </c>
    </row>
    <row r="31" customFormat="false" ht="15" hidden="false" customHeight="false" outlineLevel="0" collapsed="false">
      <c r="A31" s="101" t="n">
        <v>45016</v>
      </c>
      <c r="B31" s="102" t="n">
        <f aca="false">YEAR(A31)</f>
        <v>2023</v>
      </c>
      <c r="C31" s="102" t="n">
        <f aca="false">MONTH(A31)</f>
        <v>3</v>
      </c>
      <c r="D31" s="68" t="str">
        <f aca="false">"Q"&amp;ROUNDUP(C31/3,0)</f>
        <v>Q1</v>
      </c>
      <c r="E31" s="100" t="s">
        <v>293</v>
      </c>
      <c r="F31" s="100" t="s">
        <v>252</v>
      </c>
      <c r="G31" s="96" t="n">
        <v>5068</v>
      </c>
      <c r="H31" s="96" t="n">
        <v>3825</v>
      </c>
      <c r="I31" s="40" t="n">
        <f aca="false">G31-H31</f>
        <v>1243</v>
      </c>
      <c r="J31" s="68" t="str">
        <f aca="false">"S"&amp;TEXT(A31,"yyyymm")&amp;"-"&amp;UPPER(LEFT(E31,3))&amp;"-"&amp;UPPER(LEFT(F31,3))</f>
        <v>S202303-MIN-PAC</v>
      </c>
    </row>
    <row r="32" customFormat="false" ht="15" hidden="false" customHeight="false" outlineLevel="0" collapsed="false">
      <c r="A32" s="101" t="n">
        <v>45016</v>
      </c>
      <c r="B32" s="102" t="n">
        <f aca="false">YEAR(A32)</f>
        <v>2023</v>
      </c>
      <c r="C32" s="102" t="n">
        <f aca="false">MONTH(A32)</f>
        <v>3</v>
      </c>
      <c r="D32" s="68" t="str">
        <f aca="false">"Q"&amp;ROUNDUP(C32/3,0)</f>
        <v>Q1</v>
      </c>
      <c r="E32" s="100" t="s">
        <v>291</v>
      </c>
      <c r="F32" s="100" t="s">
        <v>253</v>
      </c>
      <c r="G32" s="96" t="n">
        <v>11519</v>
      </c>
      <c r="H32" s="96" t="n">
        <v>8418</v>
      </c>
      <c r="I32" s="40" t="n">
        <f aca="false">G32-H32</f>
        <v>3101</v>
      </c>
      <c r="J32" s="68" t="str">
        <f aca="false">"S"&amp;TEXT(A32,"yyyymm")&amp;"-"&amp;UPPER(LEFT(E32,3))&amp;"-"&amp;UPPER(LEFT(F32,3))</f>
        <v>S202303-LUZ-BEV</v>
      </c>
    </row>
    <row r="33" customFormat="false" ht="15" hidden="false" customHeight="false" outlineLevel="0" collapsed="false">
      <c r="A33" s="101" t="n">
        <v>45016</v>
      </c>
      <c r="B33" s="102" t="n">
        <f aca="false">YEAR(A33)</f>
        <v>2023</v>
      </c>
      <c r="C33" s="102" t="n">
        <f aca="false">MONTH(A33)</f>
        <v>3</v>
      </c>
      <c r="D33" s="68" t="str">
        <f aca="false">"Q"&amp;ROUNDUP(C33/3,0)</f>
        <v>Q1</v>
      </c>
      <c r="E33" s="100" t="s">
        <v>292</v>
      </c>
      <c r="F33" s="100" t="s">
        <v>253</v>
      </c>
      <c r="G33" s="96" t="n">
        <v>4488</v>
      </c>
      <c r="H33" s="96" t="n">
        <v>3284</v>
      </c>
      <c r="I33" s="40" t="n">
        <f aca="false">G33-H33</f>
        <v>1204</v>
      </c>
      <c r="J33" s="68" t="str">
        <f aca="false">"S"&amp;TEXT(A33,"yyyymm")&amp;"-"&amp;UPPER(LEFT(E33,3))&amp;"-"&amp;UPPER(LEFT(F33,3))</f>
        <v>S202303-VIS-BEV</v>
      </c>
    </row>
    <row r="34" customFormat="false" ht="15" hidden="false" customHeight="false" outlineLevel="0" collapsed="false">
      <c r="A34" s="101" t="n">
        <v>45016</v>
      </c>
      <c r="B34" s="102" t="n">
        <f aca="false">YEAR(A34)</f>
        <v>2023</v>
      </c>
      <c r="C34" s="102" t="n">
        <f aca="false">MONTH(A34)</f>
        <v>3</v>
      </c>
      <c r="D34" s="68" t="str">
        <f aca="false">"Q"&amp;ROUNDUP(C34/3,0)</f>
        <v>Q1</v>
      </c>
      <c r="E34" s="100" t="s">
        <v>293</v>
      </c>
      <c r="F34" s="100" t="s">
        <v>253</v>
      </c>
      <c r="G34" s="96" t="n">
        <v>3667</v>
      </c>
      <c r="H34" s="96" t="n">
        <v>2702</v>
      </c>
      <c r="I34" s="40" t="n">
        <f aca="false">G34-H34</f>
        <v>965</v>
      </c>
      <c r="J34" s="68" t="str">
        <f aca="false">"S"&amp;TEXT(A34,"yyyymm")&amp;"-"&amp;UPPER(LEFT(E34,3))&amp;"-"&amp;UPPER(LEFT(F34,3))</f>
        <v>S202303-MIN-BEV</v>
      </c>
    </row>
    <row r="35" customFormat="false" ht="15" hidden="false" customHeight="false" outlineLevel="0" collapsed="false">
      <c r="A35" s="101" t="n">
        <v>45016</v>
      </c>
      <c r="B35" s="102" t="n">
        <f aca="false">YEAR(A35)</f>
        <v>2023</v>
      </c>
      <c r="C35" s="102" t="n">
        <f aca="false">MONTH(A35)</f>
        <v>3</v>
      </c>
      <c r="D35" s="68" t="str">
        <f aca="false">"Q"&amp;ROUNDUP(C35/3,0)</f>
        <v>Q1</v>
      </c>
      <c r="E35" s="100" t="s">
        <v>291</v>
      </c>
      <c r="F35" s="100" t="s">
        <v>254</v>
      </c>
      <c r="G35" s="96" t="n">
        <v>7016</v>
      </c>
      <c r="H35" s="96" t="n">
        <v>4923</v>
      </c>
      <c r="I35" s="40" t="n">
        <f aca="false">G35-H35</f>
        <v>2093</v>
      </c>
      <c r="J35" s="68" t="str">
        <f aca="false">"S"&amp;TEXT(A35,"yyyymm")&amp;"-"&amp;UPPER(LEFT(E35,3))&amp;"-"&amp;UPPER(LEFT(F35,3))</f>
        <v>S202303-LUZ-HOU</v>
      </c>
    </row>
    <row r="36" customFormat="false" ht="15" hidden="false" customHeight="false" outlineLevel="0" collapsed="false">
      <c r="A36" s="101" t="n">
        <v>45016</v>
      </c>
      <c r="B36" s="102" t="n">
        <f aca="false">YEAR(A36)</f>
        <v>2023</v>
      </c>
      <c r="C36" s="102" t="n">
        <f aca="false">MONTH(A36)</f>
        <v>3</v>
      </c>
      <c r="D36" s="68" t="str">
        <f aca="false">"Q"&amp;ROUNDUP(C36/3,0)</f>
        <v>Q1</v>
      </c>
      <c r="E36" s="100" t="s">
        <v>292</v>
      </c>
      <c r="F36" s="100" t="s">
        <v>254</v>
      </c>
      <c r="G36" s="96" t="n">
        <v>2739</v>
      </c>
      <c r="H36" s="96" t="n">
        <v>1930</v>
      </c>
      <c r="I36" s="40" t="n">
        <f aca="false">G36-H36</f>
        <v>809</v>
      </c>
      <c r="J36" s="68" t="str">
        <f aca="false">"S"&amp;TEXT(A36,"yyyymm")&amp;"-"&amp;UPPER(LEFT(E36,3))&amp;"-"&amp;UPPER(LEFT(F36,3))</f>
        <v>S202303-VIS-HOU</v>
      </c>
    </row>
    <row r="37" customFormat="false" ht="15" hidden="false" customHeight="false" outlineLevel="0" collapsed="false">
      <c r="A37" s="101" t="n">
        <v>45016</v>
      </c>
      <c r="B37" s="102" t="n">
        <f aca="false">YEAR(A37)</f>
        <v>2023</v>
      </c>
      <c r="C37" s="102" t="n">
        <f aca="false">MONTH(A37)</f>
        <v>3</v>
      </c>
      <c r="D37" s="68" t="str">
        <f aca="false">"Q"&amp;ROUNDUP(C37/3,0)</f>
        <v>Q1</v>
      </c>
      <c r="E37" s="100" t="s">
        <v>293</v>
      </c>
      <c r="F37" s="100" t="s">
        <v>254</v>
      </c>
      <c r="G37" s="96" t="n">
        <v>2244</v>
      </c>
      <c r="H37" s="96" t="n">
        <v>1577</v>
      </c>
      <c r="I37" s="40" t="n">
        <f aca="false">G37-H37</f>
        <v>667</v>
      </c>
      <c r="J37" s="68" t="str">
        <f aca="false">"S"&amp;TEXT(A37,"yyyymm")&amp;"-"&amp;UPPER(LEFT(E37,3))&amp;"-"&amp;UPPER(LEFT(F37,3))</f>
        <v>S202303-MIN-HOU</v>
      </c>
    </row>
    <row r="38" customFormat="false" ht="15" hidden="false" customHeight="false" outlineLevel="0" collapsed="false">
      <c r="A38" s="101" t="n">
        <v>45016</v>
      </c>
      <c r="B38" s="102" t="n">
        <f aca="false">YEAR(A38)</f>
        <v>2023</v>
      </c>
      <c r="C38" s="102" t="n">
        <f aca="false">MONTH(A38)</f>
        <v>3</v>
      </c>
      <c r="D38" s="68" t="str">
        <f aca="false">"Q"&amp;ROUNDUP(C38/3,0)</f>
        <v>Q1</v>
      </c>
      <c r="E38" s="100" t="s">
        <v>291</v>
      </c>
      <c r="F38" s="100" t="s">
        <v>255</v>
      </c>
      <c r="G38" s="96" t="n">
        <v>4810</v>
      </c>
      <c r="H38" s="96" t="n">
        <v>3926</v>
      </c>
      <c r="I38" s="40" t="n">
        <f aca="false">G38-H38</f>
        <v>884</v>
      </c>
      <c r="J38" s="68" t="str">
        <f aca="false">"S"&amp;TEXT(A38,"yyyymm")&amp;"-"&amp;UPPER(LEFT(E38,3))&amp;"-"&amp;UPPER(LEFT(F38,3))</f>
        <v>S202303-LUZ-FRE</v>
      </c>
    </row>
    <row r="39" customFormat="false" ht="15" hidden="false" customHeight="false" outlineLevel="0" collapsed="false">
      <c r="A39" s="101" t="n">
        <v>45016</v>
      </c>
      <c r="B39" s="102" t="n">
        <f aca="false">YEAR(A39)</f>
        <v>2023</v>
      </c>
      <c r="C39" s="102" t="n">
        <f aca="false">MONTH(A39)</f>
        <v>3</v>
      </c>
      <c r="D39" s="68" t="str">
        <f aca="false">"Q"&amp;ROUNDUP(C39/3,0)</f>
        <v>Q1</v>
      </c>
      <c r="E39" s="100" t="s">
        <v>292</v>
      </c>
      <c r="F39" s="100" t="s">
        <v>255</v>
      </c>
      <c r="G39" s="96" t="n">
        <v>1860</v>
      </c>
      <c r="H39" s="96" t="n">
        <v>1515</v>
      </c>
      <c r="I39" s="40" t="n">
        <f aca="false">G39-H39</f>
        <v>345</v>
      </c>
      <c r="J39" s="68" t="str">
        <f aca="false">"S"&amp;TEXT(A39,"yyyymm")&amp;"-"&amp;UPPER(LEFT(E39,3))&amp;"-"&amp;UPPER(LEFT(F39,3))</f>
        <v>S202303-VIS-FRE</v>
      </c>
    </row>
    <row r="40" customFormat="false" ht="15" hidden="false" customHeight="false" outlineLevel="0" collapsed="false">
      <c r="A40" s="101" t="n">
        <v>45016</v>
      </c>
      <c r="B40" s="102" t="n">
        <f aca="false">YEAR(A40)</f>
        <v>2023</v>
      </c>
      <c r="C40" s="102" t="n">
        <f aca="false">MONTH(A40)</f>
        <v>3</v>
      </c>
      <c r="D40" s="68" t="str">
        <f aca="false">"Q"&amp;ROUNDUP(C40/3,0)</f>
        <v>Q1</v>
      </c>
      <c r="E40" s="100" t="s">
        <v>293</v>
      </c>
      <c r="F40" s="100" t="s">
        <v>255</v>
      </c>
      <c r="G40" s="96" t="n">
        <v>1580</v>
      </c>
      <c r="H40" s="96" t="n">
        <v>1295</v>
      </c>
      <c r="I40" s="40" t="n">
        <f aca="false">G40-H40</f>
        <v>285</v>
      </c>
      <c r="J40" s="68" t="str">
        <f aca="false">"S"&amp;TEXT(A40,"yyyymm")&amp;"-"&amp;UPPER(LEFT(E40,3))&amp;"-"&amp;UPPER(LEFT(F40,3))</f>
        <v>S202303-MIN-FRE</v>
      </c>
    </row>
    <row r="41" customFormat="false" ht="15" hidden="false" customHeight="false" outlineLevel="0" collapsed="false">
      <c r="A41" s="101" t="n">
        <v>45046</v>
      </c>
      <c r="B41" s="102" t="n">
        <f aca="false">YEAR(A41)</f>
        <v>2023</v>
      </c>
      <c r="C41" s="102" t="n">
        <f aca="false">MONTH(A41)</f>
        <v>4</v>
      </c>
      <c r="D41" s="68" t="str">
        <f aca="false">"Q"&amp;ROUNDUP(C41/3,0)</f>
        <v>Q2</v>
      </c>
      <c r="E41" s="100" t="s">
        <v>291</v>
      </c>
      <c r="F41" s="100" t="s">
        <v>252</v>
      </c>
      <c r="G41" s="96" t="n">
        <v>15285</v>
      </c>
      <c r="H41" s="96" t="n">
        <v>11548</v>
      </c>
      <c r="I41" s="40" t="n">
        <f aca="false">G41-H41</f>
        <v>3737</v>
      </c>
      <c r="J41" s="68" t="str">
        <f aca="false">"S"&amp;TEXT(A41,"yyyymm")&amp;"-"&amp;UPPER(LEFT(E41,3))&amp;"-"&amp;UPPER(LEFT(F41,3))</f>
        <v>S202304-LUZ-PAC</v>
      </c>
    </row>
    <row r="42" customFormat="false" ht="15" hidden="false" customHeight="false" outlineLevel="0" collapsed="false">
      <c r="A42" s="101" t="n">
        <v>45046</v>
      </c>
      <c r="B42" s="102" t="n">
        <f aca="false">YEAR(A42)</f>
        <v>2023</v>
      </c>
      <c r="C42" s="102" t="n">
        <f aca="false">MONTH(A42)</f>
        <v>4</v>
      </c>
      <c r="D42" s="68" t="str">
        <f aca="false">"Q"&amp;ROUNDUP(C42/3,0)</f>
        <v>Q2</v>
      </c>
      <c r="E42" s="100" t="s">
        <v>292</v>
      </c>
      <c r="F42" s="100" t="s">
        <v>252</v>
      </c>
      <c r="G42" s="96" t="n">
        <v>6106</v>
      </c>
      <c r="H42" s="96" t="n">
        <v>4599</v>
      </c>
      <c r="I42" s="40" t="n">
        <f aca="false">G42-H42</f>
        <v>1507</v>
      </c>
      <c r="J42" s="68" t="str">
        <f aca="false">"S"&amp;TEXT(A42,"yyyymm")&amp;"-"&amp;UPPER(LEFT(E42,3))&amp;"-"&amp;UPPER(LEFT(F42,3))</f>
        <v>S202304-VIS-PAC</v>
      </c>
    </row>
    <row r="43" customFormat="false" ht="15" hidden="false" customHeight="false" outlineLevel="0" collapsed="false">
      <c r="A43" s="101" t="n">
        <v>45046</v>
      </c>
      <c r="B43" s="102" t="n">
        <f aca="false">YEAR(A43)</f>
        <v>2023</v>
      </c>
      <c r="C43" s="102" t="n">
        <f aca="false">MONTH(A43)</f>
        <v>4</v>
      </c>
      <c r="D43" s="68" t="str">
        <f aca="false">"Q"&amp;ROUNDUP(C43/3,0)</f>
        <v>Q2</v>
      </c>
      <c r="E43" s="100" t="s">
        <v>293</v>
      </c>
      <c r="F43" s="100" t="s">
        <v>252</v>
      </c>
      <c r="G43" s="96" t="n">
        <v>5083</v>
      </c>
      <c r="H43" s="96" t="n">
        <v>3838</v>
      </c>
      <c r="I43" s="40" t="n">
        <f aca="false">G43-H43</f>
        <v>1245</v>
      </c>
      <c r="J43" s="68" t="str">
        <f aca="false">"S"&amp;TEXT(A43,"yyyymm")&amp;"-"&amp;UPPER(LEFT(E43,3))&amp;"-"&amp;UPPER(LEFT(F43,3))</f>
        <v>S202304-MIN-PAC</v>
      </c>
    </row>
    <row r="44" customFormat="false" ht="15" hidden="false" customHeight="false" outlineLevel="0" collapsed="false">
      <c r="A44" s="101" t="n">
        <v>45046</v>
      </c>
      <c r="B44" s="102" t="n">
        <f aca="false">YEAR(A44)</f>
        <v>2023</v>
      </c>
      <c r="C44" s="102" t="n">
        <f aca="false">MONTH(A44)</f>
        <v>4</v>
      </c>
      <c r="D44" s="68" t="str">
        <f aca="false">"Q"&amp;ROUNDUP(C44/3,0)</f>
        <v>Q2</v>
      </c>
      <c r="E44" s="100" t="s">
        <v>291</v>
      </c>
      <c r="F44" s="100" t="s">
        <v>253</v>
      </c>
      <c r="G44" s="96" t="n">
        <v>11604</v>
      </c>
      <c r="H44" s="96" t="n">
        <v>8568</v>
      </c>
      <c r="I44" s="40" t="n">
        <f aca="false">G44-H44</f>
        <v>3036</v>
      </c>
      <c r="J44" s="68" t="str">
        <f aca="false">"S"&amp;TEXT(A44,"yyyymm")&amp;"-"&amp;UPPER(LEFT(E44,3))&amp;"-"&amp;UPPER(LEFT(F44,3))</f>
        <v>S202304-LUZ-BEV</v>
      </c>
    </row>
    <row r="45" customFormat="false" ht="15" hidden="false" customHeight="false" outlineLevel="0" collapsed="false">
      <c r="A45" s="101" t="n">
        <v>45046</v>
      </c>
      <c r="B45" s="102" t="n">
        <f aca="false">YEAR(A45)</f>
        <v>2023</v>
      </c>
      <c r="C45" s="102" t="n">
        <f aca="false">MONTH(A45)</f>
        <v>4</v>
      </c>
      <c r="D45" s="68" t="str">
        <f aca="false">"Q"&amp;ROUNDUP(C45/3,0)</f>
        <v>Q2</v>
      </c>
      <c r="E45" s="100" t="s">
        <v>292</v>
      </c>
      <c r="F45" s="100" t="s">
        <v>253</v>
      </c>
      <c r="G45" s="96" t="n">
        <v>4589</v>
      </c>
      <c r="H45" s="96" t="n">
        <v>3365</v>
      </c>
      <c r="I45" s="40" t="n">
        <f aca="false">G45-H45</f>
        <v>1224</v>
      </c>
      <c r="J45" s="68" t="str">
        <f aca="false">"S"&amp;TEXT(A45,"yyyymm")&amp;"-"&amp;UPPER(LEFT(E45,3))&amp;"-"&amp;UPPER(LEFT(F45,3))</f>
        <v>S202304-VIS-BEV</v>
      </c>
    </row>
    <row r="46" customFormat="false" ht="15" hidden="false" customHeight="false" outlineLevel="0" collapsed="false">
      <c r="A46" s="101" t="n">
        <v>45046</v>
      </c>
      <c r="B46" s="102" t="n">
        <f aca="false">YEAR(A46)</f>
        <v>2023</v>
      </c>
      <c r="C46" s="102" t="n">
        <f aca="false">MONTH(A46)</f>
        <v>4</v>
      </c>
      <c r="D46" s="68" t="str">
        <f aca="false">"Q"&amp;ROUNDUP(C46/3,0)</f>
        <v>Q2</v>
      </c>
      <c r="E46" s="100" t="s">
        <v>293</v>
      </c>
      <c r="F46" s="100" t="s">
        <v>253</v>
      </c>
      <c r="G46" s="96" t="n">
        <v>3753</v>
      </c>
      <c r="H46" s="96" t="n">
        <v>2743</v>
      </c>
      <c r="I46" s="40" t="n">
        <f aca="false">G46-H46</f>
        <v>1010</v>
      </c>
      <c r="J46" s="68" t="str">
        <f aca="false">"S"&amp;TEXT(A46,"yyyymm")&amp;"-"&amp;UPPER(LEFT(E46,3))&amp;"-"&amp;UPPER(LEFT(F46,3))</f>
        <v>S202304-MIN-BEV</v>
      </c>
    </row>
    <row r="47" customFormat="false" ht="15" hidden="false" customHeight="false" outlineLevel="0" collapsed="false">
      <c r="A47" s="101" t="n">
        <v>45046</v>
      </c>
      <c r="B47" s="102" t="n">
        <f aca="false">YEAR(A47)</f>
        <v>2023</v>
      </c>
      <c r="C47" s="102" t="n">
        <f aca="false">MONTH(A47)</f>
        <v>4</v>
      </c>
      <c r="D47" s="68" t="str">
        <f aca="false">"Q"&amp;ROUNDUP(C47/3,0)</f>
        <v>Q2</v>
      </c>
      <c r="E47" s="100" t="s">
        <v>291</v>
      </c>
      <c r="F47" s="100" t="s">
        <v>254</v>
      </c>
      <c r="G47" s="96" t="n">
        <v>6993</v>
      </c>
      <c r="H47" s="96" t="n">
        <v>4936</v>
      </c>
      <c r="I47" s="40" t="n">
        <f aca="false">G47-H47</f>
        <v>2057</v>
      </c>
      <c r="J47" s="68" t="str">
        <f aca="false">"S"&amp;TEXT(A47,"yyyymm")&amp;"-"&amp;UPPER(LEFT(E47,3))&amp;"-"&amp;UPPER(LEFT(F47,3))</f>
        <v>S202304-LUZ-HOU</v>
      </c>
    </row>
    <row r="48" customFormat="false" ht="15" hidden="false" customHeight="false" outlineLevel="0" collapsed="false">
      <c r="A48" s="101" t="n">
        <v>45046</v>
      </c>
      <c r="B48" s="102" t="n">
        <f aca="false">YEAR(A48)</f>
        <v>2023</v>
      </c>
      <c r="C48" s="102" t="n">
        <f aca="false">MONTH(A48)</f>
        <v>4</v>
      </c>
      <c r="D48" s="68" t="str">
        <f aca="false">"Q"&amp;ROUNDUP(C48/3,0)</f>
        <v>Q2</v>
      </c>
      <c r="E48" s="100" t="s">
        <v>292</v>
      </c>
      <c r="F48" s="100" t="s">
        <v>254</v>
      </c>
      <c r="G48" s="96" t="n">
        <v>2741</v>
      </c>
      <c r="H48" s="96" t="n">
        <v>1933</v>
      </c>
      <c r="I48" s="40" t="n">
        <f aca="false">G48-H48</f>
        <v>808</v>
      </c>
      <c r="J48" s="68" t="str">
        <f aca="false">"S"&amp;TEXT(A48,"yyyymm")&amp;"-"&amp;UPPER(LEFT(E48,3))&amp;"-"&amp;UPPER(LEFT(F48,3))</f>
        <v>S202304-VIS-HOU</v>
      </c>
    </row>
    <row r="49" customFormat="false" ht="15" hidden="false" customHeight="false" outlineLevel="0" collapsed="false">
      <c r="A49" s="101" t="n">
        <v>45046</v>
      </c>
      <c r="B49" s="102" t="n">
        <f aca="false">YEAR(A49)</f>
        <v>2023</v>
      </c>
      <c r="C49" s="102" t="n">
        <f aca="false">MONTH(A49)</f>
        <v>4</v>
      </c>
      <c r="D49" s="68" t="str">
        <f aca="false">"Q"&amp;ROUNDUP(C49/3,0)</f>
        <v>Q2</v>
      </c>
      <c r="E49" s="100" t="s">
        <v>293</v>
      </c>
      <c r="F49" s="100" t="s">
        <v>254</v>
      </c>
      <c r="G49" s="96" t="n">
        <v>2268</v>
      </c>
      <c r="H49" s="96" t="n">
        <v>1607</v>
      </c>
      <c r="I49" s="40" t="n">
        <f aca="false">G49-H49</f>
        <v>661</v>
      </c>
      <c r="J49" s="68" t="str">
        <f aca="false">"S"&amp;TEXT(A49,"yyyymm")&amp;"-"&amp;UPPER(LEFT(E49,3))&amp;"-"&amp;UPPER(LEFT(F49,3))</f>
        <v>S202304-MIN-HOU</v>
      </c>
    </row>
    <row r="50" customFormat="false" ht="15" hidden="false" customHeight="false" outlineLevel="0" collapsed="false">
      <c r="A50" s="101" t="n">
        <v>45046</v>
      </c>
      <c r="B50" s="102" t="n">
        <f aca="false">YEAR(A50)</f>
        <v>2023</v>
      </c>
      <c r="C50" s="102" t="n">
        <f aca="false">MONTH(A50)</f>
        <v>4</v>
      </c>
      <c r="D50" s="68" t="str">
        <f aca="false">"Q"&amp;ROUNDUP(C50/3,0)</f>
        <v>Q2</v>
      </c>
      <c r="E50" s="100" t="s">
        <v>291</v>
      </c>
      <c r="F50" s="100" t="s">
        <v>255</v>
      </c>
      <c r="G50" s="96" t="n">
        <v>4657</v>
      </c>
      <c r="H50" s="96" t="n">
        <v>3795</v>
      </c>
      <c r="I50" s="40" t="n">
        <f aca="false">G50-H50</f>
        <v>862</v>
      </c>
      <c r="J50" s="68" t="str">
        <f aca="false">"S"&amp;TEXT(A50,"yyyymm")&amp;"-"&amp;UPPER(LEFT(E50,3))&amp;"-"&amp;UPPER(LEFT(F50,3))</f>
        <v>S202304-LUZ-FRE</v>
      </c>
    </row>
    <row r="51" customFormat="false" ht="15" hidden="false" customHeight="false" outlineLevel="0" collapsed="false">
      <c r="A51" s="101" t="n">
        <v>45046</v>
      </c>
      <c r="B51" s="102" t="n">
        <f aca="false">YEAR(A51)</f>
        <v>2023</v>
      </c>
      <c r="C51" s="102" t="n">
        <f aca="false">MONTH(A51)</f>
        <v>4</v>
      </c>
      <c r="D51" s="68" t="str">
        <f aca="false">"Q"&amp;ROUNDUP(C51/3,0)</f>
        <v>Q2</v>
      </c>
      <c r="E51" s="100" t="s">
        <v>292</v>
      </c>
      <c r="F51" s="100" t="s">
        <v>255</v>
      </c>
      <c r="G51" s="96" t="n">
        <v>1875</v>
      </c>
      <c r="H51" s="96" t="n">
        <v>1534</v>
      </c>
      <c r="I51" s="40" t="n">
        <f aca="false">G51-H51</f>
        <v>341</v>
      </c>
      <c r="J51" s="68" t="str">
        <f aca="false">"S"&amp;TEXT(A51,"yyyymm")&amp;"-"&amp;UPPER(LEFT(E51,3))&amp;"-"&amp;UPPER(LEFT(F51,3))</f>
        <v>S202304-VIS-FRE</v>
      </c>
    </row>
    <row r="52" customFormat="false" ht="15" hidden="false" customHeight="false" outlineLevel="0" collapsed="false">
      <c r="A52" s="101" t="n">
        <v>45046</v>
      </c>
      <c r="B52" s="102" t="n">
        <f aca="false">YEAR(A52)</f>
        <v>2023</v>
      </c>
      <c r="C52" s="102" t="n">
        <f aca="false">MONTH(A52)</f>
        <v>4</v>
      </c>
      <c r="D52" s="68" t="str">
        <f aca="false">"Q"&amp;ROUNDUP(C52/3,0)</f>
        <v>Q2</v>
      </c>
      <c r="E52" s="100" t="s">
        <v>293</v>
      </c>
      <c r="F52" s="100" t="s">
        <v>255</v>
      </c>
      <c r="G52" s="96" t="n">
        <v>1577</v>
      </c>
      <c r="H52" s="96" t="n">
        <v>1286</v>
      </c>
      <c r="I52" s="40" t="n">
        <f aca="false">G52-H52</f>
        <v>291</v>
      </c>
      <c r="J52" s="68" t="str">
        <f aca="false">"S"&amp;TEXT(A52,"yyyymm")&amp;"-"&amp;UPPER(LEFT(E52,3))&amp;"-"&amp;UPPER(LEFT(F52,3))</f>
        <v>S202304-MIN-FRE</v>
      </c>
    </row>
    <row r="53" customFormat="false" ht="15" hidden="false" customHeight="false" outlineLevel="0" collapsed="false">
      <c r="A53" s="101" t="n">
        <v>45077</v>
      </c>
      <c r="B53" s="102" t="n">
        <f aca="false">YEAR(A53)</f>
        <v>2023</v>
      </c>
      <c r="C53" s="102" t="n">
        <f aca="false">MONTH(A53)</f>
        <v>5</v>
      </c>
      <c r="D53" s="68" t="str">
        <f aca="false">"Q"&amp;ROUNDUP(C53/3,0)</f>
        <v>Q2</v>
      </c>
      <c r="E53" s="100" t="s">
        <v>291</v>
      </c>
      <c r="F53" s="100" t="s">
        <v>252</v>
      </c>
      <c r="G53" s="96" t="n">
        <v>16098</v>
      </c>
      <c r="H53" s="96" t="n">
        <v>12202</v>
      </c>
      <c r="I53" s="40" t="n">
        <f aca="false">G53-H53</f>
        <v>3896</v>
      </c>
      <c r="J53" s="68" t="str">
        <f aca="false">"S"&amp;TEXT(A53,"yyyymm")&amp;"-"&amp;UPPER(LEFT(E53,3))&amp;"-"&amp;UPPER(LEFT(F53,3))</f>
        <v>S202305-LUZ-PAC</v>
      </c>
    </row>
    <row r="54" customFormat="false" ht="15" hidden="false" customHeight="false" outlineLevel="0" collapsed="false">
      <c r="A54" s="101" t="n">
        <v>45077</v>
      </c>
      <c r="B54" s="102" t="n">
        <f aca="false">YEAR(A54)</f>
        <v>2023</v>
      </c>
      <c r="C54" s="102" t="n">
        <f aca="false">MONTH(A54)</f>
        <v>5</v>
      </c>
      <c r="D54" s="68" t="str">
        <f aca="false">"Q"&amp;ROUNDUP(C54/3,0)</f>
        <v>Q2</v>
      </c>
      <c r="E54" s="100" t="s">
        <v>292</v>
      </c>
      <c r="F54" s="100" t="s">
        <v>252</v>
      </c>
      <c r="G54" s="96" t="n">
        <v>6163</v>
      </c>
      <c r="H54" s="96" t="n">
        <v>4676</v>
      </c>
      <c r="I54" s="40" t="n">
        <f aca="false">G54-H54</f>
        <v>1487</v>
      </c>
      <c r="J54" s="68" t="str">
        <f aca="false">"S"&amp;TEXT(A54,"yyyymm")&amp;"-"&amp;UPPER(LEFT(E54,3))&amp;"-"&amp;UPPER(LEFT(F54,3))</f>
        <v>S202305-VIS-PAC</v>
      </c>
    </row>
    <row r="55" customFormat="false" ht="15" hidden="false" customHeight="false" outlineLevel="0" collapsed="false">
      <c r="A55" s="101" t="n">
        <v>45077</v>
      </c>
      <c r="B55" s="102" t="n">
        <f aca="false">YEAR(A55)</f>
        <v>2023</v>
      </c>
      <c r="C55" s="102" t="n">
        <f aca="false">MONTH(A55)</f>
        <v>5</v>
      </c>
      <c r="D55" s="68" t="str">
        <f aca="false">"Q"&amp;ROUNDUP(C55/3,0)</f>
        <v>Q2</v>
      </c>
      <c r="E55" s="100" t="s">
        <v>293</v>
      </c>
      <c r="F55" s="100" t="s">
        <v>252</v>
      </c>
      <c r="G55" s="96" t="n">
        <v>5024</v>
      </c>
      <c r="H55" s="96" t="n">
        <v>3802</v>
      </c>
      <c r="I55" s="40" t="n">
        <f aca="false">G55-H55</f>
        <v>1222</v>
      </c>
      <c r="J55" s="68" t="str">
        <f aca="false">"S"&amp;TEXT(A55,"yyyymm")&amp;"-"&amp;UPPER(LEFT(E55,3))&amp;"-"&amp;UPPER(LEFT(F55,3))</f>
        <v>S202305-MIN-PAC</v>
      </c>
    </row>
    <row r="56" customFormat="false" ht="15" hidden="false" customHeight="false" outlineLevel="0" collapsed="false">
      <c r="A56" s="101" t="n">
        <v>45077</v>
      </c>
      <c r="B56" s="102" t="n">
        <f aca="false">YEAR(A56)</f>
        <v>2023</v>
      </c>
      <c r="C56" s="102" t="n">
        <f aca="false">MONTH(A56)</f>
        <v>5</v>
      </c>
      <c r="D56" s="68" t="str">
        <f aca="false">"Q"&amp;ROUNDUP(C56/3,0)</f>
        <v>Q2</v>
      </c>
      <c r="E56" s="100" t="s">
        <v>291</v>
      </c>
      <c r="F56" s="100" t="s">
        <v>253</v>
      </c>
      <c r="G56" s="96" t="n">
        <v>12158</v>
      </c>
      <c r="H56" s="96" t="n">
        <v>8938</v>
      </c>
      <c r="I56" s="40" t="n">
        <f aca="false">G56-H56</f>
        <v>3220</v>
      </c>
      <c r="J56" s="68" t="str">
        <f aca="false">"S"&amp;TEXT(A56,"yyyymm")&amp;"-"&amp;UPPER(LEFT(E56,3))&amp;"-"&amp;UPPER(LEFT(F56,3))</f>
        <v>S202305-LUZ-BEV</v>
      </c>
    </row>
    <row r="57" customFormat="false" ht="15" hidden="false" customHeight="false" outlineLevel="0" collapsed="false">
      <c r="A57" s="101" t="n">
        <v>45077</v>
      </c>
      <c r="B57" s="102" t="n">
        <f aca="false">YEAR(A57)</f>
        <v>2023</v>
      </c>
      <c r="C57" s="102" t="n">
        <f aca="false">MONTH(A57)</f>
        <v>5</v>
      </c>
      <c r="D57" s="68" t="str">
        <f aca="false">"Q"&amp;ROUNDUP(C57/3,0)</f>
        <v>Q2</v>
      </c>
      <c r="E57" s="100" t="s">
        <v>292</v>
      </c>
      <c r="F57" s="100" t="s">
        <v>253</v>
      </c>
      <c r="G57" s="96" t="n">
        <v>4727</v>
      </c>
      <c r="H57" s="96" t="n">
        <v>3494</v>
      </c>
      <c r="I57" s="40" t="n">
        <f aca="false">G57-H57</f>
        <v>1233</v>
      </c>
      <c r="J57" s="68" t="str">
        <f aca="false">"S"&amp;TEXT(A57,"yyyymm")&amp;"-"&amp;UPPER(LEFT(E57,3))&amp;"-"&amp;UPPER(LEFT(F57,3))</f>
        <v>S202305-VIS-BEV</v>
      </c>
    </row>
    <row r="58" customFormat="false" ht="15" hidden="false" customHeight="false" outlineLevel="0" collapsed="false">
      <c r="A58" s="101" t="n">
        <v>45077</v>
      </c>
      <c r="B58" s="102" t="n">
        <f aca="false">YEAR(A58)</f>
        <v>2023</v>
      </c>
      <c r="C58" s="102" t="n">
        <f aca="false">MONTH(A58)</f>
        <v>5</v>
      </c>
      <c r="D58" s="68" t="str">
        <f aca="false">"Q"&amp;ROUNDUP(C58/3,0)</f>
        <v>Q2</v>
      </c>
      <c r="E58" s="100" t="s">
        <v>293</v>
      </c>
      <c r="F58" s="100" t="s">
        <v>253</v>
      </c>
      <c r="G58" s="96" t="n">
        <v>4026</v>
      </c>
      <c r="H58" s="96" t="n">
        <v>2971</v>
      </c>
      <c r="I58" s="40" t="n">
        <f aca="false">G58-H58</f>
        <v>1055</v>
      </c>
      <c r="J58" s="68" t="str">
        <f aca="false">"S"&amp;TEXT(A58,"yyyymm")&amp;"-"&amp;UPPER(LEFT(E58,3))&amp;"-"&amp;UPPER(LEFT(F58,3))</f>
        <v>S202305-MIN-BEV</v>
      </c>
    </row>
    <row r="59" customFormat="false" ht="15" hidden="false" customHeight="false" outlineLevel="0" collapsed="false">
      <c r="A59" s="101" t="n">
        <v>45077</v>
      </c>
      <c r="B59" s="102" t="n">
        <f aca="false">YEAR(A59)</f>
        <v>2023</v>
      </c>
      <c r="C59" s="102" t="n">
        <f aca="false">MONTH(A59)</f>
        <v>5</v>
      </c>
      <c r="D59" s="68" t="str">
        <f aca="false">"Q"&amp;ROUNDUP(C59/3,0)</f>
        <v>Q2</v>
      </c>
      <c r="E59" s="100" t="s">
        <v>291</v>
      </c>
      <c r="F59" s="100" t="s">
        <v>254</v>
      </c>
      <c r="G59" s="96" t="n">
        <v>7134</v>
      </c>
      <c r="H59" s="96" t="n">
        <v>5003</v>
      </c>
      <c r="I59" s="40" t="n">
        <f aca="false">G59-H59</f>
        <v>2131</v>
      </c>
      <c r="J59" s="68" t="str">
        <f aca="false">"S"&amp;TEXT(A59,"yyyymm")&amp;"-"&amp;UPPER(LEFT(E59,3))&amp;"-"&amp;UPPER(LEFT(F59,3))</f>
        <v>S202305-LUZ-HOU</v>
      </c>
    </row>
    <row r="60" customFormat="false" ht="15" hidden="false" customHeight="false" outlineLevel="0" collapsed="false">
      <c r="A60" s="101" t="n">
        <v>45077</v>
      </c>
      <c r="B60" s="102" t="n">
        <f aca="false">YEAR(A60)</f>
        <v>2023</v>
      </c>
      <c r="C60" s="102" t="n">
        <f aca="false">MONTH(A60)</f>
        <v>5</v>
      </c>
      <c r="D60" s="68" t="str">
        <f aca="false">"Q"&amp;ROUNDUP(C60/3,0)</f>
        <v>Q2</v>
      </c>
      <c r="E60" s="100" t="s">
        <v>292</v>
      </c>
      <c r="F60" s="100" t="s">
        <v>254</v>
      </c>
      <c r="G60" s="96" t="n">
        <v>2793</v>
      </c>
      <c r="H60" s="96" t="n">
        <v>1969</v>
      </c>
      <c r="I60" s="40" t="n">
        <f aca="false">G60-H60</f>
        <v>824</v>
      </c>
      <c r="J60" s="68" t="str">
        <f aca="false">"S"&amp;TEXT(A60,"yyyymm")&amp;"-"&amp;UPPER(LEFT(E60,3))&amp;"-"&amp;UPPER(LEFT(F60,3))</f>
        <v>S202305-VIS-HOU</v>
      </c>
    </row>
    <row r="61" customFormat="false" ht="15" hidden="false" customHeight="false" outlineLevel="0" collapsed="false">
      <c r="A61" s="101" t="n">
        <v>45077</v>
      </c>
      <c r="B61" s="102" t="n">
        <f aca="false">YEAR(A61)</f>
        <v>2023</v>
      </c>
      <c r="C61" s="102" t="n">
        <f aca="false">MONTH(A61)</f>
        <v>5</v>
      </c>
      <c r="D61" s="68" t="str">
        <f aca="false">"Q"&amp;ROUNDUP(C61/3,0)</f>
        <v>Q2</v>
      </c>
      <c r="E61" s="100" t="s">
        <v>293</v>
      </c>
      <c r="F61" s="100" t="s">
        <v>254</v>
      </c>
      <c r="G61" s="96" t="n">
        <v>2283</v>
      </c>
      <c r="H61" s="96" t="n">
        <v>1614</v>
      </c>
      <c r="I61" s="40" t="n">
        <f aca="false">G61-H61</f>
        <v>669</v>
      </c>
      <c r="J61" s="68" t="str">
        <f aca="false">"S"&amp;TEXT(A61,"yyyymm")&amp;"-"&amp;UPPER(LEFT(E61,3))&amp;"-"&amp;UPPER(LEFT(F61,3))</f>
        <v>S202305-MIN-HOU</v>
      </c>
    </row>
    <row r="62" customFormat="false" ht="15" hidden="false" customHeight="false" outlineLevel="0" collapsed="false">
      <c r="A62" s="101" t="n">
        <v>45077</v>
      </c>
      <c r="B62" s="102" t="n">
        <f aca="false">YEAR(A62)</f>
        <v>2023</v>
      </c>
      <c r="C62" s="102" t="n">
        <f aca="false">MONTH(A62)</f>
        <v>5</v>
      </c>
      <c r="D62" s="68" t="str">
        <f aca="false">"Q"&amp;ROUNDUP(C62/3,0)</f>
        <v>Q2</v>
      </c>
      <c r="E62" s="100" t="s">
        <v>291</v>
      </c>
      <c r="F62" s="100" t="s">
        <v>255</v>
      </c>
      <c r="G62" s="96" t="n">
        <v>4772</v>
      </c>
      <c r="H62" s="96" t="n">
        <v>3887</v>
      </c>
      <c r="I62" s="40" t="n">
        <f aca="false">G62-H62</f>
        <v>885</v>
      </c>
      <c r="J62" s="68" t="str">
        <f aca="false">"S"&amp;TEXT(A62,"yyyymm")&amp;"-"&amp;UPPER(LEFT(E62,3))&amp;"-"&amp;UPPER(LEFT(F62,3))</f>
        <v>S202305-LUZ-FRE</v>
      </c>
    </row>
    <row r="63" customFormat="false" ht="15" hidden="false" customHeight="false" outlineLevel="0" collapsed="false">
      <c r="A63" s="101" t="n">
        <v>45077</v>
      </c>
      <c r="B63" s="102" t="n">
        <f aca="false">YEAR(A63)</f>
        <v>2023</v>
      </c>
      <c r="C63" s="102" t="n">
        <f aca="false">MONTH(A63)</f>
        <v>5</v>
      </c>
      <c r="D63" s="68" t="str">
        <f aca="false">"Q"&amp;ROUNDUP(C63/3,0)</f>
        <v>Q2</v>
      </c>
      <c r="E63" s="100" t="s">
        <v>292</v>
      </c>
      <c r="F63" s="100" t="s">
        <v>255</v>
      </c>
      <c r="G63" s="96" t="n">
        <v>1847</v>
      </c>
      <c r="H63" s="96" t="n">
        <v>1496</v>
      </c>
      <c r="I63" s="40" t="n">
        <f aca="false">G63-H63</f>
        <v>351</v>
      </c>
      <c r="J63" s="68" t="str">
        <f aca="false">"S"&amp;TEXT(A63,"yyyymm")&amp;"-"&amp;UPPER(LEFT(E63,3))&amp;"-"&amp;UPPER(LEFT(F63,3))</f>
        <v>S202305-VIS-FRE</v>
      </c>
    </row>
    <row r="64" customFormat="false" ht="15" hidden="false" customHeight="false" outlineLevel="0" collapsed="false">
      <c r="A64" s="101" t="n">
        <v>45077</v>
      </c>
      <c r="B64" s="102" t="n">
        <f aca="false">YEAR(A64)</f>
        <v>2023</v>
      </c>
      <c r="C64" s="102" t="n">
        <f aca="false">MONTH(A64)</f>
        <v>5</v>
      </c>
      <c r="D64" s="68" t="str">
        <f aca="false">"Q"&amp;ROUNDUP(C64/3,0)</f>
        <v>Q2</v>
      </c>
      <c r="E64" s="100" t="s">
        <v>293</v>
      </c>
      <c r="F64" s="100" t="s">
        <v>255</v>
      </c>
      <c r="G64" s="96" t="n">
        <v>1579</v>
      </c>
      <c r="H64" s="96" t="n">
        <v>1294</v>
      </c>
      <c r="I64" s="40" t="n">
        <f aca="false">G64-H64</f>
        <v>285</v>
      </c>
      <c r="J64" s="68" t="str">
        <f aca="false">"S"&amp;TEXT(A64,"yyyymm")&amp;"-"&amp;UPPER(LEFT(E64,3))&amp;"-"&amp;UPPER(LEFT(F64,3))</f>
        <v>S202305-MIN-FRE</v>
      </c>
    </row>
    <row r="65" customFormat="false" ht="15" hidden="false" customHeight="false" outlineLevel="0" collapsed="false">
      <c r="A65" s="101" t="n">
        <v>45107</v>
      </c>
      <c r="B65" s="102" t="n">
        <f aca="false">YEAR(A65)</f>
        <v>2023</v>
      </c>
      <c r="C65" s="102" t="n">
        <f aca="false">MONTH(A65)</f>
        <v>6</v>
      </c>
      <c r="D65" s="68" t="str">
        <f aca="false">"Q"&amp;ROUNDUP(C65/3,0)</f>
        <v>Q2</v>
      </c>
      <c r="E65" s="100" t="s">
        <v>291</v>
      </c>
      <c r="F65" s="100" t="s">
        <v>252</v>
      </c>
      <c r="G65" s="96" t="n">
        <v>15168</v>
      </c>
      <c r="H65" s="96" t="n">
        <v>11492</v>
      </c>
      <c r="I65" s="40" t="n">
        <f aca="false">G65-H65</f>
        <v>3676</v>
      </c>
      <c r="J65" s="68" t="str">
        <f aca="false">"S"&amp;TEXT(A65,"yyyymm")&amp;"-"&amp;UPPER(LEFT(E65,3))&amp;"-"&amp;UPPER(LEFT(F65,3))</f>
        <v>S202306-LUZ-PAC</v>
      </c>
    </row>
    <row r="66" customFormat="false" ht="15" hidden="false" customHeight="false" outlineLevel="0" collapsed="false">
      <c r="A66" s="101" t="n">
        <v>45107</v>
      </c>
      <c r="B66" s="102" t="n">
        <f aca="false">YEAR(A66)</f>
        <v>2023</v>
      </c>
      <c r="C66" s="102" t="n">
        <f aca="false">MONTH(A66)</f>
        <v>6</v>
      </c>
      <c r="D66" s="68" t="str">
        <f aca="false">"Q"&amp;ROUNDUP(C66/3,0)</f>
        <v>Q2</v>
      </c>
      <c r="E66" s="100" t="s">
        <v>292</v>
      </c>
      <c r="F66" s="100" t="s">
        <v>252</v>
      </c>
      <c r="G66" s="96" t="n">
        <v>6076</v>
      </c>
      <c r="H66" s="96" t="n">
        <v>4594</v>
      </c>
      <c r="I66" s="40" t="n">
        <f aca="false">G66-H66</f>
        <v>1482</v>
      </c>
      <c r="J66" s="68" t="str">
        <f aca="false">"S"&amp;TEXT(A66,"yyyymm")&amp;"-"&amp;UPPER(LEFT(E66,3))&amp;"-"&amp;UPPER(LEFT(F66,3))</f>
        <v>S202306-VIS-PAC</v>
      </c>
    </row>
    <row r="67" customFormat="false" ht="15" hidden="false" customHeight="false" outlineLevel="0" collapsed="false">
      <c r="A67" s="101" t="n">
        <v>45107</v>
      </c>
      <c r="B67" s="102" t="n">
        <f aca="false">YEAR(A67)</f>
        <v>2023</v>
      </c>
      <c r="C67" s="102" t="n">
        <f aca="false">MONTH(A67)</f>
        <v>6</v>
      </c>
      <c r="D67" s="68" t="str">
        <f aca="false">"Q"&amp;ROUNDUP(C67/3,0)</f>
        <v>Q2</v>
      </c>
      <c r="E67" s="100" t="s">
        <v>293</v>
      </c>
      <c r="F67" s="100" t="s">
        <v>252</v>
      </c>
      <c r="G67" s="96" t="n">
        <v>5173</v>
      </c>
      <c r="H67" s="96" t="n">
        <v>3927</v>
      </c>
      <c r="I67" s="40" t="n">
        <f aca="false">G67-H67</f>
        <v>1246</v>
      </c>
      <c r="J67" s="68" t="str">
        <f aca="false">"S"&amp;TEXT(A67,"yyyymm")&amp;"-"&amp;UPPER(LEFT(E67,3))&amp;"-"&amp;UPPER(LEFT(F67,3))</f>
        <v>S202306-MIN-PAC</v>
      </c>
    </row>
    <row r="68" customFormat="false" ht="15" hidden="false" customHeight="false" outlineLevel="0" collapsed="false">
      <c r="A68" s="101" t="n">
        <v>45107</v>
      </c>
      <c r="B68" s="102" t="n">
        <f aca="false">YEAR(A68)</f>
        <v>2023</v>
      </c>
      <c r="C68" s="102" t="n">
        <f aca="false">MONTH(A68)</f>
        <v>6</v>
      </c>
      <c r="D68" s="68" t="str">
        <f aca="false">"Q"&amp;ROUNDUP(C68/3,0)</f>
        <v>Q2</v>
      </c>
      <c r="E68" s="100" t="s">
        <v>291</v>
      </c>
      <c r="F68" s="100" t="s">
        <v>253</v>
      </c>
      <c r="G68" s="96" t="n">
        <v>11962</v>
      </c>
      <c r="H68" s="96" t="n">
        <v>8806</v>
      </c>
      <c r="I68" s="40" t="n">
        <f aca="false">G68-H68</f>
        <v>3156</v>
      </c>
      <c r="J68" s="68" t="str">
        <f aca="false">"S"&amp;TEXT(A68,"yyyymm")&amp;"-"&amp;UPPER(LEFT(E68,3))&amp;"-"&amp;UPPER(LEFT(F68,3))</f>
        <v>S202306-LUZ-BEV</v>
      </c>
    </row>
    <row r="69" customFormat="false" ht="15" hidden="false" customHeight="false" outlineLevel="0" collapsed="false">
      <c r="A69" s="101" t="n">
        <v>45107</v>
      </c>
      <c r="B69" s="102" t="n">
        <f aca="false">YEAR(A69)</f>
        <v>2023</v>
      </c>
      <c r="C69" s="102" t="n">
        <f aca="false">MONTH(A69)</f>
        <v>6</v>
      </c>
      <c r="D69" s="68" t="str">
        <f aca="false">"Q"&amp;ROUNDUP(C69/3,0)</f>
        <v>Q2</v>
      </c>
      <c r="E69" s="100" t="s">
        <v>292</v>
      </c>
      <c r="F69" s="100" t="s">
        <v>253</v>
      </c>
      <c r="G69" s="96" t="n">
        <v>4599</v>
      </c>
      <c r="H69" s="96" t="n">
        <v>3373</v>
      </c>
      <c r="I69" s="40" t="n">
        <f aca="false">G69-H69</f>
        <v>1226</v>
      </c>
      <c r="J69" s="68" t="str">
        <f aca="false">"S"&amp;TEXT(A69,"yyyymm")&amp;"-"&amp;UPPER(LEFT(E69,3))&amp;"-"&amp;UPPER(LEFT(F69,3))</f>
        <v>S202306-VIS-BEV</v>
      </c>
    </row>
    <row r="70" customFormat="false" ht="15" hidden="false" customHeight="false" outlineLevel="0" collapsed="false">
      <c r="A70" s="101" t="n">
        <v>45107</v>
      </c>
      <c r="B70" s="102" t="n">
        <f aca="false">YEAR(A70)</f>
        <v>2023</v>
      </c>
      <c r="C70" s="102" t="n">
        <f aca="false">MONTH(A70)</f>
        <v>6</v>
      </c>
      <c r="D70" s="68" t="str">
        <f aca="false">"Q"&amp;ROUNDUP(C70/3,0)</f>
        <v>Q2</v>
      </c>
      <c r="E70" s="100" t="s">
        <v>293</v>
      </c>
      <c r="F70" s="100" t="s">
        <v>253</v>
      </c>
      <c r="G70" s="96" t="n">
        <v>3899</v>
      </c>
      <c r="H70" s="96" t="n">
        <v>2875</v>
      </c>
      <c r="I70" s="40" t="n">
        <f aca="false">G70-H70</f>
        <v>1024</v>
      </c>
      <c r="J70" s="68" t="str">
        <f aca="false">"S"&amp;TEXT(A70,"yyyymm")&amp;"-"&amp;UPPER(LEFT(E70,3))&amp;"-"&amp;UPPER(LEFT(F70,3))</f>
        <v>S202306-MIN-BEV</v>
      </c>
    </row>
    <row r="71" customFormat="false" ht="15" hidden="false" customHeight="false" outlineLevel="0" collapsed="false">
      <c r="A71" s="101" t="n">
        <v>45107</v>
      </c>
      <c r="B71" s="102" t="n">
        <f aca="false">YEAR(A71)</f>
        <v>2023</v>
      </c>
      <c r="C71" s="102" t="n">
        <f aca="false">MONTH(A71)</f>
        <v>6</v>
      </c>
      <c r="D71" s="68" t="str">
        <f aca="false">"Q"&amp;ROUNDUP(C71/3,0)</f>
        <v>Q2</v>
      </c>
      <c r="E71" s="100" t="s">
        <v>291</v>
      </c>
      <c r="F71" s="100" t="s">
        <v>254</v>
      </c>
      <c r="G71" s="96" t="n">
        <v>7262</v>
      </c>
      <c r="H71" s="96" t="n">
        <v>5119</v>
      </c>
      <c r="I71" s="40" t="n">
        <f aca="false">G71-H71</f>
        <v>2143</v>
      </c>
      <c r="J71" s="68" t="str">
        <f aca="false">"S"&amp;TEXT(A71,"yyyymm")&amp;"-"&amp;UPPER(LEFT(E71,3))&amp;"-"&amp;UPPER(LEFT(F71,3))</f>
        <v>S202306-LUZ-HOU</v>
      </c>
    </row>
    <row r="72" customFormat="false" ht="15" hidden="false" customHeight="false" outlineLevel="0" collapsed="false">
      <c r="A72" s="101" t="n">
        <v>45107</v>
      </c>
      <c r="B72" s="102" t="n">
        <f aca="false">YEAR(A72)</f>
        <v>2023</v>
      </c>
      <c r="C72" s="102" t="n">
        <f aca="false">MONTH(A72)</f>
        <v>6</v>
      </c>
      <c r="D72" s="68" t="str">
        <f aca="false">"Q"&amp;ROUNDUP(C72/3,0)</f>
        <v>Q2</v>
      </c>
      <c r="E72" s="100" t="s">
        <v>292</v>
      </c>
      <c r="F72" s="100" t="s">
        <v>254</v>
      </c>
      <c r="G72" s="96" t="n">
        <v>2841</v>
      </c>
      <c r="H72" s="96" t="n">
        <v>1994</v>
      </c>
      <c r="I72" s="40" t="n">
        <f aca="false">G72-H72</f>
        <v>847</v>
      </c>
      <c r="J72" s="68" t="str">
        <f aca="false">"S"&amp;TEXT(A72,"yyyymm")&amp;"-"&amp;UPPER(LEFT(E72,3))&amp;"-"&amp;UPPER(LEFT(F72,3))</f>
        <v>S202306-VIS-HOU</v>
      </c>
    </row>
    <row r="73" customFormat="false" ht="15" hidden="false" customHeight="false" outlineLevel="0" collapsed="false">
      <c r="A73" s="101" t="n">
        <v>45107</v>
      </c>
      <c r="B73" s="102" t="n">
        <f aca="false">YEAR(A73)</f>
        <v>2023</v>
      </c>
      <c r="C73" s="102" t="n">
        <f aca="false">MONTH(A73)</f>
        <v>6</v>
      </c>
      <c r="D73" s="68" t="str">
        <f aca="false">"Q"&amp;ROUNDUP(C73/3,0)</f>
        <v>Q2</v>
      </c>
      <c r="E73" s="100" t="s">
        <v>293</v>
      </c>
      <c r="F73" s="100" t="s">
        <v>254</v>
      </c>
      <c r="G73" s="96" t="n">
        <v>2278</v>
      </c>
      <c r="H73" s="96" t="n">
        <v>1608</v>
      </c>
      <c r="I73" s="40" t="n">
        <f aca="false">G73-H73</f>
        <v>670</v>
      </c>
      <c r="J73" s="68" t="str">
        <f aca="false">"S"&amp;TEXT(A73,"yyyymm")&amp;"-"&amp;UPPER(LEFT(E73,3))&amp;"-"&amp;UPPER(LEFT(F73,3))</f>
        <v>S202306-MIN-HOU</v>
      </c>
    </row>
    <row r="74" customFormat="false" ht="15" hidden="false" customHeight="false" outlineLevel="0" collapsed="false">
      <c r="A74" s="101" t="n">
        <v>45107</v>
      </c>
      <c r="B74" s="102" t="n">
        <f aca="false">YEAR(A74)</f>
        <v>2023</v>
      </c>
      <c r="C74" s="102" t="n">
        <f aca="false">MONTH(A74)</f>
        <v>6</v>
      </c>
      <c r="D74" s="68" t="str">
        <f aca="false">"Q"&amp;ROUNDUP(C74/3,0)</f>
        <v>Q2</v>
      </c>
      <c r="E74" s="100" t="s">
        <v>291</v>
      </c>
      <c r="F74" s="100" t="s">
        <v>255</v>
      </c>
      <c r="G74" s="96" t="n">
        <v>4905</v>
      </c>
      <c r="H74" s="96" t="n">
        <v>4016</v>
      </c>
      <c r="I74" s="40" t="n">
        <f aca="false">G74-H74</f>
        <v>889</v>
      </c>
      <c r="J74" s="68" t="str">
        <f aca="false">"S"&amp;TEXT(A74,"yyyymm")&amp;"-"&amp;UPPER(LEFT(E74,3))&amp;"-"&amp;UPPER(LEFT(F74,3))</f>
        <v>S202306-LUZ-FRE</v>
      </c>
    </row>
    <row r="75" customFormat="false" ht="15" hidden="false" customHeight="false" outlineLevel="0" collapsed="false">
      <c r="A75" s="101" t="n">
        <v>45107</v>
      </c>
      <c r="B75" s="102" t="n">
        <f aca="false">YEAR(A75)</f>
        <v>2023</v>
      </c>
      <c r="C75" s="102" t="n">
        <f aca="false">MONTH(A75)</f>
        <v>6</v>
      </c>
      <c r="D75" s="68" t="str">
        <f aca="false">"Q"&amp;ROUNDUP(C75/3,0)</f>
        <v>Q2</v>
      </c>
      <c r="E75" s="100" t="s">
        <v>292</v>
      </c>
      <c r="F75" s="100" t="s">
        <v>255</v>
      </c>
      <c r="G75" s="96" t="n">
        <v>1893</v>
      </c>
      <c r="H75" s="96" t="n">
        <v>1535</v>
      </c>
      <c r="I75" s="40" t="n">
        <f aca="false">G75-H75</f>
        <v>358</v>
      </c>
      <c r="J75" s="68" t="str">
        <f aca="false">"S"&amp;TEXT(A75,"yyyymm")&amp;"-"&amp;UPPER(LEFT(E75,3))&amp;"-"&amp;UPPER(LEFT(F75,3))</f>
        <v>S202306-VIS-FRE</v>
      </c>
    </row>
    <row r="76" customFormat="false" ht="15" hidden="false" customHeight="false" outlineLevel="0" collapsed="false">
      <c r="A76" s="101" t="n">
        <v>45107</v>
      </c>
      <c r="B76" s="102" t="n">
        <f aca="false">YEAR(A76)</f>
        <v>2023</v>
      </c>
      <c r="C76" s="102" t="n">
        <f aca="false">MONTH(A76)</f>
        <v>6</v>
      </c>
      <c r="D76" s="68" t="str">
        <f aca="false">"Q"&amp;ROUNDUP(C76/3,0)</f>
        <v>Q2</v>
      </c>
      <c r="E76" s="100" t="s">
        <v>293</v>
      </c>
      <c r="F76" s="100" t="s">
        <v>255</v>
      </c>
      <c r="G76" s="96" t="n">
        <v>1580</v>
      </c>
      <c r="H76" s="96" t="n">
        <v>1294</v>
      </c>
      <c r="I76" s="40" t="n">
        <f aca="false">G76-H76</f>
        <v>286</v>
      </c>
      <c r="J76" s="68" t="str">
        <f aca="false">"S"&amp;TEXT(A76,"yyyymm")&amp;"-"&amp;UPPER(LEFT(E76,3))&amp;"-"&amp;UPPER(LEFT(F76,3))</f>
        <v>S202306-MIN-FRE</v>
      </c>
    </row>
    <row r="77" customFormat="false" ht="15" hidden="false" customHeight="false" outlineLevel="0" collapsed="false">
      <c r="A77" s="101" t="n">
        <v>45138</v>
      </c>
      <c r="B77" s="102" t="n">
        <f aca="false">YEAR(A77)</f>
        <v>2023</v>
      </c>
      <c r="C77" s="102" t="n">
        <f aca="false">MONTH(A77)</f>
        <v>7</v>
      </c>
      <c r="D77" s="68" t="str">
        <f aca="false">"Q"&amp;ROUNDUP(C77/3,0)</f>
        <v>Q3</v>
      </c>
      <c r="E77" s="100" t="s">
        <v>291</v>
      </c>
      <c r="F77" s="100" t="s">
        <v>252</v>
      </c>
      <c r="G77" s="96" t="n">
        <v>16301</v>
      </c>
      <c r="H77" s="96" t="n">
        <v>12369</v>
      </c>
      <c r="I77" s="40" t="n">
        <f aca="false">G77-H77</f>
        <v>3932</v>
      </c>
      <c r="J77" s="68" t="str">
        <f aca="false">"S"&amp;TEXT(A77,"yyyymm")&amp;"-"&amp;UPPER(LEFT(E77,3))&amp;"-"&amp;UPPER(LEFT(F77,3))</f>
        <v>S202307-LUZ-PAC</v>
      </c>
    </row>
    <row r="78" customFormat="false" ht="15" hidden="false" customHeight="false" outlineLevel="0" collapsed="false">
      <c r="A78" s="101" t="n">
        <v>45138</v>
      </c>
      <c r="B78" s="102" t="n">
        <f aca="false">YEAR(A78)</f>
        <v>2023</v>
      </c>
      <c r="C78" s="102" t="n">
        <f aca="false">MONTH(A78)</f>
        <v>7</v>
      </c>
      <c r="D78" s="68" t="str">
        <f aca="false">"Q"&amp;ROUNDUP(C78/3,0)</f>
        <v>Q3</v>
      </c>
      <c r="E78" s="100" t="s">
        <v>292</v>
      </c>
      <c r="F78" s="100" t="s">
        <v>252</v>
      </c>
      <c r="G78" s="96" t="n">
        <v>6282</v>
      </c>
      <c r="H78" s="96" t="n">
        <v>4738</v>
      </c>
      <c r="I78" s="40" t="n">
        <f aca="false">G78-H78</f>
        <v>1544</v>
      </c>
      <c r="J78" s="68" t="str">
        <f aca="false">"S"&amp;TEXT(A78,"yyyymm")&amp;"-"&amp;UPPER(LEFT(E78,3))&amp;"-"&amp;UPPER(LEFT(F78,3))</f>
        <v>S202307-VIS-PAC</v>
      </c>
    </row>
    <row r="79" customFormat="false" ht="15" hidden="false" customHeight="false" outlineLevel="0" collapsed="false">
      <c r="A79" s="101" t="n">
        <v>45138</v>
      </c>
      <c r="B79" s="102" t="n">
        <f aca="false">YEAR(A79)</f>
        <v>2023</v>
      </c>
      <c r="C79" s="102" t="n">
        <f aca="false">MONTH(A79)</f>
        <v>7</v>
      </c>
      <c r="D79" s="68" t="str">
        <f aca="false">"Q"&amp;ROUNDUP(C79/3,0)</f>
        <v>Q3</v>
      </c>
      <c r="E79" s="100" t="s">
        <v>293</v>
      </c>
      <c r="F79" s="100" t="s">
        <v>252</v>
      </c>
      <c r="G79" s="96" t="n">
        <v>5348</v>
      </c>
      <c r="H79" s="96" t="n">
        <v>4039</v>
      </c>
      <c r="I79" s="40" t="n">
        <f aca="false">G79-H79</f>
        <v>1309</v>
      </c>
      <c r="J79" s="68" t="str">
        <f aca="false">"S"&amp;TEXT(A79,"yyyymm")&amp;"-"&amp;UPPER(LEFT(E79,3))&amp;"-"&amp;UPPER(LEFT(F79,3))</f>
        <v>S202307-MIN-PAC</v>
      </c>
    </row>
    <row r="80" customFormat="false" ht="15" hidden="false" customHeight="false" outlineLevel="0" collapsed="false">
      <c r="A80" s="101" t="n">
        <v>45138</v>
      </c>
      <c r="B80" s="102" t="n">
        <f aca="false">YEAR(A80)</f>
        <v>2023</v>
      </c>
      <c r="C80" s="102" t="n">
        <f aca="false">MONTH(A80)</f>
        <v>7</v>
      </c>
      <c r="D80" s="68" t="str">
        <f aca="false">"Q"&amp;ROUNDUP(C80/3,0)</f>
        <v>Q3</v>
      </c>
      <c r="E80" s="100" t="s">
        <v>291</v>
      </c>
      <c r="F80" s="100" t="s">
        <v>253</v>
      </c>
      <c r="G80" s="96" t="n">
        <v>11188</v>
      </c>
      <c r="H80" s="96" t="n">
        <v>8175</v>
      </c>
      <c r="I80" s="40" t="n">
        <f aca="false">G80-H80</f>
        <v>3013</v>
      </c>
      <c r="J80" s="68" t="str">
        <f aca="false">"S"&amp;TEXT(A80,"yyyymm")&amp;"-"&amp;UPPER(LEFT(E80,3))&amp;"-"&amp;UPPER(LEFT(F80,3))</f>
        <v>S202307-LUZ-BEV</v>
      </c>
    </row>
    <row r="81" customFormat="false" ht="15" hidden="false" customHeight="false" outlineLevel="0" collapsed="false">
      <c r="A81" s="101" t="n">
        <v>45138</v>
      </c>
      <c r="B81" s="102" t="n">
        <f aca="false">YEAR(A81)</f>
        <v>2023</v>
      </c>
      <c r="C81" s="102" t="n">
        <f aca="false">MONTH(A81)</f>
        <v>7</v>
      </c>
      <c r="D81" s="68" t="str">
        <f aca="false">"Q"&amp;ROUNDUP(C81/3,0)</f>
        <v>Q3</v>
      </c>
      <c r="E81" s="100" t="s">
        <v>292</v>
      </c>
      <c r="F81" s="100" t="s">
        <v>253</v>
      </c>
      <c r="G81" s="96" t="n">
        <v>4412</v>
      </c>
      <c r="H81" s="96" t="n">
        <v>3258</v>
      </c>
      <c r="I81" s="40" t="n">
        <f aca="false">G81-H81</f>
        <v>1154</v>
      </c>
      <c r="J81" s="68" t="str">
        <f aca="false">"S"&amp;TEXT(A81,"yyyymm")&amp;"-"&amp;UPPER(LEFT(E81,3))&amp;"-"&amp;UPPER(LEFT(F81,3))</f>
        <v>S202307-VIS-BEV</v>
      </c>
    </row>
    <row r="82" customFormat="false" ht="15" hidden="false" customHeight="false" outlineLevel="0" collapsed="false">
      <c r="A82" s="101" t="n">
        <v>45138</v>
      </c>
      <c r="B82" s="102" t="n">
        <f aca="false">YEAR(A82)</f>
        <v>2023</v>
      </c>
      <c r="C82" s="102" t="n">
        <f aca="false">MONTH(A82)</f>
        <v>7</v>
      </c>
      <c r="D82" s="68" t="str">
        <f aca="false">"Q"&amp;ROUNDUP(C82/3,0)</f>
        <v>Q3</v>
      </c>
      <c r="E82" s="100" t="s">
        <v>293</v>
      </c>
      <c r="F82" s="100" t="s">
        <v>253</v>
      </c>
      <c r="G82" s="96" t="n">
        <v>3632</v>
      </c>
      <c r="H82" s="96" t="n">
        <v>2665</v>
      </c>
      <c r="I82" s="40" t="n">
        <f aca="false">G82-H82</f>
        <v>967</v>
      </c>
      <c r="J82" s="68" t="str">
        <f aca="false">"S"&amp;TEXT(A82,"yyyymm")&amp;"-"&amp;UPPER(LEFT(E82,3))&amp;"-"&amp;UPPER(LEFT(F82,3))</f>
        <v>S202307-MIN-BEV</v>
      </c>
    </row>
    <row r="83" customFormat="false" ht="15" hidden="false" customHeight="false" outlineLevel="0" collapsed="false">
      <c r="A83" s="101" t="n">
        <v>45138</v>
      </c>
      <c r="B83" s="102" t="n">
        <f aca="false">YEAR(A83)</f>
        <v>2023</v>
      </c>
      <c r="C83" s="102" t="n">
        <f aca="false">MONTH(A83)</f>
        <v>7</v>
      </c>
      <c r="D83" s="68" t="str">
        <f aca="false">"Q"&amp;ROUNDUP(C83/3,0)</f>
        <v>Q3</v>
      </c>
      <c r="E83" s="100" t="s">
        <v>291</v>
      </c>
      <c r="F83" s="100" t="s">
        <v>254</v>
      </c>
      <c r="G83" s="96" t="n">
        <v>7222</v>
      </c>
      <c r="H83" s="96" t="n">
        <v>5108</v>
      </c>
      <c r="I83" s="40" t="n">
        <f aca="false">G83-H83</f>
        <v>2114</v>
      </c>
      <c r="J83" s="68" t="str">
        <f aca="false">"S"&amp;TEXT(A83,"yyyymm")&amp;"-"&amp;UPPER(LEFT(E83,3))&amp;"-"&amp;UPPER(LEFT(F83,3))</f>
        <v>S202307-LUZ-HOU</v>
      </c>
    </row>
    <row r="84" customFormat="false" ht="15" hidden="false" customHeight="false" outlineLevel="0" collapsed="false">
      <c r="A84" s="101" t="n">
        <v>45138</v>
      </c>
      <c r="B84" s="102" t="n">
        <f aca="false">YEAR(A84)</f>
        <v>2023</v>
      </c>
      <c r="C84" s="102" t="n">
        <f aca="false">MONTH(A84)</f>
        <v>7</v>
      </c>
      <c r="D84" s="68" t="str">
        <f aca="false">"Q"&amp;ROUNDUP(C84/3,0)</f>
        <v>Q3</v>
      </c>
      <c r="E84" s="100" t="s">
        <v>292</v>
      </c>
      <c r="F84" s="100" t="s">
        <v>254</v>
      </c>
      <c r="G84" s="96" t="n">
        <v>2807</v>
      </c>
      <c r="H84" s="96" t="n">
        <v>1979</v>
      </c>
      <c r="I84" s="40" t="n">
        <f aca="false">G84-H84</f>
        <v>828</v>
      </c>
      <c r="J84" s="68" t="str">
        <f aca="false">"S"&amp;TEXT(A84,"yyyymm")&amp;"-"&amp;UPPER(LEFT(E84,3))&amp;"-"&amp;UPPER(LEFT(F84,3))</f>
        <v>S202307-VIS-HOU</v>
      </c>
    </row>
    <row r="85" customFormat="false" ht="15" hidden="false" customHeight="false" outlineLevel="0" collapsed="false">
      <c r="A85" s="101" t="n">
        <v>45138</v>
      </c>
      <c r="B85" s="102" t="n">
        <f aca="false">YEAR(A85)</f>
        <v>2023</v>
      </c>
      <c r="C85" s="102" t="n">
        <f aca="false">MONTH(A85)</f>
        <v>7</v>
      </c>
      <c r="D85" s="68" t="str">
        <f aca="false">"Q"&amp;ROUNDUP(C85/3,0)</f>
        <v>Q3</v>
      </c>
      <c r="E85" s="100" t="s">
        <v>293</v>
      </c>
      <c r="F85" s="100" t="s">
        <v>254</v>
      </c>
      <c r="G85" s="96" t="n">
        <v>2362</v>
      </c>
      <c r="H85" s="96" t="n">
        <v>1661</v>
      </c>
      <c r="I85" s="40" t="n">
        <f aca="false">G85-H85</f>
        <v>701</v>
      </c>
      <c r="J85" s="68" t="str">
        <f aca="false">"S"&amp;TEXT(A85,"yyyymm")&amp;"-"&amp;UPPER(LEFT(E85,3))&amp;"-"&amp;UPPER(LEFT(F85,3))</f>
        <v>S202307-MIN-HOU</v>
      </c>
    </row>
    <row r="86" customFormat="false" ht="15" hidden="false" customHeight="false" outlineLevel="0" collapsed="false">
      <c r="A86" s="101" t="n">
        <v>45138</v>
      </c>
      <c r="B86" s="102" t="n">
        <f aca="false">YEAR(A86)</f>
        <v>2023</v>
      </c>
      <c r="C86" s="102" t="n">
        <f aca="false">MONTH(A86)</f>
        <v>7</v>
      </c>
      <c r="D86" s="68" t="str">
        <f aca="false">"Q"&amp;ROUNDUP(C86/3,0)</f>
        <v>Q3</v>
      </c>
      <c r="E86" s="100" t="s">
        <v>291</v>
      </c>
      <c r="F86" s="100" t="s">
        <v>255</v>
      </c>
      <c r="G86" s="96" t="n">
        <v>4795</v>
      </c>
      <c r="H86" s="96" t="n">
        <v>3890</v>
      </c>
      <c r="I86" s="40" t="n">
        <f aca="false">G86-H86</f>
        <v>905</v>
      </c>
      <c r="J86" s="68" t="str">
        <f aca="false">"S"&amp;TEXT(A86,"yyyymm")&amp;"-"&amp;UPPER(LEFT(E86,3))&amp;"-"&amp;UPPER(LEFT(F86,3))</f>
        <v>S202307-LUZ-FRE</v>
      </c>
    </row>
    <row r="87" customFormat="false" ht="15" hidden="false" customHeight="false" outlineLevel="0" collapsed="false">
      <c r="A87" s="101" t="n">
        <v>45138</v>
      </c>
      <c r="B87" s="102" t="n">
        <f aca="false">YEAR(A87)</f>
        <v>2023</v>
      </c>
      <c r="C87" s="102" t="n">
        <f aca="false">MONTH(A87)</f>
        <v>7</v>
      </c>
      <c r="D87" s="68" t="str">
        <f aca="false">"Q"&amp;ROUNDUP(C87/3,0)</f>
        <v>Q3</v>
      </c>
      <c r="E87" s="100" t="s">
        <v>292</v>
      </c>
      <c r="F87" s="100" t="s">
        <v>255</v>
      </c>
      <c r="G87" s="96" t="n">
        <v>1973</v>
      </c>
      <c r="H87" s="96" t="n">
        <v>1609</v>
      </c>
      <c r="I87" s="40" t="n">
        <f aca="false">G87-H87</f>
        <v>364</v>
      </c>
      <c r="J87" s="68" t="str">
        <f aca="false">"S"&amp;TEXT(A87,"yyyymm")&amp;"-"&amp;UPPER(LEFT(E87,3))&amp;"-"&amp;UPPER(LEFT(F87,3))</f>
        <v>S202307-VIS-FRE</v>
      </c>
    </row>
    <row r="88" customFormat="false" ht="15" hidden="false" customHeight="false" outlineLevel="0" collapsed="false">
      <c r="A88" s="101" t="n">
        <v>45138</v>
      </c>
      <c r="B88" s="102" t="n">
        <f aca="false">YEAR(A88)</f>
        <v>2023</v>
      </c>
      <c r="C88" s="102" t="n">
        <f aca="false">MONTH(A88)</f>
        <v>7</v>
      </c>
      <c r="D88" s="68" t="str">
        <f aca="false">"Q"&amp;ROUNDUP(C88/3,0)</f>
        <v>Q3</v>
      </c>
      <c r="E88" s="100" t="s">
        <v>293</v>
      </c>
      <c r="F88" s="100" t="s">
        <v>255</v>
      </c>
      <c r="G88" s="96" t="n">
        <v>1616</v>
      </c>
      <c r="H88" s="96" t="n">
        <v>1312</v>
      </c>
      <c r="I88" s="40" t="n">
        <f aca="false">G88-H88</f>
        <v>304</v>
      </c>
      <c r="J88" s="68" t="str">
        <f aca="false">"S"&amp;TEXT(A88,"yyyymm")&amp;"-"&amp;UPPER(LEFT(E88,3))&amp;"-"&amp;UPPER(LEFT(F88,3))</f>
        <v>S202307-MIN-FRE</v>
      </c>
    </row>
    <row r="89" customFormat="false" ht="15" hidden="false" customHeight="false" outlineLevel="0" collapsed="false">
      <c r="A89" s="101" t="n">
        <v>45169</v>
      </c>
      <c r="B89" s="102" t="n">
        <f aca="false">YEAR(A89)</f>
        <v>2023</v>
      </c>
      <c r="C89" s="102" t="n">
        <f aca="false">MONTH(A89)</f>
        <v>8</v>
      </c>
      <c r="D89" s="68" t="str">
        <f aca="false">"Q"&amp;ROUNDUP(C89/3,0)</f>
        <v>Q3</v>
      </c>
      <c r="E89" s="100" t="s">
        <v>291</v>
      </c>
      <c r="F89" s="100" t="s">
        <v>252</v>
      </c>
      <c r="G89" s="96" t="n">
        <v>16362</v>
      </c>
      <c r="H89" s="96" t="n">
        <v>12343</v>
      </c>
      <c r="I89" s="40" t="n">
        <f aca="false">G89-H89</f>
        <v>4019</v>
      </c>
      <c r="J89" s="68" t="str">
        <f aca="false">"S"&amp;TEXT(A89,"yyyymm")&amp;"-"&amp;UPPER(LEFT(E89,3))&amp;"-"&amp;UPPER(LEFT(F89,3))</f>
        <v>S202308-LUZ-PAC</v>
      </c>
    </row>
    <row r="90" customFormat="false" ht="15" hidden="false" customHeight="false" outlineLevel="0" collapsed="false">
      <c r="A90" s="101" t="n">
        <v>45169</v>
      </c>
      <c r="B90" s="102" t="n">
        <f aca="false">YEAR(A90)</f>
        <v>2023</v>
      </c>
      <c r="C90" s="102" t="n">
        <f aca="false">MONTH(A90)</f>
        <v>8</v>
      </c>
      <c r="D90" s="68" t="str">
        <f aca="false">"Q"&amp;ROUNDUP(C90/3,0)</f>
        <v>Q3</v>
      </c>
      <c r="E90" s="100" t="s">
        <v>292</v>
      </c>
      <c r="F90" s="100" t="s">
        <v>252</v>
      </c>
      <c r="G90" s="96" t="n">
        <v>6417</v>
      </c>
      <c r="H90" s="96" t="n">
        <v>4851</v>
      </c>
      <c r="I90" s="40" t="n">
        <f aca="false">G90-H90</f>
        <v>1566</v>
      </c>
      <c r="J90" s="68" t="str">
        <f aca="false">"S"&amp;TEXT(A90,"yyyymm")&amp;"-"&amp;UPPER(LEFT(E90,3))&amp;"-"&amp;UPPER(LEFT(F90,3))</f>
        <v>S202308-VIS-PAC</v>
      </c>
    </row>
    <row r="91" customFormat="false" ht="15" hidden="false" customHeight="false" outlineLevel="0" collapsed="false">
      <c r="A91" s="101" t="n">
        <v>45169</v>
      </c>
      <c r="B91" s="102" t="n">
        <f aca="false">YEAR(A91)</f>
        <v>2023</v>
      </c>
      <c r="C91" s="102" t="n">
        <f aca="false">MONTH(A91)</f>
        <v>8</v>
      </c>
      <c r="D91" s="68" t="str">
        <f aca="false">"Q"&amp;ROUNDUP(C91/3,0)</f>
        <v>Q3</v>
      </c>
      <c r="E91" s="100" t="s">
        <v>293</v>
      </c>
      <c r="F91" s="100" t="s">
        <v>252</v>
      </c>
      <c r="G91" s="96" t="n">
        <v>5411</v>
      </c>
      <c r="H91" s="96" t="n">
        <v>4064</v>
      </c>
      <c r="I91" s="40" t="n">
        <f aca="false">G91-H91</f>
        <v>1347</v>
      </c>
      <c r="J91" s="68" t="str">
        <f aca="false">"S"&amp;TEXT(A91,"yyyymm")&amp;"-"&amp;UPPER(LEFT(E91,3))&amp;"-"&amp;UPPER(LEFT(F91,3))</f>
        <v>S202308-MIN-PAC</v>
      </c>
    </row>
    <row r="92" customFormat="false" ht="15" hidden="false" customHeight="false" outlineLevel="0" collapsed="false">
      <c r="A92" s="101" t="n">
        <v>45169</v>
      </c>
      <c r="B92" s="102" t="n">
        <f aca="false">YEAR(A92)</f>
        <v>2023</v>
      </c>
      <c r="C92" s="102" t="n">
        <f aca="false">MONTH(A92)</f>
        <v>8</v>
      </c>
      <c r="D92" s="68" t="str">
        <f aca="false">"Q"&amp;ROUNDUP(C92/3,0)</f>
        <v>Q3</v>
      </c>
      <c r="E92" s="100" t="s">
        <v>291</v>
      </c>
      <c r="F92" s="100" t="s">
        <v>253</v>
      </c>
      <c r="G92" s="96" t="n">
        <v>11548</v>
      </c>
      <c r="H92" s="96" t="n">
        <v>8457</v>
      </c>
      <c r="I92" s="40" t="n">
        <f aca="false">G92-H92</f>
        <v>3091</v>
      </c>
      <c r="J92" s="68" t="str">
        <f aca="false">"S"&amp;TEXT(A92,"yyyymm")&amp;"-"&amp;UPPER(LEFT(E92,3))&amp;"-"&amp;UPPER(LEFT(F92,3))</f>
        <v>S202308-LUZ-BEV</v>
      </c>
    </row>
    <row r="93" customFormat="false" ht="15" hidden="false" customHeight="false" outlineLevel="0" collapsed="false">
      <c r="A93" s="101" t="n">
        <v>45169</v>
      </c>
      <c r="B93" s="102" t="n">
        <f aca="false">YEAR(A93)</f>
        <v>2023</v>
      </c>
      <c r="C93" s="102" t="n">
        <f aca="false">MONTH(A93)</f>
        <v>8</v>
      </c>
      <c r="D93" s="68" t="str">
        <f aca="false">"Q"&amp;ROUNDUP(C93/3,0)</f>
        <v>Q3</v>
      </c>
      <c r="E93" s="100" t="s">
        <v>292</v>
      </c>
      <c r="F93" s="100" t="s">
        <v>253</v>
      </c>
      <c r="G93" s="96" t="n">
        <v>4724</v>
      </c>
      <c r="H93" s="96" t="n">
        <v>3453</v>
      </c>
      <c r="I93" s="40" t="n">
        <f aca="false">G93-H93</f>
        <v>1271</v>
      </c>
      <c r="J93" s="68" t="str">
        <f aca="false">"S"&amp;TEXT(A93,"yyyymm")&amp;"-"&amp;UPPER(LEFT(E93,3))&amp;"-"&amp;UPPER(LEFT(F93,3))</f>
        <v>S202308-VIS-BEV</v>
      </c>
    </row>
    <row r="94" customFormat="false" ht="15" hidden="false" customHeight="false" outlineLevel="0" collapsed="false">
      <c r="A94" s="101" t="n">
        <v>45169</v>
      </c>
      <c r="B94" s="102" t="n">
        <f aca="false">YEAR(A94)</f>
        <v>2023</v>
      </c>
      <c r="C94" s="102" t="n">
        <f aca="false">MONTH(A94)</f>
        <v>8</v>
      </c>
      <c r="D94" s="68" t="str">
        <f aca="false">"Q"&amp;ROUNDUP(C94/3,0)</f>
        <v>Q3</v>
      </c>
      <c r="E94" s="100" t="s">
        <v>293</v>
      </c>
      <c r="F94" s="100" t="s">
        <v>253</v>
      </c>
      <c r="G94" s="96" t="n">
        <v>3816</v>
      </c>
      <c r="H94" s="96" t="n">
        <v>2816</v>
      </c>
      <c r="I94" s="40" t="n">
        <f aca="false">G94-H94</f>
        <v>1000</v>
      </c>
      <c r="J94" s="68" t="str">
        <f aca="false">"S"&amp;TEXT(A94,"yyyymm")&amp;"-"&amp;UPPER(LEFT(E94,3))&amp;"-"&amp;UPPER(LEFT(F94,3))</f>
        <v>S202308-MIN-BEV</v>
      </c>
    </row>
    <row r="95" customFormat="false" ht="15" hidden="false" customHeight="false" outlineLevel="0" collapsed="false">
      <c r="A95" s="101" t="n">
        <v>45169</v>
      </c>
      <c r="B95" s="102" t="n">
        <f aca="false">YEAR(A95)</f>
        <v>2023</v>
      </c>
      <c r="C95" s="102" t="n">
        <f aca="false">MONTH(A95)</f>
        <v>8</v>
      </c>
      <c r="D95" s="68" t="str">
        <f aca="false">"Q"&amp;ROUNDUP(C95/3,0)</f>
        <v>Q3</v>
      </c>
      <c r="E95" s="100" t="s">
        <v>291</v>
      </c>
      <c r="F95" s="100" t="s">
        <v>254</v>
      </c>
      <c r="G95" s="96" t="n">
        <v>7407</v>
      </c>
      <c r="H95" s="96" t="n">
        <v>5238</v>
      </c>
      <c r="I95" s="40" t="n">
        <f aca="false">G95-H95</f>
        <v>2169</v>
      </c>
      <c r="J95" s="68" t="str">
        <f aca="false">"S"&amp;TEXT(A95,"yyyymm")&amp;"-"&amp;UPPER(LEFT(E95,3))&amp;"-"&amp;UPPER(LEFT(F95,3))</f>
        <v>S202308-LUZ-HOU</v>
      </c>
    </row>
    <row r="96" customFormat="false" ht="15" hidden="false" customHeight="false" outlineLevel="0" collapsed="false">
      <c r="A96" s="101" t="n">
        <v>45169</v>
      </c>
      <c r="B96" s="102" t="n">
        <f aca="false">YEAR(A96)</f>
        <v>2023</v>
      </c>
      <c r="C96" s="102" t="n">
        <f aca="false">MONTH(A96)</f>
        <v>8</v>
      </c>
      <c r="D96" s="68" t="str">
        <f aca="false">"Q"&amp;ROUNDUP(C96/3,0)</f>
        <v>Q3</v>
      </c>
      <c r="E96" s="100" t="s">
        <v>292</v>
      </c>
      <c r="F96" s="100" t="s">
        <v>254</v>
      </c>
      <c r="G96" s="96" t="n">
        <v>2891</v>
      </c>
      <c r="H96" s="96" t="n">
        <v>2043</v>
      </c>
      <c r="I96" s="40" t="n">
        <f aca="false">G96-H96</f>
        <v>848</v>
      </c>
      <c r="J96" s="68" t="str">
        <f aca="false">"S"&amp;TEXT(A96,"yyyymm")&amp;"-"&amp;UPPER(LEFT(E96,3))&amp;"-"&amp;UPPER(LEFT(F96,3))</f>
        <v>S202308-VIS-HOU</v>
      </c>
    </row>
    <row r="97" customFormat="false" ht="15" hidden="false" customHeight="false" outlineLevel="0" collapsed="false">
      <c r="A97" s="101" t="n">
        <v>45169</v>
      </c>
      <c r="B97" s="102" t="n">
        <f aca="false">YEAR(A97)</f>
        <v>2023</v>
      </c>
      <c r="C97" s="102" t="n">
        <f aca="false">MONTH(A97)</f>
        <v>8</v>
      </c>
      <c r="D97" s="68" t="str">
        <f aca="false">"Q"&amp;ROUNDUP(C97/3,0)</f>
        <v>Q3</v>
      </c>
      <c r="E97" s="100" t="s">
        <v>293</v>
      </c>
      <c r="F97" s="100" t="s">
        <v>254</v>
      </c>
      <c r="G97" s="96" t="n">
        <v>2489</v>
      </c>
      <c r="H97" s="96" t="n">
        <v>1747</v>
      </c>
      <c r="I97" s="40" t="n">
        <f aca="false">G97-H97</f>
        <v>742</v>
      </c>
      <c r="J97" s="68" t="str">
        <f aca="false">"S"&amp;TEXT(A97,"yyyymm")&amp;"-"&amp;UPPER(LEFT(E97,3))&amp;"-"&amp;UPPER(LEFT(F97,3))</f>
        <v>S202308-MIN-HOU</v>
      </c>
    </row>
    <row r="98" customFormat="false" ht="15" hidden="false" customHeight="false" outlineLevel="0" collapsed="false">
      <c r="A98" s="101" t="n">
        <v>45169</v>
      </c>
      <c r="B98" s="102" t="n">
        <f aca="false">YEAR(A98)</f>
        <v>2023</v>
      </c>
      <c r="C98" s="102" t="n">
        <f aca="false">MONTH(A98)</f>
        <v>8</v>
      </c>
      <c r="D98" s="68" t="str">
        <f aca="false">"Q"&amp;ROUNDUP(C98/3,0)</f>
        <v>Q3</v>
      </c>
      <c r="E98" s="100" t="s">
        <v>291</v>
      </c>
      <c r="F98" s="100" t="s">
        <v>255</v>
      </c>
      <c r="G98" s="96" t="n">
        <v>4902</v>
      </c>
      <c r="H98" s="96" t="n">
        <v>4009</v>
      </c>
      <c r="I98" s="40" t="n">
        <f aca="false">G98-H98</f>
        <v>893</v>
      </c>
      <c r="J98" s="68" t="str">
        <f aca="false">"S"&amp;TEXT(A98,"yyyymm")&amp;"-"&amp;UPPER(LEFT(E98,3))&amp;"-"&amp;UPPER(LEFT(F98,3))</f>
        <v>S202308-LUZ-FRE</v>
      </c>
    </row>
    <row r="99" customFormat="false" ht="15" hidden="false" customHeight="false" outlineLevel="0" collapsed="false">
      <c r="A99" s="101" t="n">
        <v>45169</v>
      </c>
      <c r="B99" s="102" t="n">
        <f aca="false">YEAR(A99)</f>
        <v>2023</v>
      </c>
      <c r="C99" s="102" t="n">
        <f aca="false">MONTH(A99)</f>
        <v>8</v>
      </c>
      <c r="D99" s="68" t="str">
        <f aca="false">"Q"&amp;ROUNDUP(C99/3,0)</f>
        <v>Q3</v>
      </c>
      <c r="E99" s="100" t="s">
        <v>292</v>
      </c>
      <c r="F99" s="100" t="s">
        <v>255</v>
      </c>
      <c r="G99" s="96" t="n">
        <v>1942</v>
      </c>
      <c r="H99" s="96" t="n">
        <v>1591</v>
      </c>
      <c r="I99" s="40" t="n">
        <f aca="false">G99-H99</f>
        <v>351</v>
      </c>
      <c r="J99" s="68" t="str">
        <f aca="false">"S"&amp;TEXT(A99,"yyyymm")&amp;"-"&amp;UPPER(LEFT(E99,3))&amp;"-"&amp;UPPER(LEFT(F99,3))</f>
        <v>S202308-VIS-FRE</v>
      </c>
    </row>
    <row r="100" customFormat="false" ht="15" hidden="false" customHeight="false" outlineLevel="0" collapsed="false">
      <c r="A100" s="101" t="n">
        <v>45169</v>
      </c>
      <c r="B100" s="102" t="n">
        <f aca="false">YEAR(A100)</f>
        <v>2023</v>
      </c>
      <c r="C100" s="102" t="n">
        <f aca="false">MONTH(A100)</f>
        <v>8</v>
      </c>
      <c r="D100" s="68" t="str">
        <f aca="false">"Q"&amp;ROUNDUP(C100/3,0)</f>
        <v>Q3</v>
      </c>
      <c r="E100" s="100" t="s">
        <v>293</v>
      </c>
      <c r="F100" s="100" t="s">
        <v>255</v>
      </c>
      <c r="G100" s="96" t="n">
        <v>1570</v>
      </c>
      <c r="H100" s="96" t="n">
        <v>1285</v>
      </c>
      <c r="I100" s="40" t="n">
        <f aca="false">G100-H100</f>
        <v>285</v>
      </c>
      <c r="J100" s="68" t="str">
        <f aca="false">"S"&amp;TEXT(A100,"yyyymm")&amp;"-"&amp;UPPER(LEFT(E100,3))&amp;"-"&amp;UPPER(LEFT(F100,3))</f>
        <v>S202308-MIN-FRE</v>
      </c>
    </row>
    <row r="101" customFormat="false" ht="15" hidden="false" customHeight="false" outlineLevel="0" collapsed="false">
      <c r="A101" s="101" t="n">
        <v>45199</v>
      </c>
      <c r="B101" s="102" t="n">
        <f aca="false">YEAR(A101)</f>
        <v>2023</v>
      </c>
      <c r="C101" s="102" t="n">
        <f aca="false">MONTH(A101)</f>
        <v>9</v>
      </c>
      <c r="D101" s="68" t="str">
        <f aca="false">"Q"&amp;ROUNDUP(C101/3,0)</f>
        <v>Q3</v>
      </c>
      <c r="E101" s="100" t="s">
        <v>291</v>
      </c>
      <c r="F101" s="100" t="s">
        <v>252</v>
      </c>
      <c r="G101" s="96" t="n">
        <v>16079</v>
      </c>
      <c r="H101" s="96" t="n">
        <v>12129</v>
      </c>
      <c r="I101" s="40" t="n">
        <f aca="false">G101-H101</f>
        <v>3950</v>
      </c>
      <c r="J101" s="68" t="str">
        <f aca="false">"S"&amp;TEXT(A101,"yyyymm")&amp;"-"&amp;UPPER(LEFT(E101,3))&amp;"-"&amp;UPPER(LEFT(F101,3))</f>
        <v>S202309-LUZ-PAC</v>
      </c>
    </row>
    <row r="102" customFormat="false" ht="15" hidden="false" customHeight="false" outlineLevel="0" collapsed="false">
      <c r="A102" s="101" t="n">
        <v>45199</v>
      </c>
      <c r="B102" s="102" t="n">
        <f aca="false">YEAR(A102)</f>
        <v>2023</v>
      </c>
      <c r="C102" s="102" t="n">
        <f aca="false">MONTH(A102)</f>
        <v>9</v>
      </c>
      <c r="D102" s="68" t="str">
        <f aca="false">"Q"&amp;ROUNDUP(C102/3,0)</f>
        <v>Q3</v>
      </c>
      <c r="E102" s="100" t="s">
        <v>292</v>
      </c>
      <c r="F102" s="100" t="s">
        <v>252</v>
      </c>
      <c r="G102" s="96" t="n">
        <v>6385</v>
      </c>
      <c r="H102" s="96" t="n">
        <v>4796</v>
      </c>
      <c r="I102" s="40" t="n">
        <f aca="false">G102-H102</f>
        <v>1589</v>
      </c>
      <c r="J102" s="68" t="str">
        <f aca="false">"S"&amp;TEXT(A102,"yyyymm")&amp;"-"&amp;UPPER(LEFT(E102,3))&amp;"-"&amp;UPPER(LEFT(F102,3))</f>
        <v>S202309-VIS-PAC</v>
      </c>
    </row>
    <row r="103" customFormat="false" ht="15" hidden="false" customHeight="false" outlineLevel="0" collapsed="false">
      <c r="A103" s="101" t="n">
        <v>45199</v>
      </c>
      <c r="B103" s="102" t="n">
        <f aca="false">YEAR(A103)</f>
        <v>2023</v>
      </c>
      <c r="C103" s="102" t="n">
        <f aca="false">MONTH(A103)</f>
        <v>9</v>
      </c>
      <c r="D103" s="68" t="str">
        <f aca="false">"Q"&amp;ROUNDUP(C103/3,0)</f>
        <v>Q3</v>
      </c>
      <c r="E103" s="100" t="s">
        <v>293</v>
      </c>
      <c r="F103" s="100" t="s">
        <v>252</v>
      </c>
      <c r="G103" s="96" t="n">
        <v>5240</v>
      </c>
      <c r="H103" s="96" t="n">
        <v>3949</v>
      </c>
      <c r="I103" s="40" t="n">
        <f aca="false">G103-H103</f>
        <v>1291</v>
      </c>
      <c r="J103" s="68" t="str">
        <f aca="false">"S"&amp;TEXT(A103,"yyyymm")&amp;"-"&amp;UPPER(LEFT(E103,3))&amp;"-"&amp;UPPER(LEFT(F103,3))</f>
        <v>S202309-MIN-PAC</v>
      </c>
    </row>
    <row r="104" customFormat="false" ht="15" hidden="false" customHeight="false" outlineLevel="0" collapsed="false">
      <c r="A104" s="101" t="n">
        <v>45199</v>
      </c>
      <c r="B104" s="102" t="n">
        <f aca="false">YEAR(A104)</f>
        <v>2023</v>
      </c>
      <c r="C104" s="102" t="n">
        <f aca="false">MONTH(A104)</f>
        <v>9</v>
      </c>
      <c r="D104" s="68" t="str">
        <f aca="false">"Q"&amp;ROUNDUP(C104/3,0)</f>
        <v>Q3</v>
      </c>
      <c r="E104" s="100" t="s">
        <v>291</v>
      </c>
      <c r="F104" s="100" t="s">
        <v>253</v>
      </c>
      <c r="G104" s="96" t="n">
        <v>11344</v>
      </c>
      <c r="H104" s="96" t="n">
        <v>8338</v>
      </c>
      <c r="I104" s="40" t="n">
        <f aca="false">G104-H104</f>
        <v>3006</v>
      </c>
      <c r="J104" s="68" t="str">
        <f aca="false">"S"&amp;TEXT(A104,"yyyymm")&amp;"-"&amp;UPPER(LEFT(E104,3))&amp;"-"&amp;UPPER(LEFT(F104,3))</f>
        <v>S202309-LUZ-BEV</v>
      </c>
    </row>
    <row r="105" customFormat="false" ht="15" hidden="false" customHeight="false" outlineLevel="0" collapsed="false">
      <c r="A105" s="101" t="n">
        <v>45199</v>
      </c>
      <c r="B105" s="102" t="n">
        <f aca="false">YEAR(A105)</f>
        <v>2023</v>
      </c>
      <c r="C105" s="102" t="n">
        <f aca="false">MONTH(A105)</f>
        <v>9</v>
      </c>
      <c r="D105" s="68" t="str">
        <f aca="false">"Q"&amp;ROUNDUP(C105/3,0)</f>
        <v>Q3</v>
      </c>
      <c r="E105" s="100" t="s">
        <v>292</v>
      </c>
      <c r="F105" s="100" t="s">
        <v>253</v>
      </c>
      <c r="G105" s="96" t="n">
        <v>4640</v>
      </c>
      <c r="H105" s="96" t="n">
        <v>3407</v>
      </c>
      <c r="I105" s="40" t="n">
        <f aca="false">G105-H105</f>
        <v>1233</v>
      </c>
      <c r="J105" s="68" t="str">
        <f aca="false">"S"&amp;TEXT(A105,"yyyymm")&amp;"-"&amp;UPPER(LEFT(E105,3))&amp;"-"&amp;UPPER(LEFT(F105,3))</f>
        <v>S202309-VIS-BEV</v>
      </c>
    </row>
    <row r="106" customFormat="false" ht="15" hidden="false" customHeight="false" outlineLevel="0" collapsed="false">
      <c r="A106" s="101" t="n">
        <v>45199</v>
      </c>
      <c r="B106" s="102" t="n">
        <f aca="false">YEAR(A106)</f>
        <v>2023</v>
      </c>
      <c r="C106" s="102" t="n">
        <f aca="false">MONTH(A106)</f>
        <v>9</v>
      </c>
      <c r="D106" s="68" t="str">
        <f aca="false">"Q"&amp;ROUNDUP(C106/3,0)</f>
        <v>Q3</v>
      </c>
      <c r="E106" s="100" t="s">
        <v>293</v>
      </c>
      <c r="F106" s="100" t="s">
        <v>253</v>
      </c>
      <c r="G106" s="96" t="n">
        <v>3762</v>
      </c>
      <c r="H106" s="96" t="n">
        <v>2759</v>
      </c>
      <c r="I106" s="40" t="n">
        <f aca="false">G106-H106</f>
        <v>1003</v>
      </c>
      <c r="J106" s="68" t="str">
        <f aca="false">"S"&amp;TEXT(A106,"yyyymm")&amp;"-"&amp;UPPER(LEFT(E106,3))&amp;"-"&amp;UPPER(LEFT(F106,3))</f>
        <v>S202309-MIN-BEV</v>
      </c>
    </row>
    <row r="107" customFormat="false" ht="15" hidden="false" customHeight="false" outlineLevel="0" collapsed="false">
      <c r="A107" s="101" t="n">
        <v>45199</v>
      </c>
      <c r="B107" s="102" t="n">
        <f aca="false">YEAR(A107)</f>
        <v>2023</v>
      </c>
      <c r="C107" s="102" t="n">
        <f aca="false">MONTH(A107)</f>
        <v>9</v>
      </c>
      <c r="D107" s="68" t="str">
        <f aca="false">"Q"&amp;ROUNDUP(C107/3,0)</f>
        <v>Q3</v>
      </c>
      <c r="E107" s="100" t="s">
        <v>291</v>
      </c>
      <c r="F107" s="100" t="s">
        <v>254</v>
      </c>
      <c r="G107" s="96" t="n">
        <v>7349</v>
      </c>
      <c r="H107" s="96" t="n">
        <v>5157</v>
      </c>
      <c r="I107" s="40" t="n">
        <f aca="false">G107-H107</f>
        <v>2192</v>
      </c>
      <c r="J107" s="68" t="str">
        <f aca="false">"S"&amp;TEXT(A107,"yyyymm")&amp;"-"&amp;UPPER(LEFT(E107,3))&amp;"-"&amp;UPPER(LEFT(F107,3))</f>
        <v>S202309-LUZ-HOU</v>
      </c>
    </row>
    <row r="108" customFormat="false" ht="15" hidden="false" customHeight="false" outlineLevel="0" collapsed="false">
      <c r="A108" s="101" t="n">
        <v>45199</v>
      </c>
      <c r="B108" s="102" t="n">
        <f aca="false">YEAR(A108)</f>
        <v>2023</v>
      </c>
      <c r="C108" s="102" t="n">
        <f aca="false">MONTH(A108)</f>
        <v>9</v>
      </c>
      <c r="D108" s="68" t="str">
        <f aca="false">"Q"&amp;ROUNDUP(C108/3,0)</f>
        <v>Q3</v>
      </c>
      <c r="E108" s="100" t="s">
        <v>292</v>
      </c>
      <c r="F108" s="100" t="s">
        <v>254</v>
      </c>
      <c r="G108" s="96" t="n">
        <v>2969</v>
      </c>
      <c r="H108" s="96" t="n">
        <v>2101</v>
      </c>
      <c r="I108" s="40" t="n">
        <f aca="false">G108-H108</f>
        <v>868</v>
      </c>
      <c r="J108" s="68" t="str">
        <f aca="false">"S"&amp;TEXT(A108,"yyyymm")&amp;"-"&amp;UPPER(LEFT(E108,3))&amp;"-"&amp;UPPER(LEFT(F108,3))</f>
        <v>S202309-VIS-HOU</v>
      </c>
    </row>
    <row r="109" customFormat="false" ht="15" hidden="false" customHeight="false" outlineLevel="0" collapsed="false">
      <c r="A109" s="101" t="n">
        <v>45199</v>
      </c>
      <c r="B109" s="102" t="n">
        <f aca="false">YEAR(A109)</f>
        <v>2023</v>
      </c>
      <c r="C109" s="102" t="n">
        <f aca="false">MONTH(A109)</f>
        <v>9</v>
      </c>
      <c r="D109" s="68" t="str">
        <f aca="false">"Q"&amp;ROUNDUP(C109/3,0)</f>
        <v>Q3</v>
      </c>
      <c r="E109" s="100" t="s">
        <v>293</v>
      </c>
      <c r="F109" s="100" t="s">
        <v>254</v>
      </c>
      <c r="G109" s="96" t="n">
        <v>2456</v>
      </c>
      <c r="H109" s="96" t="n">
        <v>1739</v>
      </c>
      <c r="I109" s="40" t="n">
        <f aca="false">G109-H109</f>
        <v>717</v>
      </c>
      <c r="J109" s="68" t="str">
        <f aca="false">"S"&amp;TEXT(A109,"yyyymm")&amp;"-"&amp;UPPER(LEFT(E109,3))&amp;"-"&amp;UPPER(LEFT(F109,3))</f>
        <v>S202309-MIN-HOU</v>
      </c>
    </row>
    <row r="110" customFormat="false" ht="15" hidden="false" customHeight="false" outlineLevel="0" collapsed="false">
      <c r="A110" s="101" t="n">
        <v>45199</v>
      </c>
      <c r="B110" s="102" t="n">
        <f aca="false">YEAR(A110)</f>
        <v>2023</v>
      </c>
      <c r="C110" s="102" t="n">
        <f aca="false">MONTH(A110)</f>
        <v>9</v>
      </c>
      <c r="D110" s="68" t="str">
        <f aca="false">"Q"&amp;ROUNDUP(C110/3,0)</f>
        <v>Q3</v>
      </c>
      <c r="E110" s="100" t="s">
        <v>291</v>
      </c>
      <c r="F110" s="100" t="s">
        <v>255</v>
      </c>
      <c r="G110" s="96" t="n">
        <v>4791</v>
      </c>
      <c r="H110" s="96" t="n">
        <v>3926</v>
      </c>
      <c r="I110" s="40" t="n">
        <f aca="false">G110-H110</f>
        <v>865</v>
      </c>
      <c r="J110" s="68" t="str">
        <f aca="false">"S"&amp;TEXT(A110,"yyyymm")&amp;"-"&amp;UPPER(LEFT(E110,3))&amp;"-"&amp;UPPER(LEFT(F110,3))</f>
        <v>S202309-LUZ-FRE</v>
      </c>
    </row>
    <row r="111" customFormat="false" ht="15" hidden="false" customHeight="false" outlineLevel="0" collapsed="false">
      <c r="A111" s="101" t="n">
        <v>45199</v>
      </c>
      <c r="B111" s="102" t="n">
        <f aca="false">YEAR(A111)</f>
        <v>2023</v>
      </c>
      <c r="C111" s="102" t="n">
        <f aca="false">MONTH(A111)</f>
        <v>9</v>
      </c>
      <c r="D111" s="68" t="str">
        <f aca="false">"Q"&amp;ROUNDUP(C111/3,0)</f>
        <v>Q3</v>
      </c>
      <c r="E111" s="100" t="s">
        <v>292</v>
      </c>
      <c r="F111" s="100" t="s">
        <v>255</v>
      </c>
      <c r="G111" s="96" t="n">
        <v>1975</v>
      </c>
      <c r="H111" s="96" t="n">
        <v>1612</v>
      </c>
      <c r="I111" s="40" t="n">
        <f aca="false">G111-H111</f>
        <v>363</v>
      </c>
      <c r="J111" s="68" t="str">
        <f aca="false">"S"&amp;TEXT(A111,"yyyymm")&amp;"-"&amp;UPPER(LEFT(E111,3))&amp;"-"&amp;UPPER(LEFT(F111,3))</f>
        <v>S202309-VIS-FRE</v>
      </c>
    </row>
    <row r="112" customFormat="false" ht="15" hidden="false" customHeight="false" outlineLevel="0" collapsed="false">
      <c r="A112" s="101" t="n">
        <v>45199</v>
      </c>
      <c r="B112" s="102" t="n">
        <f aca="false">YEAR(A112)</f>
        <v>2023</v>
      </c>
      <c r="C112" s="102" t="n">
        <f aca="false">MONTH(A112)</f>
        <v>9</v>
      </c>
      <c r="D112" s="68" t="str">
        <f aca="false">"Q"&amp;ROUNDUP(C112/3,0)</f>
        <v>Q3</v>
      </c>
      <c r="E112" s="100" t="s">
        <v>293</v>
      </c>
      <c r="F112" s="100" t="s">
        <v>255</v>
      </c>
      <c r="G112" s="96" t="n">
        <v>1586</v>
      </c>
      <c r="H112" s="96" t="n">
        <v>1297</v>
      </c>
      <c r="I112" s="40" t="n">
        <f aca="false">G112-H112</f>
        <v>289</v>
      </c>
      <c r="J112" s="68" t="str">
        <f aca="false">"S"&amp;TEXT(A112,"yyyymm")&amp;"-"&amp;UPPER(LEFT(E112,3))&amp;"-"&amp;UPPER(LEFT(F112,3))</f>
        <v>S202309-MIN-FRE</v>
      </c>
    </row>
    <row r="113" customFormat="false" ht="15" hidden="false" customHeight="false" outlineLevel="0" collapsed="false">
      <c r="A113" s="101" t="n">
        <v>45230</v>
      </c>
      <c r="B113" s="102" t="n">
        <f aca="false">YEAR(A113)</f>
        <v>2023</v>
      </c>
      <c r="C113" s="102" t="n">
        <f aca="false">MONTH(A113)</f>
        <v>10</v>
      </c>
      <c r="D113" s="68" t="str">
        <f aca="false">"Q"&amp;ROUNDUP(C113/3,0)</f>
        <v>Q4</v>
      </c>
      <c r="E113" s="100" t="s">
        <v>291</v>
      </c>
      <c r="F113" s="100" t="s">
        <v>252</v>
      </c>
      <c r="G113" s="96" t="n">
        <v>16846</v>
      </c>
      <c r="H113" s="96" t="n">
        <v>12745</v>
      </c>
      <c r="I113" s="40" t="n">
        <f aca="false">G113-H113</f>
        <v>4101</v>
      </c>
      <c r="J113" s="68" t="str">
        <f aca="false">"S"&amp;TEXT(A113,"yyyymm")&amp;"-"&amp;UPPER(LEFT(E113,3))&amp;"-"&amp;UPPER(LEFT(F113,3))</f>
        <v>S202310-LUZ-PAC</v>
      </c>
    </row>
    <row r="114" customFormat="false" ht="15" hidden="false" customHeight="false" outlineLevel="0" collapsed="false">
      <c r="A114" s="101" t="n">
        <v>45230</v>
      </c>
      <c r="B114" s="102" t="n">
        <f aca="false">YEAR(A114)</f>
        <v>2023</v>
      </c>
      <c r="C114" s="102" t="n">
        <f aca="false">MONTH(A114)</f>
        <v>10</v>
      </c>
      <c r="D114" s="68" t="str">
        <f aca="false">"Q"&amp;ROUNDUP(C114/3,0)</f>
        <v>Q4</v>
      </c>
      <c r="E114" s="100" t="s">
        <v>292</v>
      </c>
      <c r="F114" s="100" t="s">
        <v>252</v>
      </c>
      <c r="G114" s="96" t="n">
        <v>6724</v>
      </c>
      <c r="H114" s="96" t="n">
        <v>5068</v>
      </c>
      <c r="I114" s="40" t="n">
        <f aca="false">G114-H114</f>
        <v>1656</v>
      </c>
      <c r="J114" s="68" t="str">
        <f aca="false">"S"&amp;TEXT(A114,"yyyymm")&amp;"-"&amp;UPPER(LEFT(E114,3))&amp;"-"&amp;UPPER(LEFT(F114,3))</f>
        <v>S202310-VIS-PAC</v>
      </c>
    </row>
    <row r="115" customFormat="false" ht="15" hidden="false" customHeight="false" outlineLevel="0" collapsed="false">
      <c r="A115" s="101" t="n">
        <v>45230</v>
      </c>
      <c r="B115" s="102" t="n">
        <f aca="false">YEAR(A115)</f>
        <v>2023</v>
      </c>
      <c r="C115" s="102" t="n">
        <f aca="false">MONTH(A115)</f>
        <v>10</v>
      </c>
      <c r="D115" s="68" t="str">
        <f aca="false">"Q"&amp;ROUNDUP(C115/3,0)</f>
        <v>Q4</v>
      </c>
      <c r="E115" s="100" t="s">
        <v>293</v>
      </c>
      <c r="F115" s="100" t="s">
        <v>252</v>
      </c>
      <c r="G115" s="96" t="n">
        <v>5294</v>
      </c>
      <c r="H115" s="96" t="n">
        <v>4000</v>
      </c>
      <c r="I115" s="40" t="n">
        <f aca="false">G115-H115</f>
        <v>1294</v>
      </c>
      <c r="J115" s="68" t="str">
        <f aca="false">"S"&amp;TEXT(A115,"yyyymm")&amp;"-"&amp;UPPER(LEFT(E115,3))&amp;"-"&amp;UPPER(LEFT(F115,3))</f>
        <v>S202310-MIN-PAC</v>
      </c>
    </row>
    <row r="116" customFormat="false" ht="15" hidden="false" customHeight="false" outlineLevel="0" collapsed="false">
      <c r="A116" s="101" t="n">
        <v>45230</v>
      </c>
      <c r="B116" s="102" t="n">
        <f aca="false">YEAR(A116)</f>
        <v>2023</v>
      </c>
      <c r="C116" s="102" t="n">
        <f aca="false">MONTH(A116)</f>
        <v>10</v>
      </c>
      <c r="D116" s="68" t="str">
        <f aca="false">"Q"&amp;ROUNDUP(C116/3,0)</f>
        <v>Q4</v>
      </c>
      <c r="E116" s="100" t="s">
        <v>291</v>
      </c>
      <c r="F116" s="100" t="s">
        <v>253</v>
      </c>
      <c r="G116" s="96" t="n">
        <v>11781</v>
      </c>
      <c r="H116" s="96" t="n">
        <v>8663</v>
      </c>
      <c r="I116" s="40" t="n">
        <f aca="false">G116-H116</f>
        <v>3118</v>
      </c>
      <c r="J116" s="68" t="str">
        <f aca="false">"S"&amp;TEXT(A116,"yyyymm")&amp;"-"&amp;UPPER(LEFT(E116,3))&amp;"-"&amp;UPPER(LEFT(F116,3))</f>
        <v>S202310-LUZ-BEV</v>
      </c>
    </row>
    <row r="117" customFormat="false" ht="15" hidden="false" customHeight="false" outlineLevel="0" collapsed="false">
      <c r="A117" s="101" t="n">
        <v>45230</v>
      </c>
      <c r="B117" s="102" t="n">
        <f aca="false">YEAR(A117)</f>
        <v>2023</v>
      </c>
      <c r="C117" s="102" t="n">
        <f aca="false">MONTH(A117)</f>
        <v>10</v>
      </c>
      <c r="D117" s="68" t="str">
        <f aca="false">"Q"&amp;ROUNDUP(C117/3,0)</f>
        <v>Q4</v>
      </c>
      <c r="E117" s="100" t="s">
        <v>292</v>
      </c>
      <c r="F117" s="100" t="s">
        <v>253</v>
      </c>
      <c r="G117" s="96" t="n">
        <v>4543</v>
      </c>
      <c r="H117" s="96" t="n">
        <v>3348</v>
      </c>
      <c r="I117" s="40" t="n">
        <f aca="false">G117-H117</f>
        <v>1195</v>
      </c>
      <c r="J117" s="68" t="str">
        <f aca="false">"S"&amp;TEXT(A117,"yyyymm")&amp;"-"&amp;UPPER(LEFT(E117,3))&amp;"-"&amp;UPPER(LEFT(F117,3))</f>
        <v>S202310-VIS-BEV</v>
      </c>
    </row>
    <row r="118" customFormat="false" ht="15" hidden="false" customHeight="false" outlineLevel="0" collapsed="false">
      <c r="A118" s="101" t="n">
        <v>45230</v>
      </c>
      <c r="B118" s="102" t="n">
        <f aca="false">YEAR(A118)</f>
        <v>2023</v>
      </c>
      <c r="C118" s="102" t="n">
        <f aca="false">MONTH(A118)</f>
        <v>10</v>
      </c>
      <c r="D118" s="68" t="str">
        <f aca="false">"Q"&amp;ROUNDUP(C118/3,0)</f>
        <v>Q4</v>
      </c>
      <c r="E118" s="100" t="s">
        <v>293</v>
      </c>
      <c r="F118" s="100" t="s">
        <v>253</v>
      </c>
      <c r="G118" s="96" t="n">
        <v>3856</v>
      </c>
      <c r="H118" s="96" t="n">
        <v>2836</v>
      </c>
      <c r="I118" s="40" t="n">
        <f aca="false">G118-H118</f>
        <v>1020</v>
      </c>
      <c r="J118" s="68" t="str">
        <f aca="false">"S"&amp;TEXT(A118,"yyyymm")&amp;"-"&amp;UPPER(LEFT(E118,3))&amp;"-"&amp;UPPER(LEFT(F118,3))</f>
        <v>S202310-MIN-BEV</v>
      </c>
    </row>
    <row r="119" customFormat="false" ht="15" hidden="false" customHeight="false" outlineLevel="0" collapsed="false">
      <c r="A119" s="101" t="n">
        <v>45230</v>
      </c>
      <c r="B119" s="102" t="n">
        <f aca="false">YEAR(A119)</f>
        <v>2023</v>
      </c>
      <c r="C119" s="102" t="n">
        <f aca="false">MONTH(A119)</f>
        <v>10</v>
      </c>
      <c r="D119" s="68" t="str">
        <f aca="false">"Q"&amp;ROUNDUP(C119/3,0)</f>
        <v>Q4</v>
      </c>
      <c r="E119" s="100" t="s">
        <v>291</v>
      </c>
      <c r="F119" s="100" t="s">
        <v>254</v>
      </c>
      <c r="G119" s="96" t="n">
        <v>7371</v>
      </c>
      <c r="H119" s="96" t="n">
        <v>5184</v>
      </c>
      <c r="I119" s="40" t="n">
        <f aca="false">G119-H119</f>
        <v>2187</v>
      </c>
      <c r="J119" s="68" t="str">
        <f aca="false">"S"&amp;TEXT(A119,"yyyymm")&amp;"-"&amp;UPPER(LEFT(E119,3))&amp;"-"&amp;UPPER(LEFT(F119,3))</f>
        <v>S202310-LUZ-HOU</v>
      </c>
    </row>
    <row r="120" customFormat="false" ht="15" hidden="false" customHeight="false" outlineLevel="0" collapsed="false">
      <c r="A120" s="101" t="n">
        <v>45230</v>
      </c>
      <c r="B120" s="102" t="n">
        <f aca="false">YEAR(A120)</f>
        <v>2023</v>
      </c>
      <c r="C120" s="102" t="n">
        <f aca="false">MONTH(A120)</f>
        <v>10</v>
      </c>
      <c r="D120" s="68" t="str">
        <f aca="false">"Q"&amp;ROUNDUP(C120/3,0)</f>
        <v>Q4</v>
      </c>
      <c r="E120" s="100" t="s">
        <v>292</v>
      </c>
      <c r="F120" s="100" t="s">
        <v>254</v>
      </c>
      <c r="G120" s="96" t="n">
        <v>2933</v>
      </c>
      <c r="H120" s="96" t="n">
        <v>2069</v>
      </c>
      <c r="I120" s="40" t="n">
        <f aca="false">G120-H120</f>
        <v>864</v>
      </c>
      <c r="J120" s="68" t="str">
        <f aca="false">"S"&amp;TEXT(A120,"yyyymm")&amp;"-"&amp;UPPER(LEFT(E120,3))&amp;"-"&amp;UPPER(LEFT(F120,3))</f>
        <v>S202310-VIS-HOU</v>
      </c>
    </row>
    <row r="121" customFormat="false" ht="15" hidden="false" customHeight="false" outlineLevel="0" collapsed="false">
      <c r="A121" s="101" t="n">
        <v>45230</v>
      </c>
      <c r="B121" s="102" t="n">
        <f aca="false">YEAR(A121)</f>
        <v>2023</v>
      </c>
      <c r="C121" s="102" t="n">
        <f aca="false">MONTH(A121)</f>
        <v>10</v>
      </c>
      <c r="D121" s="68" t="str">
        <f aca="false">"Q"&amp;ROUNDUP(C121/3,0)</f>
        <v>Q4</v>
      </c>
      <c r="E121" s="100" t="s">
        <v>293</v>
      </c>
      <c r="F121" s="100" t="s">
        <v>254</v>
      </c>
      <c r="G121" s="96" t="n">
        <v>2398</v>
      </c>
      <c r="H121" s="96" t="n">
        <v>1686</v>
      </c>
      <c r="I121" s="40" t="n">
        <f aca="false">G121-H121</f>
        <v>712</v>
      </c>
      <c r="J121" s="68" t="str">
        <f aca="false">"S"&amp;TEXT(A121,"yyyymm")&amp;"-"&amp;UPPER(LEFT(E121,3))&amp;"-"&amp;UPPER(LEFT(F121,3))</f>
        <v>S202310-MIN-HOU</v>
      </c>
    </row>
    <row r="122" customFormat="false" ht="15" hidden="false" customHeight="false" outlineLevel="0" collapsed="false">
      <c r="A122" s="101" t="n">
        <v>45230</v>
      </c>
      <c r="B122" s="102" t="n">
        <f aca="false">YEAR(A122)</f>
        <v>2023</v>
      </c>
      <c r="C122" s="102" t="n">
        <f aca="false">MONTH(A122)</f>
        <v>10</v>
      </c>
      <c r="D122" s="68" t="str">
        <f aca="false">"Q"&amp;ROUNDUP(C122/3,0)</f>
        <v>Q4</v>
      </c>
      <c r="E122" s="100" t="s">
        <v>291</v>
      </c>
      <c r="F122" s="100" t="s">
        <v>255</v>
      </c>
      <c r="G122" s="96" t="n">
        <v>5051</v>
      </c>
      <c r="H122" s="96" t="n">
        <v>4100</v>
      </c>
      <c r="I122" s="40" t="n">
        <f aca="false">G122-H122</f>
        <v>951</v>
      </c>
      <c r="J122" s="68" t="str">
        <f aca="false">"S"&amp;TEXT(A122,"yyyymm")&amp;"-"&amp;UPPER(LEFT(E122,3))&amp;"-"&amp;UPPER(LEFT(F122,3))</f>
        <v>S202310-LUZ-FRE</v>
      </c>
    </row>
    <row r="123" customFormat="false" ht="15" hidden="false" customHeight="false" outlineLevel="0" collapsed="false">
      <c r="A123" s="101" t="n">
        <v>45230</v>
      </c>
      <c r="B123" s="102" t="n">
        <f aca="false">YEAR(A123)</f>
        <v>2023</v>
      </c>
      <c r="C123" s="102" t="n">
        <f aca="false">MONTH(A123)</f>
        <v>10</v>
      </c>
      <c r="D123" s="68" t="str">
        <f aca="false">"Q"&amp;ROUNDUP(C123/3,0)</f>
        <v>Q4</v>
      </c>
      <c r="E123" s="100" t="s">
        <v>292</v>
      </c>
      <c r="F123" s="100" t="s">
        <v>255</v>
      </c>
      <c r="G123" s="96" t="n">
        <v>1972</v>
      </c>
      <c r="H123" s="96" t="n">
        <v>1612</v>
      </c>
      <c r="I123" s="40" t="n">
        <f aca="false">G123-H123</f>
        <v>360</v>
      </c>
      <c r="J123" s="68" t="str">
        <f aca="false">"S"&amp;TEXT(A123,"yyyymm")&amp;"-"&amp;UPPER(LEFT(E123,3))&amp;"-"&amp;UPPER(LEFT(F123,3))</f>
        <v>S202310-VIS-FRE</v>
      </c>
    </row>
    <row r="124" customFormat="false" ht="15" hidden="false" customHeight="false" outlineLevel="0" collapsed="false">
      <c r="A124" s="101" t="n">
        <v>45230</v>
      </c>
      <c r="B124" s="102" t="n">
        <f aca="false">YEAR(A124)</f>
        <v>2023</v>
      </c>
      <c r="C124" s="102" t="n">
        <f aca="false">MONTH(A124)</f>
        <v>10</v>
      </c>
      <c r="D124" s="68" t="str">
        <f aca="false">"Q"&amp;ROUNDUP(C124/3,0)</f>
        <v>Q4</v>
      </c>
      <c r="E124" s="100" t="s">
        <v>293</v>
      </c>
      <c r="F124" s="100" t="s">
        <v>255</v>
      </c>
      <c r="G124" s="96" t="n">
        <v>1632</v>
      </c>
      <c r="H124" s="96" t="n">
        <v>1325</v>
      </c>
      <c r="I124" s="40" t="n">
        <f aca="false">G124-H124</f>
        <v>307</v>
      </c>
      <c r="J124" s="68" t="str">
        <f aca="false">"S"&amp;TEXT(A124,"yyyymm")&amp;"-"&amp;UPPER(LEFT(E124,3))&amp;"-"&amp;UPPER(LEFT(F124,3))</f>
        <v>S202310-MIN-FRE</v>
      </c>
    </row>
    <row r="125" customFormat="false" ht="15" hidden="false" customHeight="false" outlineLevel="0" collapsed="false">
      <c r="A125" s="101" t="n">
        <v>45260</v>
      </c>
      <c r="B125" s="102" t="n">
        <f aca="false">YEAR(A125)</f>
        <v>2023</v>
      </c>
      <c r="C125" s="102" t="n">
        <f aca="false">MONTH(A125)</f>
        <v>11</v>
      </c>
      <c r="D125" s="68" t="str">
        <f aca="false">"Q"&amp;ROUNDUP(C125/3,0)</f>
        <v>Q4</v>
      </c>
      <c r="E125" s="100" t="s">
        <v>291</v>
      </c>
      <c r="F125" s="100" t="s">
        <v>252</v>
      </c>
      <c r="G125" s="96" t="n">
        <v>17262</v>
      </c>
      <c r="H125" s="96" t="n">
        <v>13034</v>
      </c>
      <c r="I125" s="40" t="n">
        <f aca="false">G125-H125</f>
        <v>4228</v>
      </c>
      <c r="J125" s="68" t="str">
        <f aca="false">"S"&amp;TEXT(A125,"yyyymm")&amp;"-"&amp;UPPER(LEFT(E125,3))&amp;"-"&amp;UPPER(LEFT(F125,3))</f>
        <v>S202311-LUZ-PAC</v>
      </c>
    </row>
    <row r="126" customFormat="false" ht="15" hidden="false" customHeight="false" outlineLevel="0" collapsed="false">
      <c r="A126" s="101" t="n">
        <v>45260</v>
      </c>
      <c r="B126" s="102" t="n">
        <f aca="false">YEAR(A126)</f>
        <v>2023</v>
      </c>
      <c r="C126" s="102" t="n">
        <f aca="false">MONTH(A126)</f>
        <v>11</v>
      </c>
      <c r="D126" s="68" t="str">
        <f aca="false">"Q"&amp;ROUNDUP(C126/3,0)</f>
        <v>Q4</v>
      </c>
      <c r="E126" s="100" t="s">
        <v>292</v>
      </c>
      <c r="F126" s="100" t="s">
        <v>252</v>
      </c>
      <c r="G126" s="96" t="n">
        <v>6701</v>
      </c>
      <c r="H126" s="96" t="n">
        <v>5080</v>
      </c>
      <c r="I126" s="40" t="n">
        <f aca="false">G126-H126</f>
        <v>1621</v>
      </c>
      <c r="J126" s="68" t="str">
        <f aca="false">"S"&amp;TEXT(A126,"yyyymm")&amp;"-"&amp;UPPER(LEFT(E126,3))&amp;"-"&amp;UPPER(LEFT(F126,3))</f>
        <v>S202311-VIS-PAC</v>
      </c>
    </row>
    <row r="127" customFormat="false" ht="15" hidden="false" customHeight="false" outlineLevel="0" collapsed="false">
      <c r="A127" s="101" t="n">
        <v>45260</v>
      </c>
      <c r="B127" s="102" t="n">
        <f aca="false">YEAR(A127)</f>
        <v>2023</v>
      </c>
      <c r="C127" s="102" t="n">
        <f aca="false">MONTH(A127)</f>
        <v>11</v>
      </c>
      <c r="D127" s="68" t="str">
        <f aca="false">"Q"&amp;ROUNDUP(C127/3,0)</f>
        <v>Q4</v>
      </c>
      <c r="E127" s="100" t="s">
        <v>293</v>
      </c>
      <c r="F127" s="100" t="s">
        <v>252</v>
      </c>
      <c r="G127" s="96" t="n">
        <v>5541</v>
      </c>
      <c r="H127" s="96" t="n">
        <v>4174</v>
      </c>
      <c r="I127" s="40" t="n">
        <f aca="false">G127-H127</f>
        <v>1367</v>
      </c>
      <c r="J127" s="68" t="str">
        <f aca="false">"S"&amp;TEXT(A127,"yyyymm")&amp;"-"&amp;UPPER(LEFT(E127,3))&amp;"-"&amp;UPPER(LEFT(F127,3))</f>
        <v>S202311-MIN-PAC</v>
      </c>
    </row>
    <row r="128" customFormat="false" ht="15" hidden="false" customHeight="false" outlineLevel="0" collapsed="false">
      <c r="A128" s="101" t="n">
        <v>45260</v>
      </c>
      <c r="B128" s="102" t="n">
        <f aca="false">YEAR(A128)</f>
        <v>2023</v>
      </c>
      <c r="C128" s="102" t="n">
        <f aca="false">MONTH(A128)</f>
        <v>11</v>
      </c>
      <c r="D128" s="68" t="str">
        <f aca="false">"Q"&amp;ROUNDUP(C128/3,0)</f>
        <v>Q4</v>
      </c>
      <c r="E128" s="100" t="s">
        <v>291</v>
      </c>
      <c r="F128" s="100" t="s">
        <v>253</v>
      </c>
      <c r="G128" s="96" t="n">
        <v>12002</v>
      </c>
      <c r="H128" s="96" t="n">
        <v>8775</v>
      </c>
      <c r="I128" s="40" t="n">
        <f aca="false">G128-H128</f>
        <v>3227</v>
      </c>
      <c r="J128" s="68" t="str">
        <f aca="false">"S"&amp;TEXT(A128,"yyyymm")&amp;"-"&amp;UPPER(LEFT(E128,3))&amp;"-"&amp;UPPER(LEFT(F128,3))</f>
        <v>S202311-LUZ-BEV</v>
      </c>
    </row>
    <row r="129" customFormat="false" ht="15" hidden="false" customHeight="false" outlineLevel="0" collapsed="false">
      <c r="A129" s="101" t="n">
        <v>45260</v>
      </c>
      <c r="B129" s="102" t="n">
        <f aca="false">YEAR(A129)</f>
        <v>2023</v>
      </c>
      <c r="C129" s="102" t="n">
        <f aca="false">MONTH(A129)</f>
        <v>11</v>
      </c>
      <c r="D129" s="68" t="str">
        <f aca="false">"Q"&amp;ROUNDUP(C129/3,0)</f>
        <v>Q4</v>
      </c>
      <c r="E129" s="100" t="s">
        <v>292</v>
      </c>
      <c r="F129" s="100" t="s">
        <v>253</v>
      </c>
      <c r="G129" s="96" t="n">
        <v>4803</v>
      </c>
      <c r="H129" s="96" t="n">
        <v>3547</v>
      </c>
      <c r="I129" s="40" t="n">
        <f aca="false">G129-H129</f>
        <v>1256</v>
      </c>
      <c r="J129" s="68" t="str">
        <f aca="false">"S"&amp;TEXT(A129,"yyyymm")&amp;"-"&amp;UPPER(LEFT(E129,3))&amp;"-"&amp;UPPER(LEFT(F129,3))</f>
        <v>S202311-VIS-BEV</v>
      </c>
    </row>
    <row r="130" customFormat="false" ht="15" hidden="false" customHeight="false" outlineLevel="0" collapsed="false">
      <c r="A130" s="101" t="n">
        <v>45260</v>
      </c>
      <c r="B130" s="102" t="n">
        <f aca="false">YEAR(A130)</f>
        <v>2023</v>
      </c>
      <c r="C130" s="102" t="n">
        <f aca="false">MONTH(A130)</f>
        <v>11</v>
      </c>
      <c r="D130" s="68" t="str">
        <f aca="false">"Q"&amp;ROUNDUP(C130/3,0)</f>
        <v>Q4</v>
      </c>
      <c r="E130" s="100" t="s">
        <v>293</v>
      </c>
      <c r="F130" s="100" t="s">
        <v>253</v>
      </c>
      <c r="G130" s="96" t="n">
        <v>4055</v>
      </c>
      <c r="H130" s="96" t="n">
        <v>2977</v>
      </c>
      <c r="I130" s="40" t="n">
        <f aca="false">G130-H130</f>
        <v>1078</v>
      </c>
      <c r="J130" s="68" t="str">
        <f aca="false">"S"&amp;TEXT(A130,"yyyymm")&amp;"-"&amp;UPPER(LEFT(E130,3))&amp;"-"&amp;UPPER(LEFT(F130,3))</f>
        <v>S202311-MIN-BEV</v>
      </c>
    </row>
    <row r="131" customFormat="false" ht="15" hidden="false" customHeight="false" outlineLevel="0" collapsed="false">
      <c r="A131" s="101" t="n">
        <v>45260</v>
      </c>
      <c r="B131" s="102" t="n">
        <f aca="false">YEAR(A131)</f>
        <v>2023</v>
      </c>
      <c r="C131" s="102" t="n">
        <f aca="false">MONTH(A131)</f>
        <v>11</v>
      </c>
      <c r="D131" s="68" t="str">
        <f aca="false">"Q"&amp;ROUNDUP(C131/3,0)</f>
        <v>Q4</v>
      </c>
      <c r="E131" s="100" t="s">
        <v>291</v>
      </c>
      <c r="F131" s="100" t="s">
        <v>254</v>
      </c>
      <c r="G131" s="96" t="n">
        <v>7559</v>
      </c>
      <c r="H131" s="96" t="n">
        <v>5303</v>
      </c>
      <c r="I131" s="40" t="n">
        <f aca="false">G131-H131</f>
        <v>2256</v>
      </c>
      <c r="J131" s="68" t="str">
        <f aca="false">"S"&amp;TEXT(A131,"yyyymm")&amp;"-"&amp;UPPER(LEFT(E131,3))&amp;"-"&amp;UPPER(LEFT(F131,3))</f>
        <v>S202311-LUZ-HOU</v>
      </c>
    </row>
    <row r="132" customFormat="false" ht="15" hidden="false" customHeight="false" outlineLevel="0" collapsed="false">
      <c r="A132" s="101" t="n">
        <v>45260</v>
      </c>
      <c r="B132" s="102" t="n">
        <f aca="false">YEAR(A132)</f>
        <v>2023</v>
      </c>
      <c r="C132" s="102" t="n">
        <f aca="false">MONTH(A132)</f>
        <v>11</v>
      </c>
      <c r="D132" s="68" t="str">
        <f aca="false">"Q"&amp;ROUNDUP(C132/3,0)</f>
        <v>Q4</v>
      </c>
      <c r="E132" s="100" t="s">
        <v>292</v>
      </c>
      <c r="F132" s="100" t="s">
        <v>254</v>
      </c>
      <c r="G132" s="96" t="n">
        <v>2999</v>
      </c>
      <c r="H132" s="96" t="n">
        <v>2105</v>
      </c>
      <c r="I132" s="40" t="n">
        <f aca="false">G132-H132</f>
        <v>894</v>
      </c>
      <c r="J132" s="68" t="str">
        <f aca="false">"S"&amp;TEXT(A132,"yyyymm")&amp;"-"&amp;UPPER(LEFT(E132,3))&amp;"-"&amp;UPPER(LEFT(F132,3))</f>
        <v>S202311-VIS-HOU</v>
      </c>
    </row>
    <row r="133" customFormat="false" ht="15" hidden="false" customHeight="false" outlineLevel="0" collapsed="false">
      <c r="A133" s="101" t="n">
        <v>45260</v>
      </c>
      <c r="B133" s="102" t="n">
        <f aca="false">YEAR(A133)</f>
        <v>2023</v>
      </c>
      <c r="C133" s="102" t="n">
        <f aca="false">MONTH(A133)</f>
        <v>11</v>
      </c>
      <c r="D133" s="68" t="str">
        <f aca="false">"Q"&amp;ROUNDUP(C133/3,0)</f>
        <v>Q4</v>
      </c>
      <c r="E133" s="100" t="s">
        <v>293</v>
      </c>
      <c r="F133" s="100" t="s">
        <v>254</v>
      </c>
      <c r="G133" s="96" t="n">
        <v>2579</v>
      </c>
      <c r="H133" s="96" t="n">
        <v>1820</v>
      </c>
      <c r="I133" s="40" t="n">
        <f aca="false">G133-H133</f>
        <v>759</v>
      </c>
      <c r="J133" s="68" t="str">
        <f aca="false">"S"&amp;TEXT(A133,"yyyymm")&amp;"-"&amp;UPPER(LEFT(E133,3))&amp;"-"&amp;UPPER(LEFT(F133,3))</f>
        <v>S202311-MIN-HOU</v>
      </c>
    </row>
    <row r="134" customFormat="false" ht="15" hidden="false" customHeight="false" outlineLevel="0" collapsed="false">
      <c r="A134" s="101" t="n">
        <v>45260</v>
      </c>
      <c r="B134" s="102" t="n">
        <f aca="false">YEAR(A134)</f>
        <v>2023</v>
      </c>
      <c r="C134" s="102" t="n">
        <f aca="false">MONTH(A134)</f>
        <v>11</v>
      </c>
      <c r="D134" s="68" t="str">
        <f aca="false">"Q"&amp;ROUNDUP(C134/3,0)</f>
        <v>Q4</v>
      </c>
      <c r="E134" s="100" t="s">
        <v>291</v>
      </c>
      <c r="F134" s="100" t="s">
        <v>255</v>
      </c>
      <c r="G134" s="96" t="n">
        <v>5144</v>
      </c>
      <c r="H134" s="96" t="n">
        <v>4185</v>
      </c>
      <c r="I134" s="40" t="n">
        <f aca="false">G134-H134</f>
        <v>959</v>
      </c>
      <c r="J134" s="68" t="str">
        <f aca="false">"S"&amp;TEXT(A134,"yyyymm")&amp;"-"&amp;UPPER(LEFT(E134,3))&amp;"-"&amp;UPPER(LEFT(F134,3))</f>
        <v>S202311-LUZ-FRE</v>
      </c>
    </row>
    <row r="135" customFormat="false" ht="15" hidden="false" customHeight="false" outlineLevel="0" collapsed="false">
      <c r="A135" s="101" t="n">
        <v>45260</v>
      </c>
      <c r="B135" s="102" t="n">
        <f aca="false">YEAR(A135)</f>
        <v>2023</v>
      </c>
      <c r="C135" s="102" t="n">
        <f aca="false">MONTH(A135)</f>
        <v>11</v>
      </c>
      <c r="D135" s="68" t="str">
        <f aca="false">"Q"&amp;ROUNDUP(C135/3,0)</f>
        <v>Q4</v>
      </c>
      <c r="E135" s="100" t="s">
        <v>292</v>
      </c>
      <c r="F135" s="100" t="s">
        <v>255</v>
      </c>
      <c r="G135" s="96" t="n">
        <v>2021</v>
      </c>
      <c r="H135" s="96" t="n">
        <v>1649</v>
      </c>
      <c r="I135" s="40" t="n">
        <f aca="false">G135-H135</f>
        <v>372</v>
      </c>
      <c r="J135" s="68" t="str">
        <f aca="false">"S"&amp;TEXT(A135,"yyyymm")&amp;"-"&amp;UPPER(LEFT(E135,3))&amp;"-"&amp;UPPER(LEFT(F135,3))</f>
        <v>S202311-VIS-FRE</v>
      </c>
    </row>
    <row r="136" customFormat="false" ht="15" hidden="false" customHeight="false" outlineLevel="0" collapsed="false">
      <c r="A136" s="101" t="n">
        <v>45260</v>
      </c>
      <c r="B136" s="102" t="n">
        <f aca="false">YEAR(A136)</f>
        <v>2023</v>
      </c>
      <c r="C136" s="102" t="n">
        <f aca="false">MONTH(A136)</f>
        <v>11</v>
      </c>
      <c r="D136" s="68" t="str">
        <f aca="false">"Q"&amp;ROUNDUP(C136/3,0)</f>
        <v>Q4</v>
      </c>
      <c r="E136" s="100" t="s">
        <v>293</v>
      </c>
      <c r="F136" s="100" t="s">
        <v>255</v>
      </c>
      <c r="G136" s="96" t="n">
        <v>1658</v>
      </c>
      <c r="H136" s="96" t="n">
        <v>1353</v>
      </c>
      <c r="I136" s="40" t="n">
        <f aca="false">G136-H136</f>
        <v>305</v>
      </c>
      <c r="J136" s="68" t="str">
        <f aca="false">"S"&amp;TEXT(A136,"yyyymm")&amp;"-"&amp;UPPER(LEFT(E136,3))&amp;"-"&amp;UPPER(LEFT(F136,3))</f>
        <v>S202311-MIN-FRE</v>
      </c>
    </row>
    <row r="137" customFormat="false" ht="15" hidden="false" customHeight="false" outlineLevel="0" collapsed="false">
      <c r="A137" s="101" t="n">
        <v>45291</v>
      </c>
      <c r="B137" s="102" t="n">
        <f aca="false">YEAR(A137)</f>
        <v>2023</v>
      </c>
      <c r="C137" s="102" t="n">
        <f aca="false">MONTH(A137)</f>
        <v>12</v>
      </c>
      <c r="D137" s="68" t="str">
        <f aca="false">"Q"&amp;ROUNDUP(C137/3,0)</f>
        <v>Q4</v>
      </c>
      <c r="E137" s="100" t="s">
        <v>291</v>
      </c>
      <c r="F137" s="100" t="s">
        <v>252</v>
      </c>
      <c r="G137" s="96" t="n">
        <v>19338</v>
      </c>
      <c r="H137" s="96" t="n">
        <v>14568</v>
      </c>
      <c r="I137" s="40" t="n">
        <f aca="false">G137-H137</f>
        <v>4770</v>
      </c>
      <c r="J137" s="68" t="str">
        <f aca="false">"S"&amp;TEXT(A137,"yyyymm")&amp;"-"&amp;UPPER(LEFT(E137,3))&amp;"-"&amp;UPPER(LEFT(F137,3))</f>
        <v>S202312-LUZ-PAC</v>
      </c>
    </row>
    <row r="138" customFormat="false" ht="15" hidden="false" customHeight="false" outlineLevel="0" collapsed="false">
      <c r="A138" s="101" t="n">
        <v>45291</v>
      </c>
      <c r="B138" s="102" t="n">
        <f aca="false">YEAR(A138)</f>
        <v>2023</v>
      </c>
      <c r="C138" s="102" t="n">
        <f aca="false">MONTH(A138)</f>
        <v>12</v>
      </c>
      <c r="D138" s="68" t="str">
        <f aca="false">"Q"&amp;ROUNDUP(C138/3,0)</f>
        <v>Q4</v>
      </c>
      <c r="E138" s="100" t="s">
        <v>292</v>
      </c>
      <c r="F138" s="100" t="s">
        <v>252</v>
      </c>
      <c r="G138" s="96" t="n">
        <v>7350</v>
      </c>
      <c r="H138" s="96" t="n">
        <v>5547</v>
      </c>
      <c r="I138" s="40" t="n">
        <f aca="false">G138-H138</f>
        <v>1803</v>
      </c>
      <c r="J138" s="68" t="str">
        <f aca="false">"S"&amp;TEXT(A138,"yyyymm")&amp;"-"&amp;UPPER(LEFT(E138,3))&amp;"-"&amp;UPPER(LEFT(F138,3))</f>
        <v>S202312-VIS-PAC</v>
      </c>
    </row>
    <row r="139" customFormat="false" ht="15" hidden="false" customHeight="false" outlineLevel="0" collapsed="false">
      <c r="A139" s="101" t="n">
        <v>45291</v>
      </c>
      <c r="B139" s="102" t="n">
        <f aca="false">YEAR(A139)</f>
        <v>2023</v>
      </c>
      <c r="C139" s="102" t="n">
        <f aca="false">MONTH(A139)</f>
        <v>12</v>
      </c>
      <c r="D139" s="68" t="str">
        <f aca="false">"Q"&amp;ROUNDUP(C139/3,0)</f>
        <v>Q4</v>
      </c>
      <c r="E139" s="100" t="s">
        <v>293</v>
      </c>
      <c r="F139" s="100" t="s">
        <v>252</v>
      </c>
      <c r="G139" s="96" t="n">
        <v>6355</v>
      </c>
      <c r="H139" s="96" t="n">
        <v>4820</v>
      </c>
      <c r="I139" s="40" t="n">
        <f aca="false">G139-H139</f>
        <v>1535</v>
      </c>
      <c r="J139" s="68" t="str">
        <f aca="false">"S"&amp;TEXT(A139,"yyyymm")&amp;"-"&amp;UPPER(LEFT(E139,3))&amp;"-"&amp;UPPER(LEFT(F139,3))</f>
        <v>S202312-MIN-PAC</v>
      </c>
    </row>
    <row r="140" customFormat="false" ht="15" hidden="false" customHeight="false" outlineLevel="0" collapsed="false">
      <c r="A140" s="101" t="n">
        <v>45291</v>
      </c>
      <c r="B140" s="102" t="n">
        <f aca="false">YEAR(A140)</f>
        <v>2023</v>
      </c>
      <c r="C140" s="102" t="n">
        <f aca="false">MONTH(A140)</f>
        <v>12</v>
      </c>
      <c r="D140" s="68" t="str">
        <f aca="false">"Q"&amp;ROUNDUP(C140/3,0)</f>
        <v>Q4</v>
      </c>
      <c r="E140" s="100" t="s">
        <v>291</v>
      </c>
      <c r="F140" s="100" t="s">
        <v>253</v>
      </c>
      <c r="G140" s="96" t="n">
        <v>13556</v>
      </c>
      <c r="H140" s="96" t="n">
        <v>10007</v>
      </c>
      <c r="I140" s="40" t="n">
        <f aca="false">G140-H140</f>
        <v>3549</v>
      </c>
      <c r="J140" s="68" t="str">
        <f aca="false">"S"&amp;TEXT(A140,"yyyymm")&amp;"-"&amp;UPPER(LEFT(E140,3))&amp;"-"&amp;UPPER(LEFT(F140,3))</f>
        <v>S202312-LUZ-BEV</v>
      </c>
    </row>
    <row r="141" customFormat="false" ht="15" hidden="false" customHeight="false" outlineLevel="0" collapsed="false">
      <c r="A141" s="101" t="n">
        <v>45291</v>
      </c>
      <c r="B141" s="102" t="n">
        <f aca="false">YEAR(A141)</f>
        <v>2023</v>
      </c>
      <c r="C141" s="102" t="n">
        <f aca="false">MONTH(A141)</f>
        <v>12</v>
      </c>
      <c r="D141" s="68" t="str">
        <f aca="false">"Q"&amp;ROUNDUP(C141/3,0)</f>
        <v>Q4</v>
      </c>
      <c r="E141" s="100" t="s">
        <v>292</v>
      </c>
      <c r="F141" s="100" t="s">
        <v>253</v>
      </c>
      <c r="G141" s="96" t="n">
        <v>5374</v>
      </c>
      <c r="H141" s="96" t="n">
        <v>3970</v>
      </c>
      <c r="I141" s="40" t="n">
        <f aca="false">G141-H141</f>
        <v>1404</v>
      </c>
      <c r="J141" s="68" t="str">
        <f aca="false">"S"&amp;TEXT(A141,"yyyymm")&amp;"-"&amp;UPPER(LEFT(E141,3))&amp;"-"&amp;UPPER(LEFT(F141,3))</f>
        <v>S202312-VIS-BEV</v>
      </c>
    </row>
    <row r="142" customFormat="false" ht="15" hidden="false" customHeight="false" outlineLevel="0" collapsed="false">
      <c r="A142" s="101" t="n">
        <v>45291</v>
      </c>
      <c r="B142" s="102" t="n">
        <f aca="false">YEAR(A142)</f>
        <v>2023</v>
      </c>
      <c r="C142" s="102" t="n">
        <f aca="false">MONTH(A142)</f>
        <v>12</v>
      </c>
      <c r="D142" s="68" t="str">
        <f aca="false">"Q"&amp;ROUNDUP(C142/3,0)</f>
        <v>Q4</v>
      </c>
      <c r="E142" s="100" t="s">
        <v>293</v>
      </c>
      <c r="F142" s="100" t="s">
        <v>253</v>
      </c>
      <c r="G142" s="96" t="n">
        <v>4362</v>
      </c>
      <c r="H142" s="96" t="n">
        <v>3223</v>
      </c>
      <c r="I142" s="40" t="n">
        <f aca="false">G142-H142</f>
        <v>1139</v>
      </c>
      <c r="J142" s="68" t="str">
        <f aca="false">"S"&amp;TEXT(A142,"yyyymm")&amp;"-"&amp;UPPER(LEFT(E142,3))&amp;"-"&amp;UPPER(LEFT(F142,3))</f>
        <v>S202312-MIN-BEV</v>
      </c>
    </row>
    <row r="143" customFormat="false" ht="15" hidden="false" customHeight="false" outlineLevel="0" collapsed="false">
      <c r="A143" s="101" t="n">
        <v>45291</v>
      </c>
      <c r="B143" s="102" t="n">
        <f aca="false">YEAR(A143)</f>
        <v>2023</v>
      </c>
      <c r="C143" s="102" t="n">
        <f aca="false">MONTH(A143)</f>
        <v>12</v>
      </c>
      <c r="D143" s="68" t="str">
        <f aca="false">"Q"&amp;ROUNDUP(C143/3,0)</f>
        <v>Q4</v>
      </c>
      <c r="E143" s="100" t="s">
        <v>291</v>
      </c>
      <c r="F143" s="100" t="s">
        <v>254</v>
      </c>
      <c r="G143" s="96" t="n">
        <v>8498</v>
      </c>
      <c r="H143" s="96" t="n">
        <v>6008</v>
      </c>
      <c r="I143" s="40" t="n">
        <f aca="false">G143-H143</f>
        <v>2490</v>
      </c>
      <c r="J143" s="68" t="str">
        <f aca="false">"S"&amp;TEXT(A143,"yyyymm")&amp;"-"&amp;UPPER(LEFT(E143,3))&amp;"-"&amp;UPPER(LEFT(F143,3))</f>
        <v>S202312-LUZ-HOU</v>
      </c>
    </row>
    <row r="144" customFormat="false" ht="15" hidden="false" customHeight="false" outlineLevel="0" collapsed="false">
      <c r="A144" s="101" t="n">
        <v>45291</v>
      </c>
      <c r="B144" s="102" t="n">
        <f aca="false">YEAR(A144)</f>
        <v>2023</v>
      </c>
      <c r="C144" s="102" t="n">
        <f aca="false">MONTH(A144)</f>
        <v>12</v>
      </c>
      <c r="D144" s="68" t="str">
        <f aca="false">"Q"&amp;ROUNDUP(C144/3,0)</f>
        <v>Q4</v>
      </c>
      <c r="E144" s="100" t="s">
        <v>292</v>
      </c>
      <c r="F144" s="100" t="s">
        <v>254</v>
      </c>
      <c r="G144" s="96" t="n">
        <v>3386</v>
      </c>
      <c r="H144" s="96" t="n">
        <v>2373</v>
      </c>
      <c r="I144" s="40" t="n">
        <f aca="false">G144-H144</f>
        <v>1013</v>
      </c>
      <c r="J144" s="68" t="str">
        <f aca="false">"S"&amp;TEXT(A144,"yyyymm")&amp;"-"&amp;UPPER(LEFT(E144,3))&amp;"-"&amp;UPPER(LEFT(F144,3))</f>
        <v>S202312-VIS-HOU</v>
      </c>
    </row>
    <row r="145" customFormat="false" ht="15" hidden="false" customHeight="false" outlineLevel="0" collapsed="false">
      <c r="A145" s="101" t="n">
        <v>45291</v>
      </c>
      <c r="B145" s="102" t="n">
        <f aca="false">YEAR(A145)</f>
        <v>2023</v>
      </c>
      <c r="C145" s="102" t="n">
        <f aca="false">MONTH(A145)</f>
        <v>12</v>
      </c>
      <c r="D145" s="68" t="str">
        <f aca="false">"Q"&amp;ROUNDUP(C145/3,0)</f>
        <v>Q4</v>
      </c>
      <c r="E145" s="100" t="s">
        <v>293</v>
      </c>
      <c r="F145" s="100" t="s">
        <v>254</v>
      </c>
      <c r="G145" s="96" t="n">
        <v>2841</v>
      </c>
      <c r="H145" s="96" t="n">
        <v>1998</v>
      </c>
      <c r="I145" s="40" t="n">
        <f aca="false">G145-H145</f>
        <v>843</v>
      </c>
      <c r="J145" s="68" t="str">
        <f aca="false">"S"&amp;TEXT(A145,"yyyymm")&amp;"-"&amp;UPPER(LEFT(E145,3))&amp;"-"&amp;UPPER(LEFT(F145,3))</f>
        <v>S202312-MIN-HOU</v>
      </c>
    </row>
    <row r="146" customFormat="false" ht="15" hidden="false" customHeight="false" outlineLevel="0" collapsed="false">
      <c r="A146" s="101" t="n">
        <v>45291</v>
      </c>
      <c r="B146" s="102" t="n">
        <f aca="false">YEAR(A146)</f>
        <v>2023</v>
      </c>
      <c r="C146" s="102" t="n">
        <f aca="false">MONTH(A146)</f>
        <v>12</v>
      </c>
      <c r="D146" s="68" t="str">
        <f aca="false">"Q"&amp;ROUNDUP(C146/3,0)</f>
        <v>Q4</v>
      </c>
      <c r="E146" s="100" t="s">
        <v>291</v>
      </c>
      <c r="F146" s="100" t="s">
        <v>255</v>
      </c>
      <c r="G146" s="96" t="n">
        <v>5422</v>
      </c>
      <c r="H146" s="96" t="n">
        <v>4435</v>
      </c>
      <c r="I146" s="40" t="n">
        <f aca="false">G146-H146</f>
        <v>987</v>
      </c>
      <c r="J146" s="68" t="str">
        <f aca="false">"S"&amp;TEXT(A146,"yyyymm")&amp;"-"&amp;UPPER(LEFT(E146,3))&amp;"-"&amp;UPPER(LEFT(F146,3))</f>
        <v>S202312-LUZ-FRE</v>
      </c>
    </row>
    <row r="147" customFormat="false" ht="15" hidden="false" customHeight="false" outlineLevel="0" collapsed="false">
      <c r="A147" s="101" t="n">
        <v>45291</v>
      </c>
      <c r="B147" s="102" t="n">
        <f aca="false">YEAR(A147)</f>
        <v>2023</v>
      </c>
      <c r="C147" s="102" t="n">
        <f aca="false">MONTH(A147)</f>
        <v>12</v>
      </c>
      <c r="D147" s="68" t="str">
        <f aca="false">"Q"&amp;ROUNDUP(C147/3,0)</f>
        <v>Q4</v>
      </c>
      <c r="E147" s="100" t="s">
        <v>292</v>
      </c>
      <c r="F147" s="100" t="s">
        <v>255</v>
      </c>
      <c r="G147" s="96" t="n">
        <v>2045</v>
      </c>
      <c r="H147" s="96" t="n">
        <v>1672</v>
      </c>
      <c r="I147" s="40" t="n">
        <f aca="false">G147-H147</f>
        <v>373</v>
      </c>
      <c r="J147" s="68" t="str">
        <f aca="false">"S"&amp;TEXT(A147,"yyyymm")&amp;"-"&amp;UPPER(LEFT(E147,3))&amp;"-"&amp;UPPER(LEFT(F147,3))</f>
        <v>S202312-VIS-FRE</v>
      </c>
    </row>
    <row r="148" customFormat="false" ht="15" hidden="false" customHeight="false" outlineLevel="0" collapsed="false">
      <c r="A148" s="101" t="n">
        <v>45291</v>
      </c>
      <c r="B148" s="102" t="n">
        <f aca="false">YEAR(A148)</f>
        <v>2023</v>
      </c>
      <c r="C148" s="102" t="n">
        <f aca="false">MONTH(A148)</f>
        <v>12</v>
      </c>
      <c r="D148" s="68" t="str">
        <f aca="false">"Q"&amp;ROUNDUP(C148/3,0)</f>
        <v>Q4</v>
      </c>
      <c r="E148" s="100" t="s">
        <v>293</v>
      </c>
      <c r="F148" s="100" t="s">
        <v>255</v>
      </c>
      <c r="G148" s="96" t="n">
        <v>1710</v>
      </c>
      <c r="H148" s="96" t="n">
        <v>1400</v>
      </c>
      <c r="I148" s="40" t="n">
        <f aca="false">G148-H148</f>
        <v>310</v>
      </c>
      <c r="J148" s="68" t="str">
        <f aca="false">"S"&amp;TEXT(A148,"yyyymm")&amp;"-"&amp;UPPER(LEFT(E148,3))&amp;"-"&amp;UPPER(LEFT(F148,3))</f>
        <v>S202312-MIN-FRE</v>
      </c>
    </row>
    <row r="149" customFormat="false" ht="15" hidden="false" customHeight="false" outlineLevel="0" collapsed="false">
      <c r="A149" s="101" t="n">
        <v>45322</v>
      </c>
      <c r="B149" s="102" t="n">
        <f aca="false">YEAR(A149)</f>
        <v>2024</v>
      </c>
      <c r="C149" s="102" t="n">
        <f aca="false">MONTH(A149)</f>
        <v>1</v>
      </c>
      <c r="D149" s="68" t="str">
        <f aca="false">"Q"&amp;ROUNDUP(C149/3,0)</f>
        <v>Q1</v>
      </c>
      <c r="E149" s="100" t="s">
        <v>291</v>
      </c>
      <c r="F149" s="100" t="s">
        <v>252</v>
      </c>
      <c r="G149" s="96" t="n">
        <v>15760</v>
      </c>
      <c r="H149" s="96" t="n">
        <v>11829</v>
      </c>
      <c r="I149" s="40" t="n">
        <f aca="false">G149-H149</f>
        <v>3931</v>
      </c>
      <c r="J149" s="68" t="str">
        <f aca="false">"S"&amp;TEXT(A149,"yyyymm")&amp;"-"&amp;UPPER(LEFT(E149,3))&amp;"-"&amp;UPPER(LEFT(F149,3))</f>
        <v>S202401-LUZ-PAC</v>
      </c>
    </row>
    <row r="150" customFormat="false" ht="15" hidden="false" customHeight="false" outlineLevel="0" collapsed="false">
      <c r="A150" s="101" t="n">
        <v>45322</v>
      </c>
      <c r="B150" s="102" t="n">
        <f aca="false">YEAR(A150)</f>
        <v>2024</v>
      </c>
      <c r="C150" s="102" t="n">
        <f aca="false">MONTH(A150)</f>
        <v>1</v>
      </c>
      <c r="D150" s="68" t="str">
        <f aca="false">"Q"&amp;ROUNDUP(C150/3,0)</f>
        <v>Q1</v>
      </c>
      <c r="E150" s="100" t="s">
        <v>292</v>
      </c>
      <c r="F150" s="100" t="s">
        <v>252</v>
      </c>
      <c r="G150" s="96" t="n">
        <v>6311</v>
      </c>
      <c r="H150" s="96" t="n">
        <v>4758</v>
      </c>
      <c r="I150" s="40" t="n">
        <f aca="false">G150-H150</f>
        <v>1553</v>
      </c>
      <c r="J150" s="68" t="str">
        <f aca="false">"S"&amp;TEXT(A150,"yyyymm")&amp;"-"&amp;UPPER(LEFT(E150,3))&amp;"-"&amp;UPPER(LEFT(F150,3))</f>
        <v>S202401-VIS-PAC</v>
      </c>
    </row>
    <row r="151" customFormat="false" ht="15" hidden="false" customHeight="false" outlineLevel="0" collapsed="false">
      <c r="A151" s="101" t="n">
        <v>45322</v>
      </c>
      <c r="B151" s="102" t="n">
        <f aca="false">YEAR(A151)</f>
        <v>2024</v>
      </c>
      <c r="C151" s="102" t="n">
        <f aca="false">MONTH(A151)</f>
        <v>1</v>
      </c>
      <c r="D151" s="68" t="str">
        <f aca="false">"Q"&amp;ROUNDUP(C151/3,0)</f>
        <v>Q1</v>
      </c>
      <c r="E151" s="100" t="s">
        <v>293</v>
      </c>
      <c r="F151" s="100" t="s">
        <v>252</v>
      </c>
      <c r="G151" s="96" t="n">
        <v>5207</v>
      </c>
      <c r="H151" s="96" t="n">
        <v>3921</v>
      </c>
      <c r="I151" s="40" t="n">
        <f aca="false">G151-H151</f>
        <v>1286</v>
      </c>
      <c r="J151" s="68" t="str">
        <f aca="false">"S"&amp;TEXT(A151,"yyyymm")&amp;"-"&amp;UPPER(LEFT(E151,3))&amp;"-"&amp;UPPER(LEFT(F151,3))</f>
        <v>S202401-MIN-PAC</v>
      </c>
    </row>
    <row r="152" customFormat="false" ht="15" hidden="false" customHeight="false" outlineLevel="0" collapsed="false">
      <c r="A152" s="101" t="n">
        <v>45322</v>
      </c>
      <c r="B152" s="102" t="n">
        <f aca="false">YEAR(A152)</f>
        <v>2024</v>
      </c>
      <c r="C152" s="102" t="n">
        <f aca="false">MONTH(A152)</f>
        <v>1</v>
      </c>
      <c r="D152" s="68" t="str">
        <f aca="false">"Q"&amp;ROUNDUP(C152/3,0)</f>
        <v>Q1</v>
      </c>
      <c r="E152" s="100" t="s">
        <v>291</v>
      </c>
      <c r="F152" s="100" t="s">
        <v>253</v>
      </c>
      <c r="G152" s="96" t="n">
        <v>11171</v>
      </c>
      <c r="H152" s="96" t="n">
        <v>8152</v>
      </c>
      <c r="I152" s="40" t="n">
        <f aca="false">G152-H152</f>
        <v>3019</v>
      </c>
      <c r="J152" s="68" t="str">
        <f aca="false">"S"&amp;TEXT(A152,"yyyymm")&amp;"-"&amp;UPPER(LEFT(E152,3))&amp;"-"&amp;UPPER(LEFT(F152,3))</f>
        <v>S202401-LUZ-BEV</v>
      </c>
    </row>
    <row r="153" customFormat="false" ht="15" hidden="false" customHeight="false" outlineLevel="0" collapsed="false">
      <c r="A153" s="101" t="n">
        <v>45322</v>
      </c>
      <c r="B153" s="102" t="n">
        <f aca="false">YEAR(A153)</f>
        <v>2024</v>
      </c>
      <c r="C153" s="102" t="n">
        <f aca="false">MONTH(A153)</f>
        <v>1</v>
      </c>
      <c r="D153" s="68" t="str">
        <f aca="false">"Q"&amp;ROUNDUP(C153/3,0)</f>
        <v>Q1</v>
      </c>
      <c r="E153" s="100" t="s">
        <v>292</v>
      </c>
      <c r="F153" s="100" t="s">
        <v>253</v>
      </c>
      <c r="G153" s="96" t="n">
        <v>4533</v>
      </c>
      <c r="H153" s="96" t="n">
        <v>3329</v>
      </c>
      <c r="I153" s="40" t="n">
        <f aca="false">G153-H153</f>
        <v>1204</v>
      </c>
      <c r="J153" s="68" t="str">
        <f aca="false">"S"&amp;TEXT(A153,"yyyymm")&amp;"-"&amp;UPPER(LEFT(E153,3))&amp;"-"&amp;UPPER(LEFT(F153,3))</f>
        <v>S202401-VIS-BEV</v>
      </c>
    </row>
    <row r="154" customFormat="false" ht="15" hidden="false" customHeight="false" outlineLevel="0" collapsed="false">
      <c r="A154" s="101" t="n">
        <v>45322</v>
      </c>
      <c r="B154" s="102" t="n">
        <f aca="false">YEAR(A154)</f>
        <v>2024</v>
      </c>
      <c r="C154" s="102" t="n">
        <f aca="false">MONTH(A154)</f>
        <v>1</v>
      </c>
      <c r="D154" s="68" t="str">
        <f aca="false">"Q"&amp;ROUNDUP(C154/3,0)</f>
        <v>Q1</v>
      </c>
      <c r="E154" s="100" t="s">
        <v>293</v>
      </c>
      <c r="F154" s="100" t="s">
        <v>253</v>
      </c>
      <c r="G154" s="96" t="n">
        <v>3914</v>
      </c>
      <c r="H154" s="96" t="n">
        <v>2853</v>
      </c>
      <c r="I154" s="40" t="n">
        <f aca="false">G154-H154</f>
        <v>1061</v>
      </c>
      <c r="J154" s="68" t="str">
        <f aca="false">"S"&amp;TEXT(A154,"yyyymm")&amp;"-"&amp;UPPER(LEFT(E154,3))&amp;"-"&amp;UPPER(LEFT(F154,3))</f>
        <v>S202401-MIN-BEV</v>
      </c>
    </row>
    <row r="155" customFormat="false" ht="15" hidden="false" customHeight="false" outlineLevel="0" collapsed="false">
      <c r="A155" s="101" t="n">
        <v>45322</v>
      </c>
      <c r="B155" s="102" t="n">
        <f aca="false">YEAR(A155)</f>
        <v>2024</v>
      </c>
      <c r="C155" s="102" t="n">
        <f aca="false">MONTH(A155)</f>
        <v>1</v>
      </c>
      <c r="D155" s="68" t="str">
        <f aca="false">"Q"&amp;ROUNDUP(C155/3,0)</f>
        <v>Q1</v>
      </c>
      <c r="E155" s="100" t="s">
        <v>291</v>
      </c>
      <c r="F155" s="100" t="s">
        <v>254</v>
      </c>
      <c r="G155" s="96" t="n">
        <v>7080</v>
      </c>
      <c r="H155" s="96" t="n">
        <v>4962</v>
      </c>
      <c r="I155" s="40" t="n">
        <f aca="false">G155-H155</f>
        <v>2118</v>
      </c>
      <c r="J155" s="68" t="str">
        <f aca="false">"S"&amp;TEXT(A155,"yyyymm")&amp;"-"&amp;UPPER(LEFT(E155,3))&amp;"-"&amp;UPPER(LEFT(F155,3))</f>
        <v>S202401-LUZ-HOU</v>
      </c>
    </row>
    <row r="156" customFormat="false" ht="15" hidden="false" customHeight="false" outlineLevel="0" collapsed="false">
      <c r="A156" s="101" t="n">
        <v>45322</v>
      </c>
      <c r="B156" s="102" t="n">
        <f aca="false">YEAR(A156)</f>
        <v>2024</v>
      </c>
      <c r="C156" s="102" t="n">
        <f aca="false">MONTH(A156)</f>
        <v>1</v>
      </c>
      <c r="D156" s="68" t="str">
        <f aca="false">"Q"&amp;ROUNDUP(C156/3,0)</f>
        <v>Q1</v>
      </c>
      <c r="E156" s="100" t="s">
        <v>292</v>
      </c>
      <c r="F156" s="100" t="s">
        <v>254</v>
      </c>
      <c r="G156" s="96" t="n">
        <v>2799</v>
      </c>
      <c r="H156" s="96" t="n">
        <v>1959</v>
      </c>
      <c r="I156" s="40" t="n">
        <f aca="false">G156-H156</f>
        <v>840</v>
      </c>
      <c r="J156" s="68" t="str">
        <f aca="false">"S"&amp;TEXT(A156,"yyyymm")&amp;"-"&amp;UPPER(LEFT(E156,3))&amp;"-"&amp;UPPER(LEFT(F156,3))</f>
        <v>S202401-VIS-HOU</v>
      </c>
    </row>
    <row r="157" customFormat="false" ht="15" hidden="false" customHeight="false" outlineLevel="0" collapsed="false">
      <c r="A157" s="101" t="n">
        <v>45322</v>
      </c>
      <c r="B157" s="102" t="n">
        <f aca="false">YEAR(A157)</f>
        <v>2024</v>
      </c>
      <c r="C157" s="102" t="n">
        <f aca="false">MONTH(A157)</f>
        <v>1</v>
      </c>
      <c r="D157" s="68" t="str">
        <f aca="false">"Q"&amp;ROUNDUP(C157/3,0)</f>
        <v>Q1</v>
      </c>
      <c r="E157" s="100" t="s">
        <v>293</v>
      </c>
      <c r="F157" s="100" t="s">
        <v>254</v>
      </c>
      <c r="G157" s="96" t="n">
        <v>2378</v>
      </c>
      <c r="H157" s="96" t="n">
        <v>1664</v>
      </c>
      <c r="I157" s="40" t="n">
        <f aca="false">G157-H157</f>
        <v>714</v>
      </c>
      <c r="J157" s="68" t="str">
        <f aca="false">"S"&amp;TEXT(A157,"yyyymm")&amp;"-"&amp;UPPER(LEFT(E157,3))&amp;"-"&amp;UPPER(LEFT(F157,3))</f>
        <v>S202401-MIN-HOU</v>
      </c>
    </row>
    <row r="158" customFormat="false" ht="15" hidden="false" customHeight="false" outlineLevel="0" collapsed="false">
      <c r="A158" s="101" t="n">
        <v>45322</v>
      </c>
      <c r="B158" s="102" t="n">
        <f aca="false">YEAR(A158)</f>
        <v>2024</v>
      </c>
      <c r="C158" s="102" t="n">
        <f aca="false">MONTH(A158)</f>
        <v>1</v>
      </c>
      <c r="D158" s="68" t="str">
        <f aca="false">"Q"&amp;ROUNDUP(C158/3,0)</f>
        <v>Q1</v>
      </c>
      <c r="E158" s="100" t="s">
        <v>291</v>
      </c>
      <c r="F158" s="100" t="s">
        <v>255</v>
      </c>
      <c r="G158" s="96" t="n">
        <v>5114</v>
      </c>
      <c r="H158" s="96" t="n">
        <v>4155</v>
      </c>
      <c r="I158" s="40" t="n">
        <f aca="false">G158-H158</f>
        <v>959</v>
      </c>
      <c r="J158" s="68" t="str">
        <f aca="false">"S"&amp;TEXT(A158,"yyyymm")&amp;"-"&amp;UPPER(LEFT(E158,3))&amp;"-"&amp;UPPER(LEFT(F158,3))</f>
        <v>S202401-LUZ-FRE</v>
      </c>
    </row>
    <row r="159" customFormat="false" ht="15" hidden="false" customHeight="false" outlineLevel="0" collapsed="false">
      <c r="A159" s="101" t="n">
        <v>45322</v>
      </c>
      <c r="B159" s="102" t="n">
        <f aca="false">YEAR(A159)</f>
        <v>2024</v>
      </c>
      <c r="C159" s="102" t="n">
        <f aca="false">MONTH(A159)</f>
        <v>1</v>
      </c>
      <c r="D159" s="68" t="str">
        <f aca="false">"Q"&amp;ROUNDUP(C159/3,0)</f>
        <v>Q1</v>
      </c>
      <c r="E159" s="100" t="s">
        <v>292</v>
      </c>
      <c r="F159" s="100" t="s">
        <v>255</v>
      </c>
      <c r="G159" s="96" t="n">
        <v>2113</v>
      </c>
      <c r="H159" s="96" t="n">
        <v>1725</v>
      </c>
      <c r="I159" s="40" t="n">
        <f aca="false">G159-H159</f>
        <v>388</v>
      </c>
      <c r="J159" s="68" t="str">
        <f aca="false">"S"&amp;TEXT(A159,"yyyymm")&amp;"-"&amp;UPPER(LEFT(E159,3))&amp;"-"&amp;UPPER(LEFT(F159,3))</f>
        <v>S202401-VIS-FRE</v>
      </c>
    </row>
    <row r="160" customFormat="false" ht="15" hidden="false" customHeight="false" outlineLevel="0" collapsed="false">
      <c r="A160" s="101" t="n">
        <v>45322</v>
      </c>
      <c r="B160" s="102" t="n">
        <f aca="false">YEAR(A160)</f>
        <v>2024</v>
      </c>
      <c r="C160" s="102" t="n">
        <f aca="false">MONTH(A160)</f>
        <v>1</v>
      </c>
      <c r="D160" s="68" t="str">
        <f aca="false">"Q"&amp;ROUNDUP(C160/3,0)</f>
        <v>Q1</v>
      </c>
      <c r="E160" s="100" t="s">
        <v>293</v>
      </c>
      <c r="F160" s="100" t="s">
        <v>255</v>
      </c>
      <c r="G160" s="96" t="n">
        <v>1794</v>
      </c>
      <c r="H160" s="96" t="n">
        <v>1455</v>
      </c>
      <c r="I160" s="40" t="n">
        <f aca="false">G160-H160</f>
        <v>339</v>
      </c>
      <c r="J160" s="68" t="str">
        <f aca="false">"S"&amp;TEXT(A160,"yyyymm")&amp;"-"&amp;UPPER(LEFT(E160,3))&amp;"-"&amp;UPPER(LEFT(F160,3))</f>
        <v>S202401-MIN-FRE</v>
      </c>
    </row>
    <row r="161" customFormat="false" ht="15" hidden="false" customHeight="false" outlineLevel="0" collapsed="false">
      <c r="A161" s="101" t="n">
        <v>45351</v>
      </c>
      <c r="B161" s="102" t="n">
        <f aca="false">YEAR(A161)</f>
        <v>2024</v>
      </c>
      <c r="C161" s="102" t="n">
        <f aca="false">MONTH(A161)</f>
        <v>2</v>
      </c>
      <c r="D161" s="68" t="str">
        <f aca="false">"Q"&amp;ROUNDUP(C161/3,0)</f>
        <v>Q1</v>
      </c>
      <c r="E161" s="100" t="s">
        <v>291</v>
      </c>
      <c r="F161" s="100" t="s">
        <v>252</v>
      </c>
      <c r="G161" s="96" t="n">
        <v>14989</v>
      </c>
      <c r="H161" s="96" t="n">
        <v>11224</v>
      </c>
      <c r="I161" s="40" t="n">
        <f aca="false">G161-H161</f>
        <v>3765</v>
      </c>
      <c r="J161" s="68" t="str">
        <f aca="false">"S"&amp;TEXT(A161,"yyyymm")&amp;"-"&amp;UPPER(LEFT(E161,3))&amp;"-"&amp;UPPER(LEFT(F161,3))</f>
        <v>S202402-LUZ-PAC</v>
      </c>
    </row>
    <row r="162" customFormat="false" ht="15" hidden="false" customHeight="false" outlineLevel="0" collapsed="false">
      <c r="A162" s="101" t="n">
        <v>45351</v>
      </c>
      <c r="B162" s="102" t="n">
        <f aca="false">YEAR(A162)</f>
        <v>2024</v>
      </c>
      <c r="C162" s="102" t="n">
        <f aca="false">MONTH(A162)</f>
        <v>2</v>
      </c>
      <c r="D162" s="68" t="str">
        <f aca="false">"Q"&amp;ROUNDUP(C162/3,0)</f>
        <v>Q1</v>
      </c>
      <c r="E162" s="100" t="s">
        <v>292</v>
      </c>
      <c r="F162" s="100" t="s">
        <v>252</v>
      </c>
      <c r="G162" s="96" t="n">
        <v>5911</v>
      </c>
      <c r="H162" s="96" t="n">
        <v>4433</v>
      </c>
      <c r="I162" s="40" t="n">
        <f aca="false">G162-H162</f>
        <v>1478</v>
      </c>
      <c r="J162" s="68" t="str">
        <f aca="false">"S"&amp;TEXT(A162,"yyyymm")&amp;"-"&amp;UPPER(LEFT(E162,3))&amp;"-"&amp;UPPER(LEFT(F162,3))</f>
        <v>S202402-VIS-PAC</v>
      </c>
    </row>
    <row r="163" customFormat="false" ht="15" hidden="false" customHeight="false" outlineLevel="0" collapsed="false">
      <c r="A163" s="101" t="n">
        <v>45351</v>
      </c>
      <c r="B163" s="102" t="n">
        <f aca="false">YEAR(A163)</f>
        <v>2024</v>
      </c>
      <c r="C163" s="102" t="n">
        <f aca="false">MONTH(A163)</f>
        <v>2</v>
      </c>
      <c r="D163" s="68" t="str">
        <f aca="false">"Q"&amp;ROUNDUP(C163/3,0)</f>
        <v>Q1</v>
      </c>
      <c r="E163" s="100" t="s">
        <v>293</v>
      </c>
      <c r="F163" s="100" t="s">
        <v>252</v>
      </c>
      <c r="G163" s="96" t="n">
        <v>5153</v>
      </c>
      <c r="H163" s="96" t="n">
        <v>3864</v>
      </c>
      <c r="I163" s="40" t="n">
        <f aca="false">G163-H163</f>
        <v>1289</v>
      </c>
      <c r="J163" s="68" t="str">
        <f aca="false">"S"&amp;TEXT(A163,"yyyymm")&amp;"-"&amp;UPPER(LEFT(E163,3))&amp;"-"&amp;UPPER(LEFT(F163,3))</f>
        <v>S202402-MIN-PAC</v>
      </c>
    </row>
    <row r="164" customFormat="false" ht="15" hidden="false" customHeight="false" outlineLevel="0" collapsed="false">
      <c r="A164" s="101" t="n">
        <v>45351</v>
      </c>
      <c r="B164" s="102" t="n">
        <f aca="false">YEAR(A164)</f>
        <v>2024</v>
      </c>
      <c r="C164" s="102" t="n">
        <f aca="false">MONTH(A164)</f>
        <v>2</v>
      </c>
      <c r="D164" s="68" t="str">
        <f aca="false">"Q"&amp;ROUNDUP(C164/3,0)</f>
        <v>Q1</v>
      </c>
      <c r="E164" s="100" t="s">
        <v>291</v>
      </c>
      <c r="F164" s="100" t="s">
        <v>253</v>
      </c>
      <c r="G164" s="96" t="n">
        <v>10941</v>
      </c>
      <c r="H164" s="96" t="n">
        <v>8063</v>
      </c>
      <c r="I164" s="40" t="n">
        <f aca="false">G164-H164</f>
        <v>2878</v>
      </c>
      <c r="J164" s="68" t="str">
        <f aca="false">"S"&amp;TEXT(A164,"yyyymm")&amp;"-"&amp;UPPER(LEFT(E164,3))&amp;"-"&amp;UPPER(LEFT(F164,3))</f>
        <v>S202402-LUZ-BEV</v>
      </c>
    </row>
    <row r="165" customFormat="false" ht="15" hidden="false" customHeight="false" outlineLevel="0" collapsed="false">
      <c r="A165" s="101" t="n">
        <v>45351</v>
      </c>
      <c r="B165" s="102" t="n">
        <f aca="false">YEAR(A165)</f>
        <v>2024</v>
      </c>
      <c r="C165" s="102" t="n">
        <f aca="false">MONTH(A165)</f>
        <v>2</v>
      </c>
      <c r="D165" s="68" t="str">
        <f aca="false">"Q"&amp;ROUNDUP(C165/3,0)</f>
        <v>Q1</v>
      </c>
      <c r="E165" s="100" t="s">
        <v>292</v>
      </c>
      <c r="F165" s="100" t="s">
        <v>253</v>
      </c>
      <c r="G165" s="96" t="n">
        <v>4451</v>
      </c>
      <c r="H165" s="96" t="n">
        <v>3276</v>
      </c>
      <c r="I165" s="40" t="n">
        <f aca="false">G165-H165</f>
        <v>1175</v>
      </c>
      <c r="J165" s="68" t="str">
        <f aca="false">"S"&amp;TEXT(A165,"yyyymm")&amp;"-"&amp;UPPER(LEFT(E165,3))&amp;"-"&amp;UPPER(LEFT(F165,3))</f>
        <v>S202402-VIS-BEV</v>
      </c>
    </row>
    <row r="166" customFormat="false" ht="15" hidden="false" customHeight="false" outlineLevel="0" collapsed="false">
      <c r="A166" s="101" t="n">
        <v>45351</v>
      </c>
      <c r="B166" s="102" t="n">
        <f aca="false">YEAR(A166)</f>
        <v>2024</v>
      </c>
      <c r="C166" s="102" t="n">
        <f aca="false">MONTH(A166)</f>
        <v>2</v>
      </c>
      <c r="D166" s="68" t="str">
        <f aca="false">"Q"&amp;ROUNDUP(C166/3,0)</f>
        <v>Q1</v>
      </c>
      <c r="E166" s="100" t="s">
        <v>293</v>
      </c>
      <c r="F166" s="100" t="s">
        <v>253</v>
      </c>
      <c r="G166" s="96" t="n">
        <v>3764</v>
      </c>
      <c r="H166" s="96" t="n">
        <v>2764</v>
      </c>
      <c r="I166" s="40" t="n">
        <f aca="false">G166-H166</f>
        <v>1000</v>
      </c>
      <c r="J166" s="68" t="str">
        <f aca="false">"S"&amp;TEXT(A166,"yyyymm")&amp;"-"&amp;UPPER(LEFT(E166,3))&amp;"-"&amp;UPPER(LEFT(F166,3))</f>
        <v>S202402-MIN-BEV</v>
      </c>
    </row>
    <row r="167" customFormat="false" ht="15" hidden="false" customHeight="false" outlineLevel="0" collapsed="false">
      <c r="A167" s="101" t="n">
        <v>45351</v>
      </c>
      <c r="B167" s="102" t="n">
        <f aca="false">YEAR(A167)</f>
        <v>2024</v>
      </c>
      <c r="C167" s="102" t="n">
        <f aca="false">MONTH(A167)</f>
        <v>2</v>
      </c>
      <c r="D167" s="68" t="str">
        <f aca="false">"Q"&amp;ROUNDUP(C167/3,0)</f>
        <v>Q1</v>
      </c>
      <c r="E167" s="100" t="s">
        <v>291</v>
      </c>
      <c r="F167" s="100" t="s">
        <v>254</v>
      </c>
      <c r="G167" s="96" t="n">
        <v>7008</v>
      </c>
      <c r="H167" s="96" t="n">
        <v>4920</v>
      </c>
      <c r="I167" s="40" t="n">
        <f aca="false">G167-H167</f>
        <v>2088</v>
      </c>
      <c r="J167" s="68" t="str">
        <f aca="false">"S"&amp;TEXT(A167,"yyyymm")&amp;"-"&amp;UPPER(LEFT(E167,3))&amp;"-"&amp;UPPER(LEFT(F167,3))</f>
        <v>S202402-LUZ-HOU</v>
      </c>
    </row>
    <row r="168" customFormat="false" ht="15" hidden="false" customHeight="false" outlineLevel="0" collapsed="false">
      <c r="A168" s="101" t="n">
        <v>45351</v>
      </c>
      <c r="B168" s="102" t="n">
        <f aca="false">YEAR(A168)</f>
        <v>2024</v>
      </c>
      <c r="C168" s="102" t="n">
        <f aca="false">MONTH(A168)</f>
        <v>2</v>
      </c>
      <c r="D168" s="68" t="str">
        <f aca="false">"Q"&amp;ROUNDUP(C168/3,0)</f>
        <v>Q1</v>
      </c>
      <c r="E168" s="100" t="s">
        <v>292</v>
      </c>
      <c r="F168" s="100" t="s">
        <v>254</v>
      </c>
      <c r="G168" s="96" t="n">
        <v>2689</v>
      </c>
      <c r="H168" s="96" t="n">
        <v>1891</v>
      </c>
      <c r="I168" s="40" t="n">
        <f aca="false">G168-H168</f>
        <v>798</v>
      </c>
      <c r="J168" s="68" t="str">
        <f aca="false">"S"&amp;TEXT(A168,"yyyymm")&amp;"-"&amp;UPPER(LEFT(E168,3))&amp;"-"&amp;UPPER(LEFT(F168,3))</f>
        <v>S202402-VIS-HOU</v>
      </c>
    </row>
    <row r="169" customFormat="false" ht="15" hidden="false" customHeight="false" outlineLevel="0" collapsed="false">
      <c r="A169" s="101" t="n">
        <v>45351</v>
      </c>
      <c r="B169" s="102" t="n">
        <f aca="false">YEAR(A169)</f>
        <v>2024</v>
      </c>
      <c r="C169" s="102" t="n">
        <f aca="false">MONTH(A169)</f>
        <v>2</v>
      </c>
      <c r="D169" s="68" t="str">
        <f aca="false">"Q"&amp;ROUNDUP(C169/3,0)</f>
        <v>Q1</v>
      </c>
      <c r="E169" s="100" t="s">
        <v>293</v>
      </c>
      <c r="F169" s="100" t="s">
        <v>254</v>
      </c>
      <c r="G169" s="96" t="n">
        <v>2348</v>
      </c>
      <c r="H169" s="96" t="n">
        <v>1645</v>
      </c>
      <c r="I169" s="40" t="n">
        <f aca="false">G169-H169</f>
        <v>703</v>
      </c>
      <c r="J169" s="68" t="str">
        <f aca="false">"S"&amp;TEXT(A169,"yyyymm")&amp;"-"&amp;UPPER(LEFT(E169,3))&amp;"-"&amp;UPPER(LEFT(F169,3))</f>
        <v>S202402-MIN-HOU</v>
      </c>
    </row>
    <row r="170" customFormat="false" ht="15" hidden="false" customHeight="false" outlineLevel="0" collapsed="false">
      <c r="A170" s="101" t="n">
        <v>45351</v>
      </c>
      <c r="B170" s="102" t="n">
        <f aca="false">YEAR(A170)</f>
        <v>2024</v>
      </c>
      <c r="C170" s="102" t="n">
        <f aca="false">MONTH(A170)</f>
        <v>2</v>
      </c>
      <c r="D170" s="68" t="str">
        <f aca="false">"Q"&amp;ROUNDUP(C170/3,0)</f>
        <v>Q1</v>
      </c>
      <c r="E170" s="100" t="s">
        <v>291</v>
      </c>
      <c r="F170" s="100" t="s">
        <v>255</v>
      </c>
      <c r="G170" s="96" t="n">
        <v>5200</v>
      </c>
      <c r="H170" s="96" t="n">
        <v>4198</v>
      </c>
      <c r="I170" s="40" t="n">
        <f aca="false">G170-H170</f>
        <v>1002</v>
      </c>
      <c r="J170" s="68" t="str">
        <f aca="false">"S"&amp;TEXT(A170,"yyyymm")&amp;"-"&amp;UPPER(LEFT(E170,3))&amp;"-"&amp;UPPER(LEFT(F170,3))</f>
        <v>S202402-LUZ-FRE</v>
      </c>
    </row>
    <row r="171" customFormat="false" ht="15" hidden="false" customHeight="false" outlineLevel="0" collapsed="false">
      <c r="A171" s="101" t="n">
        <v>45351</v>
      </c>
      <c r="B171" s="102" t="n">
        <f aca="false">YEAR(A171)</f>
        <v>2024</v>
      </c>
      <c r="C171" s="102" t="n">
        <f aca="false">MONTH(A171)</f>
        <v>2</v>
      </c>
      <c r="D171" s="68" t="str">
        <f aca="false">"Q"&amp;ROUNDUP(C171/3,0)</f>
        <v>Q1</v>
      </c>
      <c r="E171" s="100" t="s">
        <v>292</v>
      </c>
      <c r="F171" s="100" t="s">
        <v>255</v>
      </c>
      <c r="G171" s="96" t="n">
        <v>2119</v>
      </c>
      <c r="H171" s="96" t="n">
        <v>1720</v>
      </c>
      <c r="I171" s="40" t="n">
        <f aca="false">G171-H171</f>
        <v>399</v>
      </c>
      <c r="J171" s="68" t="str">
        <f aca="false">"S"&amp;TEXT(A171,"yyyymm")&amp;"-"&amp;UPPER(LEFT(E171,3))&amp;"-"&amp;UPPER(LEFT(F171,3))</f>
        <v>S202402-VIS-FRE</v>
      </c>
    </row>
    <row r="172" customFormat="false" ht="15" hidden="false" customHeight="false" outlineLevel="0" collapsed="false">
      <c r="A172" s="101" t="n">
        <v>45351</v>
      </c>
      <c r="B172" s="102" t="n">
        <f aca="false">YEAR(A172)</f>
        <v>2024</v>
      </c>
      <c r="C172" s="102" t="n">
        <f aca="false">MONTH(A172)</f>
        <v>2</v>
      </c>
      <c r="D172" s="68" t="str">
        <f aca="false">"Q"&amp;ROUNDUP(C172/3,0)</f>
        <v>Q1</v>
      </c>
      <c r="E172" s="100" t="s">
        <v>293</v>
      </c>
      <c r="F172" s="100" t="s">
        <v>255</v>
      </c>
      <c r="G172" s="96" t="n">
        <v>1796</v>
      </c>
      <c r="H172" s="96" t="n">
        <v>1461</v>
      </c>
      <c r="I172" s="40" t="n">
        <f aca="false">G172-H172</f>
        <v>335</v>
      </c>
      <c r="J172" s="68" t="str">
        <f aca="false">"S"&amp;TEXT(A172,"yyyymm")&amp;"-"&amp;UPPER(LEFT(E172,3))&amp;"-"&amp;UPPER(LEFT(F172,3))</f>
        <v>S202402-MIN-FRE</v>
      </c>
    </row>
    <row r="173" customFormat="false" ht="15" hidden="false" customHeight="false" outlineLevel="0" collapsed="false">
      <c r="A173" s="101" t="n">
        <v>45382</v>
      </c>
      <c r="B173" s="102" t="n">
        <f aca="false">YEAR(A173)</f>
        <v>2024</v>
      </c>
      <c r="C173" s="102" t="n">
        <f aca="false">MONTH(A173)</f>
        <v>3</v>
      </c>
      <c r="D173" s="68" t="str">
        <f aca="false">"Q"&amp;ROUNDUP(C173/3,0)</f>
        <v>Q1</v>
      </c>
      <c r="E173" s="100" t="s">
        <v>291</v>
      </c>
      <c r="F173" s="100" t="s">
        <v>252</v>
      </c>
      <c r="G173" s="96" t="n">
        <v>16579</v>
      </c>
      <c r="H173" s="96" t="n">
        <v>12531</v>
      </c>
      <c r="I173" s="40" t="n">
        <f aca="false">G173-H173</f>
        <v>4048</v>
      </c>
      <c r="J173" s="68" t="str">
        <f aca="false">"S"&amp;TEXT(A173,"yyyymm")&amp;"-"&amp;UPPER(LEFT(E173,3))&amp;"-"&amp;UPPER(LEFT(F173,3))</f>
        <v>S202403-LUZ-PAC</v>
      </c>
    </row>
    <row r="174" customFormat="false" ht="15" hidden="false" customHeight="false" outlineLevel="0" collapsed="false">
      <c r="A174" s="101" t="n">
        <v>45382</v>
      </c>
      <c r="B174" s="102" t="n">
        <f aca="false">YEAR(A174)</f>
        <v>2024</v>
      </c>
      <c r="C174" s="102" t="n">
        <f aca="false">MONTH(A174)</f>
        <v>3</v>
      </c>
      <c r="D174" s="68" t="str">
        <f aca="false">"Q"&amp;ROUNDUP(C174/3,0)</f>
        <v>Q1</v>
      </c>
      <c r="E174" s="100" t="s">
        <v>292</v>
      </c>
      <c r="F174" s="100" t="s">
        <v>252</v>
      </c>
      <c r="G174" s="96" t="n">
        <v>6649</v>
      </c>
      <c r="H174" s="96" t="n">
        <v>4994</v>
      </c>
      <c r="I174" s="40" t="n">
        <f aca="false">G174-H174</f>
        <v>1655</v>
      </c>
      <c r="J174" s="68" t="str">
        <f aca="false">"S"&amp;TEXT(A174,"yyyymm")&amp;"-"&amp;UPPER(LEFT(E174,3))&amp;"-"&amp;UPPER(LEFT(F174,3))</f>
        <v>S202403-VIS-PAC</v>
      </c>
    </row>
    <row r="175" customFormat="false" ht="15" hidden="false" customHeight="false" outlineLevel="0" collapsed="false">
      <c r="A175" s="101" t="n">
        <v>45382</v>
      </c>
      <c r="B175" s="102" t="n">
        <f aca="false">YEAR(A175)</f>
        <v>2024</v>
      </c>
      <c r="C175" s="102" t="n">
        <f aca="false">MONTH(A175)</f>
        <v>3</v>
      </c>
      <c r="D175" s="68" t="str">
        <f aca="false">"Q"&amp;ROUNDUP(C175/3,0)</f>
        <v>Q1</v>
      </c>
      <c r="E175" s="100" t="s">
        <v>293</v>
      </c>
      <c r="F175" s="100" t="s">
        <v>252</v>
      </c>
      <c r="G175" s="96" t="n">
        <v>5660</v>
      </c>
      <c r="H175" s="96" t="n">
        <v>4279</v>
      </c>
      <c r="I175" s="40" t="n">
        <f aca="false">G175-H175</f>
        <v>1381</v>
      </c>
      <c r="J175" s="68" t="str">
        <f aca="false">"S"&amp;TEXT(A175,"yyyymm")&amp;"-"&amp;UPPER(LEFT(E175,3))&amp;"-"&amp;UPPER(LEFT(F175,3))</f>
        <v>S202403-MIN-PAC</v>
      </c>
    </row>
    <row r="176" customFormat="false" ht="15" hidden="false" customHeight="false" outlineLevel="0" collapsed="false">
      <c r="A176" s="101" t="n">
        <v>45382</v>
      </c>
      <c r="B176" s="102" t="n">
        <f aca="false">YEAR(A176)</f>
        <v>2024</v>
      </c>
      <c r="C176" s="102" t="n">
        <f aca="false">MONTH(A176)</f>
        <v>3</v>
      </c>
      <c r="D176" s="68" t="str">
        <f aca="false">"Q"&amp;ROUNDUP(C176/3,0)</f>
        <v>Q1</v>
      </c>
      <c r="E176" s="100" t="s">
        <v>291</v>
      </c>
      <c r="F176" s="100" t="s">
        <v>253</v>
      </c>
      <c r="G176" s="96" t="n">
        <v>12459</v>
      </c>
      <c r="H176" s="96" t="n">
        <v>9169</v>
      </c>
      <c r="I176" s="40" t="n">
        <f aca="false">G176-H176</f>
        <v>3290</v>
      </c>
      <c r="J176" s="68" t="str">
        <f aca="false">"S"&amp;TEXT(A176,"yyyymm")&amp;"-"&amp;UPPER(LEFT(E176,3))&amp;"-"&amp;UPPER(LEFT(F176,3))</f>
        <v>S202403-LUZ-BEV</v>
      </c>
    </row>
    <row r="177" customFormat="false" ht="15" hidden="false" customHeight="false" outlineLevel="0" collapsed="false">
      <c r="A177" s="101" t="n">
        <v>45382</v>
      </c>
      <c r="B177" s="102" t="n">
        <f aca="false">YEAR(A177)</f>
        <v>2024</v>
      </c>
      <c r="C177" s="102" t="n">
        <f aca="false">MONTH(A177)</f>
        <v>3</v>
      </c>
      <c r="D177" s="68" t="str">
        <f aca="false">"Q"&amp;ROUNDUP(C177/3,0)</f>
        <v>Q1</v>
      </c>
      <c r="E177" s="100" t="s">
        <v>292</v>
      </c>
      <c r="F177" s="100" t="s">
        <v>253</v>
      </c>
      <c r="G177" s="96" t="n">
        <v>5018</v>
      </c>
      <c r="H177" s="96" t="n">
        <v>3665</v>
      </c>
      <c r="I177" s="40" t="n">
        <f aca="false">G177-H177</f>
        <v>1353</v>
      </c>
      <c r="J177" s="68" t="str">
        <f aca="false">"S"&amp;TEXT(A177,"yyyymm")&amp;"-"&amp;UPPER(LEFT(E177,3))&amp;"-"&amp;UPPER(LEFT(F177,3))</f>
        <v>S202403-VIS-BEV</v>
      </c>
    </row>
    <row r="178" customFormat="false" ht="15" hidden="false" customHeight="false" outlineLevel="0" collapsed="false">
      <c r="A178" s="101" t="n">
        <v>45382</v>
      </c>
      <c r="B178" s="102" t="n">
        <f aca="false">YEAR(A178)</f>
        <v>2024</v>
      </c>
      <c r="C178" s="102" t="n">
        <f aca="false">MONTH(A178)</f>
        <v>3</v>
      </c>
      <c r="D178" s="68" t="str">
        <f aca="false">"Q"&amp;ROUNDUP(C178/3,0)</f>
        <v>Q1</v>
      </c>
      <c r="E178" s="100" t="s">
        <v>293</v>
      </c>
      <c r="F178" s="100" t="s">
        <v>253</v>
      </c>
      <c r="G178" s="96" t="n">
        <v>4258</v>
      </c>
      <c r="H178" s="96" t="n">
        <v>3126</v>
      </c>
      <c r="I178" s="40" t="n">
        <f aca="false">G178-H178</f>
        <v>1132</v>
      </c>
      <c r="J178" s="68" t="str">
        <f aca="false">"S"&amp;TEXT(A178,"yyyymm")&amp;"-"&amp;UPPER(LEFT(E178,3))&amp;"-"&amp;UPPER(LEFT(F178,3))</f>
        <v>S202403-MIN-BEV</v>
      </c>
    </row>
    <row r="179" customFormat="false" ht="15" hidden="false" customHeight="false" outlineLevel="0" collapsed="false">
      <c r="A179" s="101" t="n">
        <v>45382</v>
      </c>
      <c r="B179" s="102" t="n">
        <f aca="false">YEAR(A179)</f>
        <v>2024</v>
      </c>
      <c r="C179" s="102" t="n">
        <f aca="false">MONTH(A179)</f>
        <v>3</v>
      </c>
      <c r="D179" s="68" t="str">
        <f aca="false">"Q"&amp;ROUNDUP(C179/3,0)</f>
        <v>Q1</v>
      </c>
      <c r="E179" s="100" t="s">
        <v>291</v>
      </c>
      <c r="F179" s="100" t="s">
        <v>254</v>
      </c>
      <c r="G179" s="96" t="n">
        <v>7295</v>
      </c>
      <c r="H179" s="96" t="n">
        <v>5119</v>
      </c>
      <c r="I179" s="40" t="n">
        <f aca="false">G179-H179</f>
        <v>2176</v>
      </c>
      <c r="J179" s="68" t="str">
        <f aca="false">"S"&amp;TEXT(A179,"yyyymm")&amp;"-"&amp;UPPER(LEFT(E179,3))&amp;"-"&amp;UPPER(LEFT(F179,3))</f>
        <v>S202403-LUZ-HOU</v>
      </c>
    </row>
    <row r="180" customFormat="false" ht="15" hidden="false" customHeight="false" outlineLevel="0" collapsed="false">
      <c r="A180" s="101" t="n">
        <v>45382</v>
      </c>
      <c r="B180" s="102" t="n">
        <f aca="false">YEAR(A180)</f>
        <v>2024</v>
      </c>
      <c r="C180" s="102" t="n">
        <f aca="false">MONTH(A180)</f>
        <v>3</v>
      </c>
      <c r="D180" s="68" t="str">
        <f aca="false">"Q"&amp;ROUNDUP(C180/3,0)</f>
        <v>Q1</v>
      </c>
      <c r="E180" s="100" t="s">
        <v>292</v>
      </c>
      <c r="F180" s="100" t="s">
        <v>254</v>
      </c>
      <c r="G180" s="96" t="n">
        <v>2960</v>
      </c>
      <c r="H180" s="96" t="n">
        <v>2080</v>
      </c>
      <c r="I180" s="40" t="n">
        <f aca="false">G180-H180</f>
        <v>880</v>
      </c>
      <c r="J180" s="68" t="str">
        <f aca="false">"S"&amp;TEXT(A180,"yyyymm")&amp;"-"&amp;UPPER(LEFT(E180,3))&amp;"-"&amp;UPPER(LEFT(F180,3))</f>
        <v>S202403-VIS-HOU</v>
      </c>
    </row>
    <row r="181" customFormat="false" ht="15" hidden="false" customHeight="false" outlineLevel="0" collapsed="false">
      <c r="A181" s="101" t="n">
        <v>45382</v>
      </c>
      <c r="B181" s="102" t="n">
        <f aca="false">YEAR(A181)</f>
        <v>2024</v>
      </c>
      <c r="C181" s="102" t="n">
        <f aca="false">MONTH(A181)</f>
        <v>3</v>
      </c>
      <c r="D181" s="68" t="str">
        <f aca="false">"Q"&amp;ROUNDUP(C181/3,0)</f>
        <v>Q1</v>
      </c>
      <c r="E181" s="100" t="s">
        <v>293</v>
      </c>
      <c r="F181" s="100" t="s">
        <v>254</v>
      </c>
      <c r="G181" s="96" t="n">
        <v>2421</v>
      </c>
      <c r="H181" s="96" t="n">
        <v>1702</v>
      </c>
      <c r="I181" s="40" t="n">
        <f aca="false">G181-H181</f>
        <v>719</v>
      </c>
      <c r="J181" s="68" t="str">
        <f aca="false">"S"&amp;TEXT(A181,"yyyymm")&amp;"-"&amp;UPPER(LEFT(E181,3))&amp;"-"&amp;UPPER(LEFT(F181,3))</f>
        <v>S202403-MIN-HOU</v>
      </c>
    </row>
    <row r="182" customFormat="false" ht="15" hidden="false" customHeight="false" outlineLevel="0" collapsed="false">
      <c r="A182" s="101" t="n">
        <v>45382</v>
      </c>
      <c r="B182" s="102" t="n">
        <f aca="false">YEAR(A182)</f>
        <v>2024</v>
      </c>
      <c r="C182" s="102" t="n">
        <f aca="false">MONTH(A182)</f>
        <v>3</v>
      </c>
      <c r="D182" s="68" t="str">
        <f aca="false">"Q"&amp;ROUNDUP(C182/3,0)</f>
        <v>Q1</v>
      </c>
      <c r="E182" s="100" t="s">
        <v>291</v>
      </c>
      <c r="F182" s="100" t="s">
        <v>255</v>
      </c>
      <c r="G182" s="96" t="n">
        <v>5203</v>
      </c>
      <c r="H182" s="96" t="n">
        <v>4245</v>
      </c>
      <c r="I182" s="40" t="n">
        <f aca="false">G182-H182</f>
        <v>958</v>
      </c>
      <c r="J182" s="68" t="str">
        <f aca="false">"S"&amp;TEXT(A182,"yyyymm")&amp;"-"&amp;UPPER(LEFT(E182,3))&amp;"-"&amp;UPPER(LEFT(F182,3))</f>
        <v>S202403-LUZ-FRE</v>
      </c>
    </row>
    <row r="183" customFormat="false" ht="15" hidden="false" customHeight="false" outlineLevel="0" collapsed="false">
      <c r="A183" s="101" t="n">
        <v>45382</v>
      </c>
      <c r="B183" s="102" t="n">
        <f aca="false">YEAR(A183)</f>
        <v>2024</v>
      </c>
      <c r="C183" s="102" t="n">
        <f aca="false">MONTH(A183)</f>
        <v>3</v>
      </c>
      <c r="D183" s="68" t="str">
        <f aca="false">"Q"&amp;ROUNDUP(C183/3,0)</f>
        <v>Q1</v>
      </c>
      <c r="E183" s="100" t="s">
        <v>292</v>
      </c>
      <c r="F183" s="100" t="s">
        <v>255</v>
      </c>
      <c r="G183" s="96" t="n">
        <v>2183</v>
      </c>
      <c r="H183" s="96" t="n">
        <v>1779</v>
      </c>
      <c r="I183" s="40" t="n">
        <f aca="false">G183-H183</f>
        <v>404</v>
      </c>
      <c r="J183" s="68" t="str">
        <f aca="false">"S"&amp;TEXT(A183,"yyyymm")&amp;"-"&amp;UPPER(LEFT(E183,3))&amp;"-"&amp;UPPER(LEFT(F183,3))</f>
        <v>S202403-VIS-FRE</v>
      </c>
    </row>
    <row r="184" customFormat="false" ht="15" hidden="false" customHeight="false" outlineLevel="0" collapsed="false">
      <c r="A184" s="101" t="n">
        <v>45382</v>
      </c>
      <c r="B184" s="102" t="n">
        <f aca="false">YEAR(A184)</f>
        <v>2024</v>
      </c>
      <c r="C184" s="102" t="n">
        <f aca="false">MONTH(A184)</f>
        <v>3</v>
      </c>
      <c r="D184" s="68" t="str">
        <f aca="false">"Q"&amp;ROUNDUP(C184/3,0)</f>
        <v>Q1</v>
      </c>
      <c r="E184" s="100" t="s">
        <v>293</v>
      </c>
      <c r="F184" s="100" t="s">
        <v>255</v>
      </c>
      <c r="G184" s="96" t="n">
        <v>1838</v>
      </c>
      <c r="H184" s="96" t="n">
        <v>1496</v>
      </c>
      <c r="I184" s="40" t="n">
        <f aca="false">G184-H184</f>
        <v>342</v>
      </c>
      <c r="J184" s="68" t="str">
        <f aca="false">"S"&amp;TEXT(A184,"yyyymm")&amp;"-"&amp;UPPER(LEFT(E184,3))&amp;"-"&amp;UPPER(LEFT(F184,3))</f>
        <v>S202403-MIN-FRE</v>
      </c>
    </row>
    <row r="185" customFormat="false" ht="15" hidden="false" customHeight="false" outlineLevel="0" collapsed="false">
      <c r="A185" s="101" t="n">
        <v>45412</v>
      </c>
      <c r="B185" s="102" t="n">
        <f aca="false">YEAR(A185)</f>
        <v>2024</v>
      </c>
      <c r="C185" s="102" t="n">
        <f aca="false">MONTH(A185)</f>
        <v>4</v>
      </c>
      <c r="D185" s="68" t="str">
        <f aca="false">"Q"&amp;ROUNDUP(C185/3,0)</f>
        <v>Q2</v>
      </c>
      <c r="E185" s="100" t="s">
        <v>291</v>
      </c>
      <c r="F185" s="100" t="s">
        <v>252</v>
      </c>
      <c r="G185" s="96" t="n">
        <v>16686</v>
      </c>
      <c r="H185" s="96" t="n">
        <v>12569</v>
      </c>
      <c r="I185" s="40" t="n">
        <f aca="false">G185-H185</f>
        <v>4117</v>
      </c>
      <c r="J185" s="68" t="str">
        <f aca="false">"S"&amp;TEXT(A185,"yyyymm")&amp;"-"&amp;UPPER(LEFT(E185,3))&amp;"-"&amp;UPPER(LEFT(F185,3))</f>
        <v>S202404-LUZ-PAC</v>
      </c>
    </row>
    <row r="186" customFormat="false" ht="15" hidden="false" customHeight="false" outlineLevel="0" collapsed="false">
      <c r="A186" s="101" t="n">
        <v>45412</v>
      </c>
      <c r="B186" s="102" t="n">
        <f aca="false">YEAR(A186)</f>
        <v>2024</v>
      </c>
      <c r="C186" s="102" t="n">
        <f aca="false">MONTH(A186)</f>
        <v>4</v>
      </c>
      <c r="D186" s="68" t="str">
        <f aca="false">"Q"&amp;ROUNDUP(C186/3,0)</f>
        <v>Q2</v>
      </c>
      <c r="E186" s="100" t="s">
        <v>292</v>
      </c>
      <c r="F186" s="100" t="s">
        <v>252</v>
      </c>
      <c r="G186" s="96" t="n">
        <v>6395</v>
      </c>
      <c r="H186" s="96" t="n">
        <v>4802</v>
      </c>
      <c r="I186" s="40" t="n">
        <f aca="false">G186-H186</f>
        <v>1593</v>
      </c>
      <c r="J186" s="68" t="str">
        <f aca="false">"S"&amp;TEXT(A186,"yyyymm")&amp;"-"&amp;UPPER(LEFT(E186,3))&amp;"-"&amp;UPPER(LEFT(F186,3))</f>
        <v>S202404-VIS-PAC</v>
      </c>
    </row>
    <row r="187" customFormat="false" ht="15" hidden="false" customHeight="false" outlineLevel="0" collapsed="false">
      <c r="A187" s="101" t="n">
        <v>45412</v>
      </c>
      <c r="B187" s="102" t="n">
        <f aca="false">YEAR(A187)</f>
        <v>2024</v>
      </c>
      <c r="C187" s="102" t="n">
        <f aca="false">MONTH(A187)</f>
        <v>4</v>
      </c>
      <c r="D187" s="68" t="str">
        <f aca="false">"Q"&amp;ROUNDUP(C187/3,0)</f>
        <v>Q2</v>
      </c>
      <c r="E187" s="100" t="s">
        <v>293</v>
      </c>
      <c r="F187" s="100" t="s">
        <v>252</v>
      </c>
      <c r="G187" s="96" t="n">
        <v>5637</v>
      </c>
      <c r="H187" s="96" t="n">
        <v>4221</v>
      </c>
      <c r="I187" s="40" t="n">
        <f aca="false">G187-H187</f>
        <v>1416</v>
      </c>
      <c r="J187" s="68" t="str">
        <f aca="false">"S"&amp;TEXT(A187,"yyyymm")&amp;"-"&amp;UPPER(LEFT(E187,3))&amp;"-"&amp;UPPER(LEFT(F187,3))</f>
        <v>S202404-MIN-PAC</v>
      </c>
    </row>
    <row r="188" customFormat="false" ht="15" hidden="false" customHeight="false" outlineLevel="0" collapsed="false">
      <c r="A188" s="101" t="n">
        <v>45412</v>
      </c>
      <c r="B188" s="102" t="n">
        <f aca="false">YEAR(A188)</f>
        <v>2024</v>
      </c>
      <c r="C188" s="102" t="n">
        <f aca="false">MONTH(A188)</f>
        <v>4</v>
      </c>
      <c r="D188" s="68" t="str">
        <f aca="false">"Q"&amp;ROUNDUP(C188/3,0)</f>
        <v>Q2</v>
      </c>
      <c r="E188" s="100" t="s">
        <v>291</v>
      </c>
      <c r="F188" s="100" t="s">
        <v>253</v>
      </c>
      <c r="G188" s="96" t="n">
        <v>12969</v>
      </c>
      <c r="H188" s="96" t="n">
        <v>9563</v>
      </c>
      <c r="I188" s="40" t="n">
        <f aca="false">G188-H188</f>
        <v>3406</v>
      </c>
      <c r="J188" s="68" t="str">
        <f aca="false">"S"&amp;TEXT(A188,"yyyymm")&amp;"-"&amp;UPPER(LEFT(E188,3))&amp;"-"&amp;UPPER(LEFT(F188,3))</f>
        <v>S202404-LUZ-BEV</v>
      </c>
    </row>
    <row r="189" customFormat="false" ht="15" hidden="false" customHeight="false" outlineLevel="0" collapsed="false">
      <c r="A189" s="101" t="n">
        <v>45412</v>
      </c>
      <c r="B189" s="102" t="n">
        <f aca="false">YEAR(A189)</f>
        <v>2024</v>
      </c>
      <c r="C189" s="102" t="n">
        <f aca="false">MONTH(A189)</f>
        <v>4</v>
      </c>
      <c r="D189" s="68" t="str">
        <f aca="false">"Q"&amp;ROUNDUP(C189/3,0)</f>
        <v>Q2</v>
      </c>
      <c r="E189" s="100" t="s">
        <v>292</v>
      </c>
      <c r="F189" s="100" t="s">
        <v>253</v>
      </c>
      <c r="G189" s="96" t="n">
        <v>4966</v>
      </c>
      <c r="H189" s="96" t="n">
        <v>3628</v>
      </c>
      <c r="I189" s="40" t="n">
        <f aca="false">G189-H189</f>
        <v>1338</v>
      </c>
      <c r="J189" s="68" t="str">
        <f aca="false">"S"&amp;TEXT(A189,"yyyymm")&amp;"-"&amp;UPPER(LEFT(E189,3))&amp;"-"&amp;UPPER(LEFT(F189,3))</f>
        <v>S202404-VIS-BEV</v>
      </c>
    </row>
    <row r="190" customFormat="false" ht="15" hidden="false" customHeight="false" outlineLevel="0" collapsed="false">
      <c r="A190" s="101" t="n">
        <v>45412</v>
      </c>
      <c r="B190" s="102" t="n">
        <f aca="false">YEAR(A190)</f>
        <v>2024</v>
      </c>
      <c r="C190" s="102" t="n">
        <f aca="false">MONTH(A190)</f>
        <v>4</v>
      </c>
      <c r="D190" s="68" t="str">
        <f aca="false">"Q"&amp;ROUNDUP(C190/3,0)</f>
        <v>Q2</v>
      </c>
      <c r="E190" s="100" t="s">
        <v>293</v>
      </c>
      <c r="F190" s="100" t="s">
        <v>253</v>
      </c>
      <c r="G190" s="96" t="n">
        <v>4427</v>
      </c>
      <c r="H190" s="96" t="n">
        <v>3248</v>
      </c>
      <c r="I190" s="40" t="n">
        <f aca="false">G190-H190</f>
        <v>1179</v>
      </c>
      <c r="J190" s="68" t="str">
        <f aca="false">"S"&amp;TEXT(A190,"yyyymm")&amp;"-"&amp;UPPER(LEFT(E190,3))&amp;"-"&amp;UPPER(LEFT(F190,3))</f>
        <v>S202404-MIN-BEV</v>
      </c>
    </row>
    <row r="191" customFormat="false" ht="15" hidden="false" customHeight="false" outlineLevel="0" collapsed="false">
      <c r="A191" s="101" t="n">
        <v>45412</v>
      </c>
      <c r="B191" s="102" t="n">
        <f aca="false">YEAR(A191)</f>
        <v>2024</v>
      </c>
      <c r="C191" s="102" t="n">
        <f aca="false">MONTH(A191)</f>
        <v>4</v>
      </c>
      <c r="D191" s="68" t="str">
        <f aca="false">"Q"&amp;ROUNDUP(C191/3,0)</f>
        <v>Q2</v>
      </c>
      <c r="E191" s="100" t="s">
        <v>291</v>
      </c>
      <c r="F191" s="100" t="s">
        <v>254</v>
      </c>
      <c r="G191" s="96" t="n">
        <v>7382</v>
      </c>
      <c r="H191" s="96" t="n">
        <v>5210</v>
      </c>
      <c r="I191" s="40" t="n">
        <f aca="false">G191-H191</f>
        <v>2172</v>
      </c>
      <c r="J191" s="68" t="str">
        <f aca="false">"S"&amp;TEXT(A191,"yyyymm")&amp;"-"&amp;UPPER(LEFT(E191,3))&amp;"-"&amp;UPPER(LEFT(F191,3))</f>
        <v>S202404-LUZ-HOU</v>
      </c>
    </row>
    <row r="192" customFormat="false" ht="15" hidden="false" customHeight="false" outlineLevel="0" collapsed="false">
      <c r="A192" s="101" t="n">
        <v>45412</v>
      </c>
      <c r="B192" s="102" t="n">
        <f aca="false">YEAR(A192)</f>
        <v>2024</v>
      </c>
      <c r="C192" s="102" t="n">
        <f aca="false">MONTH(A192)</f>
        <v>4</v>
      </c>
      <c r="D192" s="68" t="str">
        <f aca="false">"Q"&amp;ROUNDUP(C192/3,0)</f>
        <v>Q2</v>
      </c>
      <c r="E192" s="100" t="s">
        <v>292</v>
      </c>
      <c r="F192" s="100" t="s">
        <v>254</v>
      </c>
      <c r="G192" s="96" t="n">
        <v>2919</v>
      </c>
      <c r="H192" s="96" t="n">
        <v>2061</v>
      </c>
      <c r="I192" s="40" t="n">
        <f aca="false">G192-H192</f>
        <v>858</v>
      </c>
      <c r="J192" s="68" t="str">
        <f aca="false">"S"&amp;TEXT(A192,"yyyymm")&amp;"-"&amp;UPPER(LEFT(E192,3))&amp;"-"&amp;UPPER(LEFT(F192,3))</f>
        <v>S202404-VIS-HOU</v>
      </c>
    </row>
    <row r="193" customFormat="false" ht="15" hidden="false" customHeight="false" outlineLevel="0" collapsed="false">
      <c r="A193" s="101" t="n">
        <v>45412</v>
      </c>
      <c r="B193" s="102" t="n">
        <f aca="false">YEAR(A193)</f>
        <v>2024</v>
      </c>
      <c r="C193" s="102" t="n">
        <f aca="false">MONTH(A193)</f>
        <v>4</v>
      </c>
      <c r="D193" s="68" t="str">
        <f aca="false">"Q"&amp;ROUNDUP(C193/3,0)</f>
        <v>Q2</v>
      </c>
      <c r="E193" s="100" t="s">
        <v>293</v>
      </c>
      <c r="F193" s="100" t="s">
        <v>254</v>
      </c>
      <c r="G193" s="96" t="n">
        <v>2495</v>
      </c>
      <c r="H193" s="96" t="n">
        <v>1755</v>
      </c>
      <c r="I193" s="40" t="n">
        <f aca="false">G193-H193</f>
        <v>740</v>
      </c>
      <c r="J193" s="68" t="str">
        <f aca="false">"S"&amp;TEXT(A193,"yyyymm")&amp;"-"&amp;UPPER(LEFT(E193,3))&amp;"-"&amp;UPPER(LEFT(F193,3))</f>
        <v>S202404-MIN-HOU</v>
      </c>
    </row>
    <row r="194" customFormat="false" ht="15" hidden="false" customHeight="false" outlineLevel="0" collapsed="false">
      <c r="A194" s="101" t="n">
        <v>45412</v>
      </c>
      <c r="B194" s="102" t="n">
        <f aca="false">YEAR(A194)</f>
        <v>2024</v>
      </c>
      <c r="C194" s="102" t="n">
        <f aca="false">MONTH(A194)</f>
        <v>4</v>
      </c>
      <c r="D194" s="68" t="str">
        <f aca="false">"Q"&amp;ROUNDUP(C194/3,0)</f>
        <v>Q2</v>
      </c>
      <c r="E194" s="100" t="s">
        <v>291</v>
      </c>
      <c r="F194" s="100" t="s">
        <v>255</v>
      </c>
      <c r="G194" s="96" t="n">
        <v>5231</v>
      </c>
      <c r="H194" s="96" t="n">
        <v>4248</v>
      </c>
      <c r="I194" s="40" t="n">
        <f aca="false">G194-H194</f>
        <v>983</v>
      </c>
      <c r="J194" s="68" t="str">
        <f aca="false">"S"&amp;TEXT(A194,"yyyymm")&amp;"-"&amp;UPPER(LEFT(E194,3))&amp;"-"&amp;UPPER(LEFT(F194,3))</f>
        <v>S202404-LUZ-FRE</v>
      </c>
    </row>
    <row r="195" customFormat="false" ht="15" hidden="false" customHeight="false" outlineLevel="0" collapsed="false">
      <c r="A195" s="101" t="n">
        <v>45412</v>
      </c>
      <c r="B195" s="102" t="n">
        <f aca="false">YEAR(A195)</f>
        <v>2024</v>
      </c>
      <c r="C195" s="102" t="n">
        <f aca="false">MONTH(A195)</f>
        <v>4</v>
      </c>
      <c r="D195" s="68" t="str">
        <f aca="false">"Q"&amp;ROUNDUP(C195/3,0)</f>
        <v>Q2</v>
      </c>
      <c r="E195" s="100" t="s">
        <v>292</v>
      </c>
      <c r="F195" s="100" t="s">
        <v>255</v>
      </c>
      <c r="G195" s="96" t="n">
        <v>2083</v>
      </c>
      <c r="H195" s="96" t="n">
        <v>1696</v>
      </c>
      <c r="I195" s="40" t="n">
        <f aca="false">G195-H195</f>
        <v>387</v>
      </c>
      <c r="J195" s="68" t="str">
        <f aca="false">"S"&amp;TEXT(A195,"yyyymm")&amp;"-"&amp;UPPER(LEFT(E195,3))&amp;"-"&amp;UPPER(LEFT(F195,3))</f>
        <v>S202404-VIS-FRE</v>
      </c>
    </row>
    <row r="196" customFormat="false" ht="15" hidden="false" customHeight="false" outlineLevel="0" collapsed="false">
      <c r="A196" s="101" t="n">
        <v>45412</v>
      </c>
      <c r="B196" s="102" t="n">
        <f aca="false">YEAR(A196)</f>
        <v>2024</v>
      </c>
      <c r="C196" s="102" t="n">
        <f aca="false">MONTH(A196)</f>
        <v>4</v>
      </c>
      <c r="D196" s="68" t="str">
        <f aca="false">"Q"&amp;ROUNDUP(C196/3,0)</f>
        <v>Q2</v>
      </c>
      <c r="E196" s="100" t="s">
        <v>293</v>
      </c>
      <c r="F196" s="100" t="s">
        <v>255</v>
      </c>
      <c r="G196" s="96" t="n">
        <v>1793</v>
      </c>
      <c r="H196" s="96" t="n">
        <v>1452</v>
      </c>
      <c r="I196" s="40" t="n">
        <f aca="false">G196-H196</f>
        <v>341</v>
      </c>
      <c r="J196" s="68" t="str">
        <f aca="false">"S"&amp;TEXT(A196,"yyyymm")&amp;"-"&amp;UPPER(LEFT(E196,3))&amp;"-"&amp;UPPER(LEFT(F196,3))</f>
        <v>S202404-MIN-FRE</v>
      </c>
    </row>
    <row r="197" customFormat="false" ht="15" hidden="false" customHeight="false" outlineLevel="0" collapsed="false">
      <c r="A197" s="101" t="n">
        <v>45443</v>
      </c>
      <c r="B197" s="102" t="n">
        <f aca="false">YEAR(A197)</f>
        <v>2024</v>
      </c>
      <c r="C197" s="102" t="n">
        <f aca="false">MONTH(A197)</f>
        <v>5</v>
      </c>
      <c r="D197" s="68" t="str">
        <f aca="false">"Q"&amp;ROUNDUP(C197/3,0)</f>
        <v>Q2</v>
      </c>
      <c r="E197" s="100" t="s">
        <v>291</v>
      </c>
      <c r="F197" s="100" t="s">
        <v>252</v>
      </c>
      <c r="G197" s="96" t="n">
        <v>16438</v>
      </c>
      <c r="H197" s="96" t="n">
        <v>12375</v>
      </c>
      <c r="I197" s="40" t="n">
        <f aca="false">G197-H197</f>
        <v>4063</v>
      </c>
      <c r="J197" s="68" t="str">
        <f aca="false">"S"&amp;TEXT(A197,"yyyymm")&amp;"-"&amp;UPPER(LEFT(E197,3))&amp;"-"&amp;UPPER(LEFT(F197,3))</f>
        <v>S202405-LUZ-PAC</v>
      </c>
    </row>
    <row r="198" customFormat="false" ht="15" hidden="false" customHeight="false" outlineLevel="0" collapsed="false">
      <c r="A198" s="101" t="n">
        <v>45443</v>
      </c>
      <c r="B198" s="102" t="n">
        <f aca="false">YEAR(A198)</f>
        <v>2024</v>
      </c>
      <c r="C198" s="102" t="n">
        <f aca="false">MONTH(A198)</f>
        <v>5</v>
      </c>
      <c r="D198" s="68" t="str">
        <f aca="false">"Q"&amp;ROUNDUP(C198/3,0)</f>
        <v>Q2</v>
      </c>
      <c r="E198" s="100" t="s">
        <v>292</v>
      </c>
      <c r="F198" s="100" t="s">
        <v>252</v>
      </c>
      <c r="G198" s="96" t="n">
        <v>6878</v>
      </c>
      <c r="H198" s="96" t="n">
        <v>5151</v>
      </c>
      <c r="I198" s="40" t="n">
        <f aca="false">G198-H198</f>
        <v>1727</v>
      </c>
      <c r="J198" s="68" t="str">
        <f aca="false">"S"&amp;TEXT(A198,"yyyymm")&amp;"-"&amp;UPPER(LEFT(E198,3))&amp;"-"&amp;UPPER(LEFT(F198,3))</f>
        <v>S202405-VIS-PAC</v>
      </c>
    </row>
    <row r="199" customFormat="false" ht="15" hidden="false" customHeight="false" outlineLevel="0" collapsed="false">
      <c r="A199" s="101" t="n">
        <v>45443</v>
      </c>
      <c r="B199" s="102" t="n">
        <f aca="false">YEAR(A199)</f>
        <v>2024</v>
      </c>
      <c r="C199" s="102" t="n">
        <f aca="false">MONTH(A199)</f>
        <v>5</v>
      </c>
      <c r="D199" s="68" t="str">
        <f aca="false">"Q"&amp;ROUNDUP(C199/3,0)</f>
        <v>Q2</v>
      </c>
      <c r="E199" s="100" t="s">
        <v>293</v>
      </c>
      <c r="F199" s="100" t="s">
        <v>252</v>
      </c>
      <c r="G199" s="96" t="n">
        <v>5661</v>
      </c>
      <c r="H199" s="96" t="n">
        <v>4259</v>
      </c>
      <c r="I199" s="40" t="n">
        <f aca="false">G199-H199</f>
        <v>1402</v>
      </c>
      <c r="J199" s="68" t="str">
        <f aca="false">"S"&amp;TEXT(A199,"yyyymm")&amp;"-"&amp;UPPER(LEFT(E199,3))&amp;"-"&amp;UPPER(LEFT(F199,3))</f>
        <v>S202405-MIN-PAC</v>
      </c>
    </row>
    <row r="200" customFormat="false" ht="15" hidden="false" customHeight="false" outlineLevel="0" collapsed="false">
      <c r="A200" s="101" t="n">
        <v>45443</v>
      </c>
      <c r="B200" s="102" t="n">
        <f aca="false">YEAR(A200)</f>
        <v>2024</v>
      </c>
      <c r="C200" s="102" t="n">
        <f aca="false">MONTH(A200)</f>
        <v>5</v>
      </c>
      <c r="D200" s="68" t="str">
        <f aca="false">"Q"&amp;ROUNDUP(C200/3,0)</f>
        <v>Q2</v>
      </c>
      <c r="E200" s="100" t="s">
        <v>291</v>
      </c>
      <c r="F200" s="100" t="s">
        <v>253</v>
      </c>
      <c r="G200" s="96" t="n">
        <v>13042</v>
      </c>
      <c r="H200" s="96" t="n">
        <v>9614</v>
      </c>
      <c r="I200" s="40" t="n">
        <f aca="false">G200-H200</f>
        <v>3428</v>
      </c>
      <c r="J200" s="68" t="str">
        <f aca="false">"S"&amp;TEXT(A200,"yyyymm")&amp;"-"&amp;UPPER(LEFT(E200,3))&amp;"-"&amp;UPPER(LEFT(F200,3))</f>
        <v>S202405-LUZ-BEV</v>
      </c>
    </row>
    <row r="201" customFormat="false" ht="15" hidden="false" customHeight="false" outlineLevel="0" collapsed="false">
      <c r="A201" s="101" t="n">
        <v>45443</v>
      </c>
      <c r="B201" s="102" t="n">
        <f aca="false">YEAR(A201)</f>
        <v>2024</v>
      </c>
      <c r="C201" s="102" t="n">
        <f aca="false">MONTH(A201)</f>
        <v>5</v>
      </c>
      <c r="D201" s="68" t="str">
        <f aca="false">"Q"&amp;ROUNDUP(C201/3,0)</f>
        <v>Q2</v>
      </c>
      <c r="E201" s="100" t="s">
        <v>292</v>
      </c>
      <c r="F201" s="100" t="s">
        <v>253</v>
      </c>
      <c r="G201" s="96" t="n">
        <v>5163</v>
      </c>
      <c r="H201" s="96" t="n">
        <v>3796</v>
      </c>
      <c r="I201" s="40" t="n">
        <f aca="false">G201-H201</f>
        <v>1367</v>
      </c>
      <c r="J201" s="68" t="str">
        <f aca="false">"S"&amp;TEXT(A201,"yyyymm")&amp;"-"&amp;UPPER(LEFT(E201,3))&amp;"-"&amp;UPPER(LEFT(F201,3))</f>
        <v>S202405-VIS-BEV</v>
      </c>
    </row>
    <row r="202" customFormat="false" ht="15" hidden="false" customHeight="false" outlineLevel="0" collapsed="false">
      <c r="A202" s="101" t="n">
        <v>45443</v>
      </c>
      <c r="B202" s="102" t="n">
        <f aca="false">YEAR(A202)</f>
        <v>2024</v>
      </c>
      <c r="C202" s="102" t="n">
        <f aca="false">MONTH(A202)</f>
        <v>5</v>
      </c>
      <c r="D202" s="68" t="str">
        <f aca="false">"Q"&amp;ROUNDUP(C202/3,0)</f>
        <v>Q2</v>
      </c>
      <c r="E202" s="100" t="s">
        <v>293</v>
      </c>
      <c r="F202" s="100" t="s">
        <v>253</v>
      </c>
      <c r="G202" s="96" t="n">
        <v>4330</v>
      </c>
      <c r="H202" s="96" t="n">
        <v>3178</v>
      </c>
      <c r="I202" s="40" t="n">
        <f aca="false">G202-H202</f>
        <v>1152</v>
      </c>
      <c r="J202" s="68" t="str">
        <f aca="false">"S"&amp;TEXT(A202,"yyyymm")&amp;"-"&amp;UPPER(LEFT(E202,3))&amp;"-"&amp;UPPER(LEFT(F202,3))</f>
        <v>S202405-MIN-BEV</v>
      </c>
    </row>
    <row r="203" customFormat="false" ht="15" hidden="false" customHeight="false" outlineLevel="0" collapsed="false">
      <c r="A203" s="101" t="n">
        <v>45443</v>
      </c>
      <c r="B203" s="102" t="n">
        <f aca="false">YEAR(A203)</f>
        <v>2024</v>
      </c>
      <c r="C203" s="102" t="n">
        <f aca="false">MONTH(A203)</f>
        <v>5</v>
      </c>
      <c r="D203" s="68" t="str">
        <f aca="false">"Q"&amp;ROUNDUP(C203/3,0)</f>
        <v>Q2</v>
      </c>
      <c r="E203" s="100" t="s">
        <v>291</v>
      </c>
      <c r="F203" s="100" t="s">
        <v>254</v>
      </c>
      <c r="G203" s="96" t="n">
        <v>7568</v>
      </c>
      <c r="H203" s="96" t="n">
        <v>5308</v>
      </c>
      <c r="I203" s="40" t="n">
        <f aca="false">G203-H203</f>
        <v>2260</v>
      </c>
      <c r="J203" s="68" t="str">
        <f aca="false">"S"&amp;TEXT(A203,"yyyymm")&amp;"-"&amp;UPPER(LEFT(E203,3))&amp;"-"&amp;UPPER(LEFT(F203,3))</f>
        <v>S202405-LUZ-HOU</v>
      </c>
    </row>
    <row r="204" customFormat="false" ht="15" hidden="false" customHeight="false" outlineLevel="0" collapsed="false">
      <c r="A204" s="101" t="n">
        <v>45443</v>
      </c>
      <c r="B204" s="102" t="n">
        <f aca="false">YEAR(A204)</f>
        <v>2024</v>
      </c>
      <c r="C204" s="102" t="n">
        <f aca="false">MONTH(A204)</f>
        <v>5</v>
      </c>
      <c r="D204" s="68" t="str">
        <f aca="false">"Q"&amp;ROUNDUP(C204/3,0)</f>
        <v>Q2</v>
      </c>
      <c r="E204" s="100" t="s">
        <v>292</v>
      </c>
      <c r="F204" s="100" t="s">
        <v>254</v>
      </c>
      <c r="G204" s="96" t="n">
        <v>3088</v>
      </c>
      <c r="H204" s="96" t="n">
        <v>2178</v>
      </c>
      <c r="I204" s="40" t="n">
        <f aca="false">G204-H204</f>
        <v>910</v>
      </c>
      <c r="J204" s="68" t="str">
        <f aca="false">"S"&amp;TEXT(A204,"yyyymm")&amp;"-"&amp;UPPER(LEFT(E204,3))&amp;"-"&amp;UPPER(LEFT(F204,3))</f>
        <v>S202405-VIS-HOU</v>
      </c>
    </row>
    <row r="205" customFormat="false" ht="15" hidden="false" customHeight="false" outlineLevel="0" collapsed="false">
      <c r="A205" s="101" t="n">
        <v>45443</v>
      </c>
      <c r="B205" s="102" t="n">
        <f aca="false">YEAR(A205)</f>
        <v>2024</v>
      </c>
      <c r="C205" s="102" t="n">
        <f aca="false">MONTH(A205)</f>
        <v>5</v>
      </c>
      <c r="D205" s="68" t="str">
        <f aca="false">"Q"&amp;ROUNDUP(C205/3,0)</f>
        <v>Q2</v>
      </c>
      <c r="E205" s="100" t="s">
        <v>293</v>
      </c>
      <c r="F205" s="100" t="s">
        <v>254</v>
      </c>
      <c r="G205" s="96" t="n">
        <v>2643</v>
      </c>
      <c r="H205" s="96" t="n">
        <v>1866</v>
      </c>
      <c r="I205" s="40" t="n">
        <f aca="false">G205-H205</f>
        <v>777</v>
      </c>
      <c r="J205" s="68" t="str">
        <f aca="false">"S"&amp;TEXT(A205,"yyyymm")&amp;"-"&amp;UPPER(LEFT(E205,3))&amp;"-"&amp;UPPER(LEFT(F205,3))</f>
        <v>S202405-MIN-HOU</v>
      </c>
    </row>
    <row r="206" customFormat="false" ht="15" hidden="false" customHeight="false" outlineLevel="0" collapsed="false">
      <c r="A206" s="101" t="n">
        <v>45443</v>
      </c>
      <c r="B206" s="102" t="n">
        <f aca="false">YEAR(A206)</f>
        <v>2024</v>
      </c>
      <c r="C206" s="102" t="n">
        <f aca="false">MONTH(A206)</f>
        <v>5</v>
      </c>
      <c r="D206" s="68" t="str">
        <f aca="false">"Q"&amp;ROUNDUP(C206/3,0)</f>
        <v>Q2</v>
      </c>
      <c r="E206" s="100" t="s">
        <v>291</v>
      </c>
      <c r="F206" s="100" t="s">
        <v>255</v>
      </c>
      <c r="G206" s="96" t="n">
        <v>5315</v>
      </c>
      <c r="H206" s="96" t="n">
        <v>4317</v>
      </c>
      <c r="I206" s="40" t="n">
        <f aca="false">G206-H206</f>
        <v>998</v>
      </c>
      <c r="J206" s="68" t="str">
        <f aca="false">"S"&amp;TEXT(A206,"yyyymm")&amp;"-"&amp;UPPER(LEFT(E206,3))&amp;"-"&amp;UPPER(LEFT(F206,3))</f>
        <v>S202405-LUZ-FRE</v>
      </c>
    </row>
    <row r="207" customFormat="false" ht="15" hidden="false" customHeight="false" outlineLevel="0" collapsed="false">
      <c r="A207" s="101" t="n">
        <v>45443</v>
      </c>
      <c r="B207" s="102" t="n">
        <f aca="false">YEAR(A207)</f>
        <v>2024</v>
      </c>
      <c r="C207" s="102" t="n">
        <f aca="false">MONTH(A207)</f>
        <v>5</v>
      </c>
      <c r="D207" s="68" t="str">
        <f aca="false">"Q"&amp;ROUNDUP(C207/3,0)</f>
        <v>Q2</v>
      </c>
      <c r="E207" s="100" t="s">
        <v>292</v>
      </c>
      <c r="F207" s="100" t="s">
        <v>255</v>
      </c>
      <c r="G207" s="96" t="n">
        <v>2127</v>
      </c>
      <c r="H207" s="96" t="n">
        <v>1728</v>
      </c>
      <c r="I207" s="40" t="n">
        <f aca="false">G207-H207</f>
        <v>399</v>
      </c>
      <c r="J207" s="68" t="str">
        <f aca="false">"S"&amp;TEXT(A207,"yyyymm")&amp;"-"&amp;UPPER(LEFT(E207,3))&amp;"-"&amp;UPPER(LEFT(F207,3))</f>
        <v>S202405-VIS-FRE</v>
      </c>
    </row>
    <row r="208" customFormat="false" ht="15" hidden="false" customHeight="false" outlineLevel="0" collapsed="false">
      <c r="A208" s="101" t="n">
        <v>45443</v>
      </c>
      <c r="B208" s="102" t="n">
        <f aca="false">YEAR(A208)</f>
        <v>2024</v>
      </c>
      <c r="C208" s="102" t="n">
        <f aca="false">MONTH(A208)</f>
        <v>5</v>
      </c>
      <c r="D208" s="68" t="str">
        <f aca="false">"Q"&amp;ROUNDUP(C208/3,0)</f>
        <v>Q2</v>
      </c>
      <c r="E208" s="100" t="s">
        <v>293</v>
      </c>
      <c r="F208" s="100" t="s">
        <v>255</v>
      </c>
      <c r="G208" s="96" t="n">
        <v>1802</v>
      </c>
      <c r="H208" s="96" t="n">
        <v>1470</v>
      </c>
      <c r="I208" s="40" t="n">
        <f aca="false">G208-H208</f>
        <v>332</v>
      </c>
      <c r="J208" s="68" t="str">
        <f aca="false">"S"&amp;TEXT(A208,"yyyymm")&amp;"-"&amp;UPPER(LEFT(E208,3))&amp;"-"&amp;UPPER(LEFT(F208,3))</f>
        <v>S202405-MIN-FRE</v>
      </c>
    </row>
    <row r="209" customFormat="false" ht="15" hidden="false" customHeight="false" outlineLevel="0" collapsed="false">
      <c r="A209" s="101" t="n">
        <v>45473</v>
      </c>
      <c r="B209" s="102" t="n">
        <f aca="false">YEAR(A209)</f>
        <v>2024</v>
      </c>
      <c r="C209" s="102" t="n">
        <f aca="false">MONTH(A209)</f>
        <v>6</v>
      </c>
      <c r="D209" s="68" t="str">
        <f aca="false">"Q"&amp;ROUNDUP(C209/3,0)</f>
        <v>Q2</v>
      </c>
      <c r="E209" s="100" t="s">
        <v>291</v>
      </c>
      <c r="F209" s="100" t="s">
        <v>252</v>
      </c>
      <c r="G209" s="96" t="n">
        <v>16749</v>
      </c>
      <c r="H209" s="96" t="n">
        <v>12653</v>
      </c>
      <c r="I209" s="40" t="n">
        <f aca="false">G209-H209</f>
        <v>4096</v>
      </c>
      <c r="J209" s="68" t="str">
        <f aca="false">"S"&amp;TEXT(A209,"yyyymm")&amp;"-"&amp;UPPER(LEFT(E209,3))&amp;"-"&amp;UPPER(LEFT(F209,3))</f>
        <v>S202406-LUZ-PAC</v>
      </c>
    </row>
    <row r="210" customFormat="false" ht="15" hidden="false" customHeight="false" outlineLevel="0" collapsed="false">
      <c r="A210" s="101" t="n">
        <v>45473</v>
      </c>
      <c r="B210" s="102" t="n">
        <f aca="false">YEAR(A210)</f>
        <v>2024</v>
      </c>
      <c r="C210" s="102" t="n">
        <f aca="false">MONTH(A210)</f>
        <v>6</v>
      </c>
      <c r="D210" s="68" t="str">
        <f aca="false">"Q"&amp;ROUNDUP(C210/3,0)</f>
        <v>Q2</v>
      </c>
      <c r="E210" s="100" t="s">
        <v>292</v>
      </c>
      <c r="F210" s="100" t="s">
        <v>252</v>
      </c>
      <c r="G210" s="96" t="n">
        <v>6751</v>
      </c>
      <c r="H210" s="96" t="n">
        <v>5046</v>
      </c>
      <c r="I210" s="40" t="n">
        <f aca="false">G210-H210</f>
        <v>1705</v>
      </c>
      <c r="J210" s="68" t="str">
        <f aca="false">"S"&amp;TEXT(A210,"yyyymm")&amp;"-"&amp;UPPER(LEFT(E210,3))&amp;"-"&amp;UPPER(LEFT(F210,3))</f>
        <v>S202406-VIS-PAC</v>
      </c>
    </row>
    <row r="211" customFormat="false" ht="15" hidden="false" customHeight="false" outlineLevel="0" collapsed="false">
      <c r="A211" s="101" t="n">
        <v>45473</v>
      </c>
      <c r="B211" s="102" t="n">
        <f aca="false">YEAR(A211)</f>
        <v>2024</v>
      </c>
      <c r="C211" s="102" t="n">
        <f aca="false">MONTH(A211)</f>
        <v>6</v>
      </c>
      <c r="D211" s="68" t="str">
        <f aca="false">"Q"&amp;ROUNDUP(C211/3,0)</f>
        <v>Q2</v>
      </c>
      <c r="E211" s="100" t="s">
        <v>293</v>
      </c>
      <c r="F211" s="100" t="s">
        <v>252</v>
      </c>
      <c r="G211" s="96" t="n">
        <v>5632</v>
      </c>
      <c r="H211" s="96" t="n">
        <v>4229</v>
      </c>
      <c r="I211" s="40" t="n">
        <f aca="false">G211-H211</f>
        <v>1403</v>
      </c>
      <c r="J211" s="68" t="str">
        <f aca="false">"S"&amp;TEXT(A211,"yyyymm")&amp;"-"&amp;UPPER(LEFT(E211,3))&amp;"-"&amp;UPPER(LEFT(F211,3))</f>
        <v>S202406-MIN-PAC</v>
      </c>
    </row>
    <row r="212" customFormat="false" ht="15" hidden="false" customHeight="false" outlineLevel="0" collapsed="false">
      <c r="A212" s="101" t="n">
        <v>45473</v>
      </c>
      <c r="B212" s="102" t="n">
        <f aca="false">YEAR(A212)</f>
        <v>2024</v>
      </c>
      <c r="C212" s="102" t="n">
        <f aca="false">MONTH(A212)</f>
        <v>6</v>
      </c>
      <c r="D212" s="68" t="str">
        <f aca="false">"Q"&amp;ROUNDUP(C212/3,0)</f>
        <v>Q2</v>
      </c>
      <c r="E212" s="100" t="s">
        <v>291</v>
      </c>
      <c r="F212" s="100" t="s">
        <v>253</v>
      </c>
      <c r="G212" s="96" t="n">
        <v>12809</v>
      </c>
      <c r="H212" s="96" t="n">
        <v>9350</v>
      </c>
      <c r="I212" s="40" t="n">
        <f aca="false">G212-H212</f>
        <v>3459</v>
      </c>
      <c r="J212" s="68" t="str">
        <f aca="false">"S"&amp;TEXT(A212,"yyyymm")&amp;"-"&amp;UPPER(LEFT(E212,3))&amp;"-"&amp;UPPER(LEFT(F212,3))</f>
        <v>S202406-LUZ-BEV</v>
      </c>
    </row>
    <row r="213" customFormat="false" ht="15" hidden="false" customHeight="false" outlineLevel="0" collapsed="false">
      <c r="A213" s="101" t="n">
        <v>45473</v>
      </c>
      <c r="B213" s="102" t="n">
        <f aca="false">YEAR(A213)</f>
        <v>2024</v>
      </c>
      <c r="C213" s="102" t="n">
        <f aca="false">MONTH(A213)</f>
        <v>6</v>
      </c>
      <c r="D213" s="68" t="str">
        <f aca="false">"Q"&amp;ROUNDUP(C213/3,0)</f>
        <v>Q2</v>
      </c>
      <c r="E213" s="100" t="s">
        <v>292</v>
      </c>
      <c r="F213" s="100" t="s">
        <v>253</v>
      </c>
      <c r="G213" s="96" t="n">
        <v>5247</v>
      </c>
      <c r="H213" s="96" t="n">
        <v>3829</v>
      </c>
      <c r="I213" s="40" t="n">
        <f aca="false">G213-H213</f>
        <v>1418</v>
      </c>
      <c r="J213" s="68" t="str">
        <f aca="false">"S"&amp;TEXT(A213,"yyyymm")&amp;"-"&amp;UPPER(LEFT(E213,3))&amp;"-"&amp;UPPER(LEFT(F213,3))</f>
        <v>S202406-VIS-BEV</v>
      </c>
    </row>
    <row r="214" customFormat="false" ht="15" hidden="false" customHeight="false" outlineLevel="0" collapsed="false">
      <c r="A214" s="101" t="n">
        <v>45473</v>
      </c>
      <c r="B214" s="102" t="n">
        <f aca="false">YEAR(A214)</f>
        <v>2024</v>
      </c>
      <c r="C214" s="102" t="n">
        <f aca="false">MONTH(A214)</f>
        <v>6</v>
      </c>
      <c r="D214" s="68" t="str">
        <f aca="false">"Q"&amp;ROUNDUP(C214/3,0)</f>
        <v>Q2</v>
      </c>
      <c r="E214" s="100" t="s">
        <v>293</v>
      </c>
      <c r="F214" s="100" t="s">
        <v>253</v>
      </c>
      <c r="G214" s="96" t="n">
        <v>4548</v>
      </c>
      <c r="H214" s="96" t="n">
        <v>3333</v>
      </c>
      <c r="I214" s="40" t="n">
        <f aca="false">G214-H214</f>
        <v>1215</v>
      </c>
      <c r="J214" s="68" t="str">
        <f aca="false">"S"&amp;TEXT(A214,"yyyymm")&amp;"-"&amp;UPPER(LEFT(E214,3))&amp;"-"&amp;UPPER(LEFT(F214,3))</f>
        <v>S202406-MIN-BEV</v>
      </c>
    </row>
    <row r="215" customFormat="false" ht="15" hidden="false" customHeight="false" outlineLevel="0" collapsed="false">
      <c r="A215" s="101" t="n">
        <v>45473</v>
      </c>
      <c r="B215" s="102" t="n">
        <f aca="false">YEAR(A215)</f>
        <v>2024</v>
      </c>
      <c r="C215" s="102" t="n">
        <f aca="false">MONTH(A215)</f>
        <v>6</v>
      </c>
      <c r="D215" s="68" t="str">
        <f aca="false">"Q"&amp;ROUNDUP(C215/3,0)</f>
        <v>Q2</v>
      </c>
      <c r="E215" s="100" t="s">
        <v>291</v>
      </c>
      <c r="F215" s="100" t="s">
        <v>254</v>
      </c>
      <c r="G215" s="96" t="n">
        <v>7670</v>
      </c>
      <c r="H215" s="96" t="n">
        <v>5399</v>
      </c>
      <c r="I215" s="40" t="n">
        <f aca="false">G215-H215</f>
        <v>2271</v>
      </c>
      <c r="J215" s="68" t="str">
        <f aca="false">"S"&amp;TEXT(A215,"yyyymm")&amp;"-"&amp;UPPER(LEFT(E215,3))&amp;"-"&amp;UPPER(LEFT(F215,3))</f>
        <v>S202406-LUZ-HOU</v>
      </c>
    </row>
    <row r="216" customFormat="false" ht="15" hidden="false" customHeight="false" outlineLevel="0" collapsed="false">
      <c r="A216" s="101" t="n">
        <v>45473</v>
      </c>
      <c r="B216" s="102" t="n">
        <f aca="false">YEAR(A216)</f>
        <v>2024</v>
      </c>
      <c r="C216" s="102" t="n">
        <f aca="false">MONTH(A216)</f>
        <v>6</v>
      </c>
      <c r="D216" s="68" t="str">
        <f aca="false">"Q"&amp;ROUNDUP(C216/3,0)</f>
        <v>Q2</v>
      </c>
      <c r="E216" s="100" t="s">
        <v>292</v>
      </c>
      <c r="F216" s="100" t="s">
        <v>254</v>
      </c>
      <c r="G216" s="96" t="n">
        <v>2979</v>
      </c>
      <c r="H216" s="96" t="n">
        <v>2094</v>
      </c>
      <c r="I216" s="40" t="n">
        <f aca="false">G216-H216</f>
        <v>885</v>
      </c>
      <c r="J216" s="68" t="str">
        <f aca="false">"S"&amp;TEXT(A216,"yyyymm")&amp;"-"&amp;UPPER(LEFT(E216,3))&amp;"-"&amp;UPPER(LEFT(F216,3))</f>
        <v>S202406-VIS-HOU</v>
      </c>
    </row>
    <row r="217" customFormat="false" ht="15" hidden="false" customHeight="false" outlineLevel="0" collapsed="false">
      <c r="A217" s="101" t="n">
        <v>45473</v>
      </c>
      <c r="B217" s="102" t="n">
        <f aca="false">YEAR(A217)</f>
        <v>2024</v>
      </c>
      <c r="C217" s="102" t="n">
        <f aca="false">MONTH(A217)</f>
        <v>6</v>
      </c>
      <c r="D217" s="68" t="str">
        <f aca="false">"Q"&amp;ROUNDUP(C217/3,0)</f>
        <v>Q2</v>
      </c>
      <c r="E217" s="100" t="s">
        <v>293</v>
      </c>
      <c r="F217" s="100" t="s">
        <v>254</v>
      </c>
      <c r="G217" s="96" t="n">
        <v>2566</v>
      </c>
      <c r="H217" s="96" t="n">
        <v>1798</v>
      </c>
      <c r="I217" s="40" t="n">
        <f aca="false">G217-H217</f>
        <v>768</v>
      </c>
      <c r="J217" s="68" t="str">
        <f aca="false">"S"&amp;TEXT(A217,"yyyymm")&amp;"-"&amp;UPPER(LEFT(E217,3))&amp;"-"&amp;UPPER(LEFT(F217,3))</f>
        <v>S202406-MIN-HOU</v>
      </c>
    </row>
    <row r="218" customFormat="false" ht="15" hidden="false" customHeight="false" outlineLevel="0" collapsed="false">
      <c r="A218" s="101" t="n">
        <v>45473</v>
      </c>
      <c r="B218" s="102" t="n">
        <f aca="false">YEAR(A218)</f>
        <v>2024</v>
      </c>
      <c r="C218" s="102" t="n">
        <f aca="false">MONTH(A218)</f>
        <v>6</v>
      </c>
      <c r="D218" s="68" t="str">
        <f aca="false">"Q"&amp;ROUNDUP(C218/3,0)</f>
        <v>Q2</v>
      </c>
      <c r="E218" s="100" t="s">
        <v>291</v>
      </c>
      <c r="F218" s="100" t="s">
        <v>255</v>
      </c>
      <c r="G218" s="96" t="n">
        <v>5527</v>
      </c>
      <c r="H218" s="96" t="n">
        <v>4468</v>
      </c>
      <c r="I218" s="40" t="n">
        <f aca="false">G218-H218</f>
        <v>1059</v>
      </c>
      <c r="J218" s="68" t="str">
        <f aca="false">"S"&amp;TEXT(A218,"yyyymm")&amp;"-"&amp;UPPER(LEFT(E218,3))&amp;"-"&amp;UPPER(LEFT(F218,3))</f>
        <v>S202406-LUZ-FRE</v>
      </c>
    </row>
    <row r="219" customFormat="false" ht="15" hidden="false" customHeight="false" outlineLevel="0" collapsed="false">
      <c r="A219" s="101" t="n">
        <v>45473</v>
      </c>
      <c r="B219" s="102" t="n">
        <f aca="false">YEAR(A219)</f>
        <v>2024</v>
      </c>
      <c r="C219" s="102" t="n">
        <f aca="false">MONTH(A219)</f>
        <v>6</v>
      </c>
      <c r="D219" s="68" t="str">
        <f aca="false">"Q"&amp;ROUNDUP(C219/3,0)</f>
        <v>Q2</v>
      </c>
      <c r="E219" s="100" t="s">
        <v>292</v>
      </c>
      <c r="F219" s="100" t="s">
        <v>255</v>
      </c>
      <c r="G219" s="96" t="n">
        <v>2160</v>
      </c>
      <c r="H219" s="96" t="n">
        <v>1761</v>
      </c>
      <c r="I219" s="40" t="n">
        <f aca="false">G219-H219</f>
        <v>399</v>
      </c>
      <c r="J219" s="68" t="str">
        <f aca="false">"S"&amp;TEXT(A219,"yyyymm")&amp;"-"&amp;UPPER(LEFT(E219,3))&amp;"-"&amp;UPPER(LEFT(F219,3))</f>
        <v>S202406-VIS-FRE</v>
      </c>
    </row>
    <row r="220" customFormat="false" ht="15" hidden="false" customHeight="false" outlineLevel="0" collapsed="false">
      <c r="A220" s="101" t="n">
        <v>45473</v>
      </c>
      <c r="B220" s="102" t="n">
        <f aca="false">YEAR(A220)</f>
        <v>2024</v>
      </c>
      <c r="C220" s="102" t="n">
        <f aca="false">MONTH(A220)</f>
        <v>6</v>
      </c>
      <c r="D220" s="68" t="str">
        <f aca="false">"Q"&amp;ROUNDUP(C220/3,0)</f>
        <v>Q2</v>
      </c>
      <c r="E220" s="100" t="s">
        <v>293</v>
      </c>
      <c r="F220" s="100" t="s">
        <v>255</v>
      </c>
      <c r="G220" s="96" t="n">
        <v>1850</v>
      </c>
      <c r="H220" s="96" t="n">
        <v>1501</v>
      </c>
      <c r="I220" s="40" t="n">
        <f aca="false">G220-H220</f>
        <v>349</v>
      </c>
      <c r="J220" s="68" t="str">
        <f aca="false">"S"&amp;TEXT(A220,"yyyymm")&amp;"-"&amp;UPPER(LEFT(E220,3))&amp;"-"&amp;UPPER(LEFT(F220,3))</f>
        <v>S202406-MIN-FRE</v>
      </c>
    </row>
    <row r="221" customFormat="false" ht="15" hidden="false" customHeight="false" outlineLevel="0" collapsed="false">
      <c r="A221" s="101" t="n">
        <v>45504</v>
      </c>
      <c r="B221" s="102" t="n">
        <f aca="false">YEAR(A221)</f>
        <v>2024</v>
      </c>
      <c r="C221" s="102" t="n">
        <f aca="false">MONTH(A221)</f>
        <v>7</v>
      </c>
      <c r="D221" s="68" t="str">
        <f aca="false">"Q"&amp;ROUNDUP(C221/3,0)</f>
        <v>Q3</v>
      </c>
      <c r="E221" s="100" t="s">
        <v>291</v>
      </c>
      <c r="F221" s="100" t="s">
        <v>252</v>
      </c>
      <c r="G221" s="96" t="n">
        <v>17329</v>
      </c>
      <c r="H221" s="96" t="n">
        <v>12966</v>
      </c>
      <c r="I221" s="40" t="n">
        <f aca="false">G221-H221</f>
        <v>4363</v>
      </c>
      <c r="J221" s="68" t="str">
        <f aca="false">"S"&amp;TEXT(A221,"yyyymm")&amp;"-"&amp;UPPER(LEFT(E221,3))&amp;"-"&amp;UPPER(LEFT(F221,3))</f>
        <v>S202407-LUZ-PAC</v>
      </c>
    </row>
    <row r="222" customFormat="false" ht="15" hidden="false" customHeight="false" outlineLevel="0" collapsed="false">
      <c r="A222" s="101" t="n">
        <v>45504</v>
      </c>
      <c r="B222" s="102" t="n">
        <f aca="false">YEAR(A222)</f>
        <v>2024</v>
      </c>
      <c r="C222" s="102" t="n">
        <f aca="false">MONTH(A222)</f>
        <v>7</v>
      </c>
      <c r="D222" s="68" t="str">
        <f aca="false">"Q"&amp;ROUNDUP(C222/3,0)</f>
        <v>Q3</v>
      </c>
      <c r="E222" s="100" t="s">
        <v>292</v>
      </c>
      <c r="F222" s="100" t="s">
        <v>252</v>
      </c>
      <c r="G222" s="96" t="n">
        <v>7012</v>
      </c>
      <c r="H222" s="96" t="n">
        <v>5247</v>
      </c>
      <c r="I222" s="40" t="n">
        <f aca="false">G222-H222</f>
        <v>1765</v>
      </c>
      <c r="J222" s="68" t="str">
        <f aca="false">"S"&amp;TEXT(A222,"yyyymm")&amp;"-"&amp;UPPER(LEFT(E222,3))&amp;"-"&amp;UPPER(LEFT(F222,3))</f>
        <v>S202407-VIS-PAC</v>
      </c>
    </row>
    <row r="223" customFormat="false" ht="15" hidden="false" customHeight="false" outlineLevel="0" collapsed="false">
      <c r="A223" s="101" t="n">
        <v>45504</v>
      </c>
      <c r="B223" s="102" t="n">
        <f aca="false">YEAR(A223)</f>
        <v>2024</v>
      </c>
      <c r="C223" s="102" t="n">
        <f aca="false">MONTH(A223)</f>
        <v>7</v>
      </c>
      <c r="D223" s="68" t="str">
        <f aca="false">"Q"&amp;ROUNDUP(C223/3,0)</f>
        <v>Q3</v>
      </c>
      <c r="E223" s="100" t="s">
        <v>293</v>
      </c>
      <c r="F223" s="100" t="s">
        <v>252</v>
      </c>
      <c r="G223" s="96" t="n">
        <v>5845</v>
      </c>
      <c r="H223" s="96" t="n">
        <v>4386</v>
      </c>
      <c r="I223" s="40" t="n">
        <f aca="false">G223-H223</f>
        <v>1459</v>
      </c>
      <c r="J223" s="68" t="str">
        <f aca="false">"S"&amp;TEXT(A223,"yyyymm")&amp;"-"&amp;UPPER(LEFT(E223,3))&amp;"-"&amp;UPPER(LEFT(F223,3))</f>
        <v>S202407-MIN-PAC</v>
      </c>
    </row>
    <row r="224" customFormat="false" ht="15" hidden="false" customHeight="false" outlineLevel="0" collapsed="false">
      <c r="A224" s="101" t="n">
        <v>45504</v>
      </c>
      <c r="B224" s="102" t="n">
        <f aca="false">YEAR(A224)</f>
        <v>2024</v>
      </c>
      <c r="C224" s="102" t="n">
        <f aca="false">MONTH(A224)</f>
        <v>7</v>
      </c>
      <c r="D224" s="68" t="str">
        <f aca="false">"Q"&amp;ROUNDUP(C224/3,0)</f>
        <v>Q3</v>
      </c>
      <c r="E224" s="100" t="s">
        <v>291</v>
      </c>
      <c r="F224" s="100" t="s">
        <v>253</v>
      </c>
      <c r="G224" s="96" t="n">
        <v>12730</v>
      </c>
      <c r="H224" s="96" t="n">
        <v>9300</v>
      </c>
      <c r="I224" s="40" t="n">
        <f aca="false">G224-H224</f>
        <v>3430</v>
      </c>
      <c r="J224" s="68" t="str">
        <f aca="false">"S"&amp;TEXT(A224,"yyyymm")&amp;"-"&amp;UPPER(LEFT(E224,3))&amp;"-"&amp;UPPER(LEFT(F224,3))</f>
        <v>S202407-LUZ-BEV</v>
      </c>
    </row>
    <row r="225" customFormat="false" ht="15" hidden="false" customHeight="false" outlineLevel="0" collapsed="false">
      <c r="A225" s="101" t="n">
        <v>45504</v>
      </c>
      <c r="B225" s="102" t="n">
        <f aca="false">YEAR(A225)</f>
        <v>2024</v>
      </c>
      <c r="C225" s="102" t="n">
        <f aca="false">MONTH(A225)</f>
        <v>7</v>
      </c>
      <c r="D225" s="68" t="str">
        <f aca="false">"Q"&amp;ROUNDUP(C225/3,0)</f>
        <v>Q3</v>
      </c>
      <c r="E225" s="100" t="s">
        <v>292</v>
      </c>
      <c r="F225" s="100" t="s">
        <v>253</v>
      </c>
      <c r="G225" s="96" t="n">
        <v>4963</v>
      </c>
      <c r="H225" s="96" t="n">
        <v>3638</v>
      </c>
      <c r="I225" s="40" t="n">
        <f aca="false">G225-H225</f>
        <v>1325</v>
      </c>
      <c r="J225" s="68" t="str">
        <f aca="false">"S"&amp;TEXT(A225,"yyyymm")&amp;"-"&amp;UPPER(LEFT(E225,3))&amp;"-"&amp;UPPER(LEFT(F225,3))</f>
        <v>S202407-VIS-BEV</v>
      </c>
    </row>
    <row r="226" customFormat="false" ht="15" hidden="false" customHeight="false" outlineLevel="0" collapsed="false">
      <c r="A226" s="101" t="n">
        <v>45504</v>
      </c>
      <c r="B226" s="102" t="n">
        <f aca="false">YEAR(A226)</f>
        <v>2024</v>
      </c>
      <c r="C226" s="102" t="n">
        <f aca="false">MONTH(A226)</f>
        <v>7</v>
      </c>
      <c r="D226" s="68" t="str">
        <f aca="false">"Q"&amp;ROUNDUP(C226/3,0)</f>
        <v>Q3</v>
      </c>
      <c r="E226" s="100" t="s">
        <v>293</v>
      </c>
      <c r="F226" s="100" t="s">
        <v>253</v>
      </c>
      <c r="G226" s="96" t="n">
        <v>4210</v>
      </c>
      <c r="H226" s="96" t="n">
        <v>3101</v>
      </c>
      <c r="I226" s="40" t="n">
        <f aca="false">G226-H226</f>
        <v>1109</v>
      </c>
      <c r="J226" s="68" t="str">
        <f aca="false">"S"&amp;TEXT(A226,"yyyymm")&amp;"-"&amp;UPPER(LEFT(E226,3))&amp;"-"&amp;UPPER(LEFT(F226,3))</f>
        <v>S202407-MIN-BEV</v>
      </c>
    </row>
    <row r="227" customFormat="false" ht="15" hidden="false" customHeight="false" outlineLevel="0" collapsed="false">
      <c r="A227" s="101" t="n">
        <v>45504</v>
      </c>
      <c r="B227" s="102" t="n">
        <f aca="false">YEAR(A227)</f>
        <v>2024</v>
      </c>
      <c r="C227" s="102" t="n">
        <f aca="false">MONTH(A227)</f>
        <v>7</v>
      </c>
      <c r="D227" s="68" t="str">
        <f aca="false">"Q"&amp;ROUNDUP(C227/3,0)</f>
        <v>Q3</v>
      </c>
      <c r="E227" s="100" t="s">
        <v>291</v>
      </c>
      <c r="F227" s="100" t="s">
        <v>254</v>
      </c>
      <c r="G227" s="96" t="n">
        <v>7832</v>
      </c>
      <c r="H227" s="96" t="n">
        <v>5522</v>
      </c>
      <c r="I227" s="40" t="n">
        <f aca="false">G227-H227</f>
        <v>2310</v>
      </c>
      <c r="J227" s="68" t="str">
        <f aca="false">"S"&amp;TEXT(A227,"yyyymm")&amp;"-"&amp;UPPER(LEFT(E227,3))&amp;"-"&amp;UPPER(LEFT(F227,3))</f>
        <v>S202407-LUZ-HOU</v>
      </c>
    </row>
    <row r="228" customFormat="false" ht="15" hidden="false" customHeight="false" outlineLevel="0" collapsed="false">
      <c r="A228" s="101" t="n">
        <v>45504</v>
      </c>
      <c r="B228" s="102" t="n">
        <f aca="false">YEAR(A228)</f>
        <v>2024</v>
      </c>
      <c r="C228" s="102" t="n">
        <f aca="false">MONTH(A228)</f>
        <v>7</v>
      </c>
      <c r="D228" s="68" t="str">
        <f aca="false">"Q"&amp;ROUNDUP(C228/3,0)</f>
        <v>Q3</v>
      </c>
      <c r="E228" s="100" t="s">
        <v>292</v>
      </c>
      <c r="F228" s="100" t="s">
        <v>254</v>
      </c>
      <c r="G228" s="96" t="n">
        <v>3073</v>
      </c>
      <c r="H228" s="96" t="n">
        <v>2149</v>
      </c>
      <c r="I228" s="40" t="n">
        <f aca="false">G228-H228</f>
        <v>924</v>
      </c>
      <c r="J228" s="68" t="str">
        <f aca="false">"S"&amp;TEXT(A228,"yyyymm")&amp;"-"&amp;UPPER(LEFT(E228,3))&amp;"-"&amp;UPPER(LEFT(F228,3))</f>
        <v>S202407-VIS-HOU</v>
      </c>
    </row>
    <row r="229" customFormat="false" ht="15" hidden="false" customHeight="false" outlineLevel="0" collapsed="false">
      <c r="A229" s="101" t="n">
        <v>45504</v>
      </c>
      <c r="B229" s="102" t="n">
        <f aca="false">YEAR(A229)</f>
        <v>2024</v>
      </c>
      <c r="C229" s="102" t="n">
        <f aca="false">MONTH(A229)</f>
        <v>7</v>
      </c>
      <c r="D229" s="68" t="str">
        <f aca="false">"Q"&amp;ROUNDUP(C229/3,0)</f>
        <v>Q3</v>
      </c>
      <c r="E229" s="100" t="s">
        <v>293</v>
      </c>
      <c r="F229" s="100" t="s">
        <v>254</v>
      </c>
      <c r="G229" s="96" t="n">
        <v>2669</v>
      </c>
      <c r="H229" s="96" t="n">
        <v>1867</v>
      </c>
      <c r="I229" s="40" t="n">
        <f aca="false">G229-H229</f>
        <v>802</v>
      </c>
      <c r="J229" s="68" t="str">
        <f aca="false">"S"&amp;TEXT(A229,"yyyymm")&amp;"-"&amp;UPPER(LEFT(E229,3))&amp;"-"&amp;UPPER(LEFT(F229,3))</f>
        <v>S202407-MIN-HOU</v>
      </c>
    </row>
    <row r="230" customFormat="false" ht="15" hidden="false" customHeight="false" outlineLevel="0" collapsed="false">
      <c r="A230" s="101" t="n">
        <v>45504</v>
      </c>
      <c r="B230" s="102" t="n">
        <f aca="false">YEAR(A230)</f>
        <v>2024</v>
      </c>
      <c r="C230" s="102" t="n">
        <f aca="false">MONTH(A230)</f>
        <v>7</v>
      </c>
      <c r="D230" s="68" t="str">
        <f aca="false">"Q"&amp;ROUNDUP(C230/3,0)</f>
        <v>Q3</v>
      </c>
      <c r="E230" s="100" t="s">
        <v>291</v>
      </c>
      <c r="F230" s="100" t="s">
        <v>255</v>
      </c>
      <c r="G230" s="96" t="n">
        <v>5538</v>
      </c>
      <c r="H230" s="96" t="n">
        <v>4489</v>
      </c>
      <c r="I230" s="40" t="n">
        <f aca="false">G230-H230</f>
        <v>1049</v>
      </c>
      <c r="J230" s="68" t="str">
        <f aca="false">"S"&amp;TEXT(A230,"yyyymm")&amp;"-"&amp;UPPER(LEFT(E230,3))&amp;"-"&amp;UPPER(LEFT(F230,3))</f>
        <v>S202407-LUZ-FRE</v>
      </c>
    </row>
    <row r="231" customFormat="false" ht="15" hidden="false" customHeight="false" outlineLevel="0" collapsed="false">
      <c r="A231" s="101" t="n">
        <v>45504</v>
      </c>
      <c r="B231" s="102" t="n">
        <f aca="false">YEAR(A231)</f>
        <v>2024</v>
      </c>
      <c r="C231" s="102" t="n">
        <f aca="false">MONTH(A231)</f>
        <v>7</v>
      </c>
      <c r="D231" s="68" t="str">
        <f aca="false">"Q"&amp;ROUNDUP(C231/3,0)</f>
        <v>Q3</v>
      </c>
      <c r="E231" s="100" t="s">
        <v>292</v>
      </c>
      <c r="F231" s="100" t="s">
        <v>255</v>
      </c>
      <c r="G231" s="96" t="n">
        <v>2228</v>
      </c>
      <c r="H231" s="96" t="n">
        <v>1807</v>
      </c>
      <c r="I231" s="40" t="n">
        <f aca="false">G231-H231</f>
        <v>421</v>
      </c>
      <c r="J231" s="68" t="str">
        <f aca="false">"S"&amp;TEXT(A231,"yyyymm")&amp;"-"&amp;UPPER(LEFT(E231,3))&amp;"-"&amp;UPPER(LEFT(F231,3))</f>
        <v>S202407-VIS-FRE</v>
      </c>
    </row>
    <row r="232" customFormat="false" ht="15" hidden="false" customHeight="false" outlineLevel="0" collapsed="false">
      <c r="A232" s="101" t="n">
        <v>45504</v>
      </c>
      <c r="B232" s="102" t="n">
        <f aca="false">YEAR(A232)</f>
        <v>2024</v>
      </c>
      <c r="C232" s="102" t="n">
        <f aca="false">MONTH(A232)</f>
        <v>7</v>
      </c>
      <c r="D232" s="68" t="str">
        <f aca="false">"Q"&amp;ROUNDUP(C232/3,0)</f>
        <v>Q3</v>
      </c>
      <c r="E232" s="100" t="s">
        <v>293</v>
      </c>
      <c r="F232" s="100" t="s">
        <v>255</v>
      </c>
      <c r="G232" s="96" t="n">
        <v>1891</v>
      </c>
      <c r="H232" s="96" t="n">
        <v>1533</v>
      </c>
      <c r="I232" s="40" t="n">
        <f aca="false">G232-H232</f>
        <v>358</v>
      </c>
      <c r="J232" s="68" t="str">
        <f aca="false">"S"&amp;TEXT(A232,"yyyymm")&amp;"-"&amp;UPPER(LEFT(E232,3))&amp;"-"&amp;UPPER(LEFT(F232,3))</f>
        <v>S202407-MIN-FRE</v>
      </c>
    </row>
    <row r="233" customFormat="false" ht="15" hidden="false" customHeight="false" outlineLevel="0" collapsed="false">
      <c r="A233" s="101" t="n">
        <v>45535</v>
      </c>
      <c r="B233" s="102" t="n">
        <f aca="false">YEAR(A233)</f>
        <v>2024</v>
      </c>
      <c r="C233" s="102" t="n">
        <f aca="false">MONTH(A233)</f>
        <v>8</v>
      </c>
      <c r="D233" s="68" t="str">
        <f aca="false">"Q"&amp;ROUNDUP(C233/3,0)</f>
        <v>Q3</v>
      </c>
      <c r="E233" s="100" t="s">
        <v>291</v>
      </c>
      <c r="F233" s="100" t="s">
        <v>252</v>
      </c>
      <c r="G233" s="96" t="n">
        <v>17215</v>
      </c>
      <c r="H233" s="96" t="n">
        <v>12983</v>
      </c>
      <c r="I233" s="40" t="n">
        <f aca="false">G233-H233</f>
        <v>4232</v>
      </c>
      <c r="J233" s="68" t="str">
        <f aca="false">"S"&amp;TEXT(A233,"yyyymm")&amp;"-"&amp;UPPER(LEFT(E233,3))&amp;"-"&amp;UPPER(LEFT(F233,3))</f>
        <v>S202408-LUZ-PAC</v>
      </c>
    </row>
    <row r="234" customFormat="false" ht="15" hidden="false" customHeight="false" outlineLevel="0" collapsed="false">
      <c r="A234" s="101" t="n">
        <v>45535</v>
      </c>
      <c r="B234" s="102" t="n">
        <f aca="false">YEAR(A234)</f>
        <v>2024</v>
      </c>
      <c r="C234" s="102" t="n">
        <f aca="false">MONTH(A234)</f>
        <v>8</v>
      </c>
      <c r="D234" s="68" t="str">
        <f aca="false">"Q"&amp;ROUNDUP(C234/3,0)</f>
        <v>Q3</v>
      </c>
      <c r="E234" s="100" t="s">
        <v>292</v>
      </c>
      <c r="F234" s="100" t="s">
        <v>252</v>
      </c>
      <c r="G234" s="96" t="n">
        <v>7098</v>
      </c>
      <c r="H234" s="96" t="n">
        <v>5314</v>
      </c>
      <c r="I234" s="40" t="n">
        <f aca="false">G234-H234</f>
        <v>1784</v>
      </c>
      <c r="J234" s="68" t="str">
        <f aca="false">"S"&amp;TEXT(A234,"yyyymm")&amp;"-"&amp;UPPER(LEFT(E234,3))&amp;"-"&amp;UPPER(LEFT(F234,3))</f>
        <v>S202408-VIS-PAC</v>
      </c>
    </row>
    <row r="235" customFormat="false" ht="15" hidden="false" customHeight="false" outlineLevel="0" collapsed="false">
      <c r="A235" s="101" t="n">
        <v>45535</v>
      </c>
      <c r="B235" s="102" t="n">
        <f aca="false">YEAR(A235)</f>
        <v>2024</v>
      </c>
      <c r="C235" s="102" t="n">
        <f aca="false">MONTH(A235)</f>
        <v>8</v>
      </c>
      <c r="D235" s="68" t="str">
        <f aca="false">"Q"&amp;ROUNDUP(C235/3,0)</f>
        <v>Q3</v>
      </c>
      <c r="E235" s="100" t="s">
        <v>293</v>
      </c>
      <c r="F235" s="100" t="s">
        <v>252</v>
      </c>
      <c r="G235" s="96" t="n">
        <v>5879</v>
      </c>
      <c r="H235" s="96" t="n">
        <v>4439</v>
      </c>
      <c r="I235" s="40" t="n">
        <f aca="false">G235-H235</f>
        <v>1440</v>
      </c>
      <c r="J235" s="68" t="str">
        <f aca="false">"S"&amp;TEXT(A235,"yyyymm")&amp;"-"&amp;UPPER(LEFT(E235,3))&amp;"-"&amp;UPPER(LEFT(F235,3))</f>
        <v>S202408-MIN-PAC</v>
      </c>
    </row>
    <row r="236" customFormat="false" ht="15" hidden="false" customHeight="false" outlineLevel="0" collapsed="false">
      <c r="A236" s="101" t="n">
        <v>45535</v>
      </c>
      <c r="B236" s="102" t="n">
        <f aca="false">YEAR(A236)</f>
        <v>2024</v>
      </c>
      <c r="C236" s="102" t="n">
        <f aca="false">MONTH(A236)</f>
        <v>8</v>
      </c>
      <c r="D236" s="68" t="str">
        <f aca="false">"Q"&amp;ROUNDUP(C236/3,0)</f>
        <v>Q3</v>
      </c>
      <c r="E236" s="100" t="s">
        <v>291</v>
      </c>
      <c r="F236" s="100" t="s">
        <v>253</v>
      </c>
      <c r="G236" s="96" t="n">
        <v>12647</v>
      </c>
      <c r="H236" s="96" t="n">
        <v>9308</v>
      </c>
      <c r="I236" s="40" t="n">
        <f aca="false">G236-H236</f>
        <v>3339</v>
      </c>
      <c r="J236" s="68" t="str">
        <f aca="false">"S"&amp;TEXT(A236,"yyyymm")&amp;"-"&amp;UPPER(LEFT(E236,3))&amp;"-"&amp;UPPER(LEFT(F236,3))</f>
        <v>S202408-LUZ-BEV</v>
      </c>
    </row>
    <row r="237" customFormat="false" ht="15" hidden="false" customHeight="false" outlineLevel="0" collapsed="false">
      <c r="A237" s="101" t="n">
        <v>45535</v>
      </c>
      <c r="B237" s="102" t="n">
        <f aca="false">YEAR(A237)</f>
        <v>2024</v>
      </c>
      <c r="C237" s="102" t="n">
        <f aca="false">MONTH(A237)</f>
        <v>8</v>
      </c>
      <c r="D237" s="68" t="str">
        <f aca="false">"Q"&amp;ROUNDUP(C237/3,0)</f>
        <v>Q3</v>
      </c>
      <c r="E237" s="100" t="s">
        <v>292</v>
      </c>
      <c r="F237" s="100" t="s">
        <v>253</v>
      </c>
      <c r="G237" s="96" t="n">
        <v>5097</v>
      </c>
      <c r="H237" s="96" t="n">
        <v>3720</v>
      </c>
      <c r="I237" s="40" t="n">
        <f aca="false">G237-H237</f>
        <v>1377</v>
      </c>
      <c r="J237" s="68" t="str">
        <f aca="false">"S"&amp;TEXT(A237,"yyyymm")&amp;"-"&amp;UPPER(LEFT(E237,3))&amp;"-"&amp;UPPER(LEFT(F237,3))</f>
        <v>S202408-VIS-BEV</v>
      </c>
    </row>
    <row r="238" customFormat="false" ht="15" hidden="false" customHeight="false" outlineLevel="0" collapsed="false">
      <c r="A238" s="101" t="n">
        <v>45535</v>
      </c>
      <c r="B238" s="102" t="n">
        <f aca="false">YEAR(A238)</f>
        <v>2024</v>
      </c>
      <c r="C238" s="102" t="n">
        <f aca="false">MONTH(A238)</f>
        <v>8</v>
      </c>
      <c r="D238" s="68" t="str">
        <f aca="false">"Q"&amp;ROUNDUP(C238/3,0)</f>
        <v>Q3</v>
      </c>
      <c r="E238" s="100" t="s">
        <v>293</v>
      </c>
      <c r="F238" s="100" t="s">
        <v>253</v>
      </c>
      <c r="G238" s="96" t="n">
        <v>4369</v>
      </c>
      <c r="H238" s="96" t="n">
        <v>3192</v>
      </c>
      <c r="I238" s="40" t="n">
        <f aca="false">G238-H238</f>
        <v>1177</v>
      </c>
      <c r="J238" s="68" t="str">
        <f aca="false">"S"&amp;TEXT(A238,"yyyymm")&amp;"-"&amp;UPPER(LEFT(E238,3))&amp;"-"&amp;UPPER(LEFT(F238,3))</f>
        <v>S202408-MIN-BEV</v>
      </c>
    </row>
    <row r="239" customFormat="false" ht="15" hidden="false" customHeight="false" outlineLevel="0" collapsed="false">
      <c r="A239" s="101" t="n">
        <v>45535</v>
      </c>
      <c r="B239" s="102" t="n">
        <f aca="false">YEAR(A239)</f>
        <v>2024</v>
      </c>
      <c r="C239" s="102" t="n">
        <f aca="false">MONTH(A239)</f>
        <v>8</v>
      </c>
      <c r="D239" s="68" t="str">
        <f aca="false">"Q"&amp;ROUNDUP(C239/3,0)</f>
        <v>Q3</v>
      </c>
      <c r="E239" s="100" t="s">
        <v>291</v>
      </c>
      <c r="F239" s="100" t="s">
        <v>254</v>
      </c>
      <c r="G239" s="96" t="n">
        <v>8103</v>
      </c>
      <c r="H239" s="96" t="n">
        <v>5692</v>
      </c>
      <c r="I239" s="40" t="n">
        <f aca="false">G239-H239</f>
        <v>2411</v>
      </c>
      <c r="J239" s="68" t="str">
        <f aca="false">"S"&amp;TEXT(A239,"yyyymm")&amp;"-"&amp;UPPER(LEFT(E239,3))&amp;"-"&amp;UPPER(LEFT(F239,3))</f>
        <v>S202408-LUZ-HOU</v>
      </c>
    </row>
    <row r="240" customFormat="false" ht="15" hidden="false" customHeight="false" outlineLevel="0" collapsed="false">
      <c r="A240" s="101" t="n">
        <v>45535</v>
      </c>
      <c r="B240" s="102" t="n">
        <f aca="false">YEAR(A240)</f>
        <v>2024</v>
      </c>
      <c r="C240" s="102" t="n">
        <f aca="false">MONTH(A240)</f>
        <v>8</v>
      </c>
      <c r="D240" s="68" t="str">
        <f aca="false">"Q"&amp;ROUNDUP(C240/3,0)</f>
        <v>Q3</v>
      </c>
      <c r="E240" s="100" t="s">
        <v>292</v>
      </c>
      <c r="F240" s="100" t="s">
        <v>254</v>
      </c>
      <c r="G240" s="96" t="n">
        <v>3081</v>
      </c>
      <c r="H240" s="96" t="n">
        <v>2158</v>
      </c>
      <c r="I240" s="40" t="n">
        <f aca="false">G240-H240</f>
        <v>923</v>
      </c>
      <c r="J240" s="68" t="str">
        <f aca="false">"S"&amp;TEXT(A240,"yyyymm")&amp;"-"&amp;UPPER(LEFT(E240,3))&amp;"-"&amp;UPPER(LEFT(F240,3))</f>
        <v>S202408-VIS-HOU</v>
      </c>
    </row>
    <row r="241" customFormat="false" ht="15" hidden="false" customHeight="false" outlineLevel="0" collapsed="false">
      <c r="A241" s="101" t="n">
        <v>45535</v>
      </c>
      <c r="B241" s="102" t="n">
        <f aca="false">YEAR(A241)</f>
        <v>2024</v>
      </c>
      <c r="C241" s="102" t="n">
        <f aca="false">MONTH(A241)</f>
        <v>8</v>
      </c>
      <c r="D241" s="68" t="str">
        <f aca="false">"Q"&amp;ROUNDUP(C241/3,0)</f>
        <v>Q3</v>
      </c>
      <c r="E241" s="100" t="s">
        <v>293</v>
      </c>
      <c r="F241" s="100" t="s">
        <v>254</v>
      </c>
      <c r="G241" s="96" t="n">
        <v>2666</v>
      </c>
      <c r="H241" s="96" t="n">
        <v>1869</v>
      </c>
      <c r="I241" s="40" t="n">
        <f aca="false">G241-H241</f>
        <v>797</v>
      </c>
      <c r="J241" s="68" t="str">
        <f aca="false">"S"&amp;TEXT(A241,"yyyymm")&amp;"-"&amp;UPPER(LEFT(E241,3))&amp;"-"&amp;UPPER(LEFT(F241,3))</f>
        <v>S202408-MIN-HOU</v>
      </c>
    </row>
    <row r="242" customFormat="false" ht="15" hidden="false" customHeight="false" outlineLevel="0" collapsed="false">
      <c r="A242" s="101" t="n">
        <v>45535</v>
      </c>
      <c r="B242" s="102" t="n">
        <f aca="false">YEAR(A242)</f>
        <v>2024</v>
      </c>
      <c r="C242" s="102" t="n">
        <f aca="false">MONTH(A242)</f>
        <v>8</v>
      </c>
      <c r="D242" s="68" t="str">
        <f aca="false">"Q"&amp;ROUNDUP(C242/3,0)</f>
        <v>Q3</v>
      </c>
      <c r="E242" s="100" t="s">
        <v>291</v>
      </c>
      <c r="F242" s="100" t="s">
        <v>255</v>
      </c>
      <c r="G242" s="96" t="n">
        <v>5372</v>
      </c>
      <c r="H242" s="96" t="n">
        <v>4373</v>
      </c>
      <c r="I242" s="40" t="n">
        <f aca="false">G242-H242</f>
        <v>999</v>
      </c>
      <c r="J242" s="68" t="str">
        <f aca="false">"S"&amp;TEXT(A242,"yyyymm")&amp;"-"&amp;UPPER(LEFT(E242,3))&amp;"-"&amp;UPPER(LEFT(F242,3))</f>
        <v>S202408-LUZ-FRE</v>
      </c>
    </row>
    <row r="243" customFormat="false" ht="15" hidden="false" customHeight="false" outlineLevel="0" collapsed="false">
      <c r="A243" s="101" t="n">
        <v>45535</v>
      </c>
      <c r="B243" s="102" t="n">
        <f aca="false">YEAR(A243)</f>
        <v>2024</v>
      </c>
      <c r="C243" s="102" t="n">
        <f aca="false">MONTH(A243)</f>
        <v>8</v>
      </c>
      <c r="D243" s="68" t="str">
        <f aca="false">"Q"&amp;ROUNDUP(C243/3,0)</f>
        <v>Q3</v>
      </c>
      <c r="E243" s="100" t="s">
        <v>292</v>
      </c>
      <c r="F243" s="100" t="s">
        <v>255</v>
      </c>
      <c r="G243" s="96" t="n">
        <v>2235</v>
      </c>
      <c r="H243" s="96" t="n">
        <v>1811</v>
      </c>
      <c r="I243" s="40" t="n">
        <f aca="false">G243-H243</f>
        <v>424</v>
      </c>
      <c r="J243" s="68" t="str">
        <f aca="false">"S"&amp;TEXT(A243,"yyyymm")&amp;"-"&amp;UPPER(LEFT(E243,3))&amp;"-"&amp;UPPER(LEFT(F243,3))</f>
        <v>S202408-VIS-FRE</v>
      </c>
    </row>
    <row r="244" customFormat="false" ht="15" hidden="false" customHeight="false" outlineLevel="0" collapsed="false">
      <c r="A244" s="101" t="n">
        <v>45535</v>
      </c>
      <c r="B244" s="102" t="n">
        <f aca="false">YEAR(A244)</f>
        <v>2024</v>
      </c>
      <c r="C244" s="102" t="n">
        <f aca="false">MONTH(A244)</f>
        <v>8</v>
      </c>
      <c r="D244" s="68" t="str">
        <f aca="false">"Q"&amp;ROUNDUP(C244/3,0)</f>
        <v>Q3</v>
      </c>
      <c r="E244" s="100" t="s">
        <v>293</v>
      </c>
      <c r="F244" s="100" t="s">
        <v>255</v>
      </c>
      <c r="G244" s="96" t="n">
        <v>1896</v>
      </c>
      <c r="H244" s="96" t="n">
        <v>1547</v>
      </c>
      <c r="I244" s="40" t="n">
        <f aca="false">G244-H244</f>
        <v>349</v>
      </c>
      <c r="J244" s="68" t="str">
        <f aca="false">"S"&amp;TEXT(A244,"yyyymm")&amp;"-"&amp;UPPER(LEFT(E244,3))&amp;"-"&amp;UPPER(LEFT(F244,3))</f>
        <v>S202408-MIN-FRE</v>
      </c>
    </row>
    <row r="245" customFormat="false" ht="15" hidden="false" customHeight="false" outlineLevel="0" collapsed="false">
      <c r="A245" s="101" t="n">
        <v>45565</v>
      </c>
      <c r="B245" s="102" t="n">
        <f aca="false">YEAR(A245)</f>
        <v>2024</v>
      </c>
      <c r="C245" s="102" t="n">
        <f aca="false">MONTH(A245)</f>
        <v>9</v>
      </c>
      <c r="D245" s="68" t="str">
        <f aca="false">"Q"&amp;ROUNDUP(C245/3,0)</f>
        <v>Q3</v>
      </c>
      <c r="E245" s="100" t="s">
        <v>291</v>
      </c>
      <c r="F245" s="100" t="s">
        <v>252</v>
      </c>
      <c r="G245" s="96" t="n">
        <v>17837</v>
      </c>
      <c r="H245" s="96" t="n">
        <v>13469</v>
      </c>
      <c r="I245" s="40" t="n">
        <f aca="false">G245-H245</f>
        <v>4368</v>
      </c>
      <c r="J245" s="68" t="str">
        <f aca="false">"S"&amp;TEXT(A245,"yyyymm")&amp;"-"&amp;UPPER(LEFT(E245,3))&amp;"-"&amp;UPPER(LEFT(F245,3))</f>
        <v>S202409-LUZ-PAC</v>
      </c>
    </row>
    <row r="246" customFormat="false" ht="15" hidden="false" customHeight="false" outlineLevel="0" collapsed="false">
      <c r="A246" s="101" t="n">
        <v>45565</v>
      </c>
      <c r="B246" s="102" t="n">
        <f aca="false">YEAR(A246)</f>
        <v>2024</v>
      </c>
      <c r="C246" s="102" t="n">
        <f aca="false">MONTH(A246)</f>
        <v>9</v>
      </c>
      <c r="D246" s="68" t="str">
        <f aca="false">"Q"&amp;ROUNDUP(C246/3,0)</f>
        <v>Q3</v>
      </c>
      <c r="E246" s="100" t="s">
        <v>292</v>
      </c>
      <c r="F246" s="100" t="s">
        <v>252</v>
      </c>
      <c r="G246" s="96" t="n">
        <v>7153</v>
      </c>
      <c r="H246" s="96" t="n">
        <v>5390</v>
      </c>
      <c r="I246" s="40" t="n">
        <f aca="false">G246-H246</f>
        <v>1763</v>
      </c>
      <c r="J246" s="68" t="str">
        <f aca="false">"S"&amp;TEXT(A246,"yyyymm")&amp;"-"&amp;UPPER(LEFT(E246,3))&amp;"-"&amp;UPPER(LEFT(F246,3))</f>
        <v>S202409-VIS-PAC</v>
      </c>
    </row>
    <row r="247" customFormat="false" ht="15" hidden="false" customHeight="false" outlineLevel="0" collapsed="false">
      <c r="A247" s="101" t="n">
        <v>45565</v>
      </c>
      <c r="B247" s="102" t="n">
        <f aca="false">YEAR(A247)</f>
        <v>2024</v>
      </c>
      <c r="C247" s="102" t="n">
        <f aca="false">MONTH(A247)</f>
        <v>9</v>
      </c>
      <c r="D247" s="68" t="str">
        <f aca="false">"Q"&amp;ROUNDUP(C247/3,0)</f>
        <v>Q3</v>
      </c>
      <c r="E247" s="100" t="s">
        <v>293</v>
      </c>
      <c r="F247" s="100" t="s">
        <v>252</v>
      </c>
      <c r="G247" s="96" t="n">
        <v>5921</v>
      </c>
      <c r="H247" s="96" t="n">
        <v>4437</v>
      </c>
      <c r="I247" s="40" t="n">
        <f aca="false">G247-H247</f>
        <v>1484</v>
      </c>
      <c r="J247" s="68" t="str">
        <f aca="false">"S"&amp;TEXT(A247,"yyyymm")&amp;"-"&amp;UPPER(LEFT(E247,3))&amp;"-"&amp;UPPER(LEFT(F247,3))</f>
        <v>S202409-MIN-PAC</v>
      </c>
    </row>
    <row r="248" customFormat="false" ht="15" hidden="false" customHeight="false" outlineLevel="0" collapsed="false">
      <c r="A248" s="101" t="n">
        <v>45565</v>
      </c>
      <c r="B248" s="102" t="n">
        <f aca="false">YEAR(A248)</f>
        <v>2024</v>
      </c>
      <c r="C248" s="102" t="n">
        <f aca="false">MONTH(A248)</f>
        <v>9</v>
      </c>
      <c r="D248" s="68" t="str">
        <f aca="false">"Q"&amp;ROUNDUP(C248/3,0)</f>
        <v>Q3</v>
      </c>
      <c r="E248" s="100" t="s">
        <v>291</v>
      </c>
      <c r="F248" s="100" t="s">
        <v>253</v>
      </c>
      <c r="G248" s="96" t="n">
        <v>12550</v>
      </c>
      <c r="H248" s="96" t="n">
        <v>9180</v>
      </c>
      <c r="I248" s="40" t="n">
        <f aca="false">G248-H248</f>
        <v>3370</v>
      </c>
      <c r="J248" s="68" t="str">
        <f aca="false">"S"&amp;TEXT(A248,"yyyymm")&amp;"-"&amp;UPPER(LEFT(E248,3))&amp;"-"&amp;UPPER(LEFT(F248,3))</f>
        <v>S202409-LUZ-BEV</v>
      </c>
    </row>
    <row r="249" customFormat="false" ht="15" hidden="false" customHeight="false" outlineLevel="0" collapsed="false">
      <c r="A249" s="101" t="n">
        <v>45565</v>
      </c>
      <c r="B249" s="102" t="n">
        <f aca="false">YEAR(A249)</f>
        <v>2024</v>
      </c>
      <c r="C249" s="102" t="n">
        <f aca="false">MONTH(A249)</f>
        <v>9</v>
      </c>
      <c r="D249" s="68" t="str">
        <f aca="false">"Q"&amp;ROUNDUP(C249/3,0)</f>
        <v>Q3</v>
      </c>
      <c r="E249" s="100" t="s">
        <v>292</v>
      </c>
      <c r="F249" s="100" t="s">
        <v>253</v>
      </c>
      <c r="G249" s="96" t="n">
        <v>5194</v>
      </c>
      <c r="H249" s="96" t="n">
        <v>3817</v>
      </c>
      <c r="I249" s="40" t="n">
        <f aca="false">G249-H249</f>
        <v>1377</v>
      </c>
      <c r="J249" s="68" t="str">
        <f aca="false">"S"&amp;TEXT(A249,"yyyymm")&amp;"-"&amp;UPPER(LEFT(E249,3))&amp;"-"&amp;UPPER(LEFT(F249,3))</f>
        <v>S202409-VIS-BEV</v>
      </c>
    </row>
    <row r="250" customFormat="false" ht="15" hidden="false" customHeight="false" outlineLevel="0" collapsed="false">
      <c r="A250" s="101" t="n">
        <v>45565</v>
      </c>
      <c r="B250" s="102" t="n">
        <f aca="false">YEAR(A250)</f>
        <v>2024</v>
      </c>
      <c r="C250" s="102" t="n">
        <f aca="false">MONTH(A250)</f>
        <v>9</v>
      </c>
      <c r="D250" s="68" t="str">
        <f aca="false">"Q"&amp;ROUNDUP(C250/3,0)</f>
        <v>Q3</v>
      </c>
      <c r="E250" s="100" t="s">
        <v>293</v>
      </c>
      <c r="F250" s="100" t="s">
        <v>253</v>
      </c>
      <c r="G250" s="96" t="n">
        <v>4168</v>
      </c>
      <c r="H250" s="96" t="n">
        <v>3057</v>
      </c>
      <c r="I250" s="40" t="n">
        <f aca="false">G250-H250</f>
        <v>1111</v>
      </c>
      <c r="J250" s="68" t="str">
        <f aca="false">"S"&amp;TEXT(A250,"yyyymm")&amp;"-"&amp;UPPER(LEFT(E250,3))&amp;"-"&amp;UPPER(LEFT(F250,3))</f>
        <v>S202409-MIN-BEV</v>
      </c>
    </row>
    <row r="251" customFormat="false" ht="15" hidden="false" customHeight="false" outlineLevel="0" collapsed="false">
      <c r="A251" s="101" t="n">
        <v>45565</v>
      </c>
      <c r="B251" s="102" t="n">
        <f aca="false">YEAR(A251)</f>
        <v>2024</v>
      </c>
      <c r="C251" s="102" t="n">
        <f aca="false">MONTH(A251)</f>
        <v>9</v>
      </c>
      <c r="D251" s="68" t="str">
        <f aca="false">"Q"&amp;ROUNDUP(C251/3,0)</f>
        <v>Q3</v>
      </c>
      <c r="E251" s="100" t="s">
        <v>291</v>
      </c>
      <c r="F251" s="100" t="s">
        <v>254</v>
      </c>
      <c r="G251" s="96" t="n">
        <v>7688</v>
      </c>
      <c r="H251" s="96" t="n">
        <v>5386</v>
      </c>
      <c r="I251" s="40" t="n">
        <f aca="false">G251-H251</f>
        <v>2302</v>
      </c>
      <c r="J251" s="68" t="str">
        <f aca="false">"S"&amp;TEXT(A251,"yyyymm")&amp;"-"&amp;UPPER(LEFT(E251,3))&amp;"-"&amp;UPPER(LEFT(F251,3))</f>
        <v>S202409-LUZ-HOU</v>
      </c>
    </row>
    <row r="252" customFormat="false" ht="15" hidden="false" customHeight="false" outlineLevel="0" collapsed="false">
      <c r="A252" s="101" t="n">
        <v>45565</v>
      </c>
      <c r="B252" s="102" t="n">
        <f aca="false">YEAR(A252)</f>
        <v>2024</v>
      </c>
      <c r="C252" s="102" t="n">
        <f aca="false">MONTH(A252)</f>
        <v>9</v>
      </c>
      <c r="D252" s="68" t="str">
        <f aca="false">"Q"&amp;ROUNDUP(C252/3,0)</f>
        <v>Q3</v>
      </c>
      <c r="E252" s="100" t="s">
        <v>292</v>
      </c>
      <c r="F252" s="100" t="s">
        <v>254</v>
      </c>
      <c r="G252" s="96" t="n">
        <v>3149</v>
      </c>
      <c r="H252" s="96" t="n">
        <v>2208</v>
      </c>
      <c r="I252" s="40" t="n">
        <f aca="false">G252-H252</f>
        <v>941</v>
      </c>
      <c r="J252" s="68" t="str">
        <f aca="false">"S"&amp;TEXT(A252,"yyyymm")&amp;"-"&amp;UPPER(LEFT(E252,3))&amp;"-"&amp;UPPER(LEFT(F252,3))</f>
        <v>S202409-VIS-HOU</v>
      </c>
    </row>
    <row r="253" customFormat="false" ht="15" hidden="false" customHeight="false" outlineLevel="0" collapsed="false">
      <c r="A253" s="101" t="n">
        <v>45565</v>
      </c>
      <c r="B253" s="102" t="n">
        <f aca="false">YEAR(A253)</f>
        <v>2024</v>
      </c>
      <c r="C253" s="102" t="n">
        <f aca="false">MONTH(A253)</f>
        <v>9</v>
      </c>
      <c r="D253" s="68" t="str">
        <f aca="false">"Q"&amp;ROUNDUP(C253/3,0)</f>
        <v>Q3</v>
      </c>
      <c r="E253" s="100" t="s">
        <v>293</v>
      </c>
      <c r="F253" s="100" t="s">
        <v>254</v>
      </c>
      <c r="G253" s="96" t="n">
        <v>2691</v>
      </c>
      <c r="H253" s="96" t="n">
        <v>1889</v>
      </c>
      <c r="I253" s="40" t="n">
        <f aca="false">G253-H253</f>
        <v>802</v>
      </c>
      <c r="J253" s="68" t="str">
        <f aca="false">"S"&amp;TEXT(A253,"yyyymm")&amp;"-"&amp;UPPER(LEFT(E253,3))&amp;"-"&amp;UPPER(LEFT(F253,3))</f>
        <v>S202409-MIN-HOU</v>
      </c>
    </row>
    <row r="254" customFormat="false" ht="15" hidden="false" customHeight="false" outlineLevel="0" collapsed="false">
      <c r="A254" s="101" t="n">
        <v>45565</v>
      </c>
      <c r="B254" s="102" t="n">
        <f aca="false">YEAR(A254)</f>
        <v>2024</v>
      </c>
      <c r="C254" s="102" t="n">
        <f aca="false">MONTH(A254)</f>
        <v>9</v>
      </c>
      <c r="D254" s="68" t="str">
        <f aca="false">"Q"&amp;ROUNDUP(C254/3,0)</f>
        <v>Q3</v>
      </c>
      <c r="E254" s="100" t="s">
        <v>291</v>
      </c>
      <c r="F254" s="100" t="s">
        <v>255</v>
      </c>
      <c r="G254" s="96" t="n">
        <v>5632</v>
      </c>
      <c r="H254" s="96" t="n">
        <v>4564</v>
      </c>
      <c r="I254" s="40" t="n">
        <f aca="false">G254-H254</f>
        <v>1068</v>
      </c>
      <c r="J254" s="68" t="str">
        <f aca="false">"S"&amp;TEXT(A254,"yyyymm")&amp;"-"&amp;UPPER(LEFT(E254,3))&amp;"-"&amp;UPPER(LEFT(F254,3))</f>
        <v>S202409-LUZ-FRE</v>
      </c>
    </row>
    <row r="255" customFormat="false" ht="15" hidden="false" customHeight="false" outlineLevel="0" collapsed="false">
      <c r="A255" s="101" t="n">
        <v>45565</v>
      </c>
      <c r="B255" s="102" t="n">
        <f aca="false">YEAR(A255)</f>
        <v>2024</v>
      </c>
      <c r="C255" s="102" t="n">
        <f aca="false">MONTH(A255)</f>
        <v>9</v>
      </c>
      <c r="D255" s="68" t="str">
        <f aca="false">"Q"&amp;ROUNDUP(C255/3,0)</f>
        <v>Q3</v>
      </c>
      <c r="E255" s="100" t="s">
        <v>292</v>
      </c>
      <c r="F255" s="100" t="s">
        <v>255</v>
      </c>
      <c r="G255" s="96" t="n">
        <v>2140</v>
      </c>
      <c r="H255" s="96" t="n">
        <v>1732</v>
      </c>
      <c r="I255" s="40" t="n">
        <f aca="false">G255-H255</f>
        <v>408</v>
      </c>
      <c r="J255" s="68" t="str">
        <f aca="false">"S"&amp;TEXT(A255,"yyyymm")&amp;"-"&amp;UPPER(LEFT(E255,3))&amp;"-"&amp;UPPER(LEFT(F255,3))</f>
        <v>S202409-VIS-FRE</v>
      </c>
    </row>
    <row r="256" customFormat="false" ht="15" hidden="false" customHeight="false" outlineLevel="0" collapsed="false">
      <c r="A256" s="101" t="n">
        <v>45565</v>
      </c>
      <c r="B256" s="102" t="n">
        <f aca="false">YEAR(A256)</f>
        <v>2024</v>
      </c>
      <c r="C256" s="102" t="n">
        <f aca="false">MONTH(A256)</f>
        <v>9</v>
      </c>
      <c r="D256" s="68" t="str">
        <f aca="false">"Q"&amp;ROUNDUP(C256/3,0)</f>
        <v>Q3</v>
      </c>
      <c r="E256" s="100" t="s">
        <v>293</v>
      </c>
      <c r="F256" s="100" t="s">
        <v>255</v>
      </c>
      <c r="G256" s="96" t="n">
        <v>1824</v>
      </c>
      <c r="H256" s="96" t="n">
        <v>1487</v>
      </c>
      <c r="I256" s="40" t="n">
        <f aca="false">G256-H256</f>
        <v>337</v>
      </c>
      <c r="J256" s="68" t="str">
        <f aca="false">"S"&amp;TEXT(A256,"yyyymm")&amp;"-"&amp;UPPER(LEFT(E256,3))&amp;"-"&amp;UPPER(LEFT(F256,3))</f>
        <v>S202409-MIN-FRE</v>
      </c>
    </row>
    <row r="257" customFormat="false" ht="15" hidden="false" customHeight="false" outlineLevel="0" collapsed="false">
      <c r="A257" s="101" t="n">
        <v>45596</v>
      </c>
      <c r="B257" s="102" t="n">
        <f aca="false">YEAR(A257)</f>
        <v>2024</v>
      </c>
      <c r="C257" s="102" t="n">
        <f aca="false">MONTH(A257)</f>
        <v>10</v>
      </c>
      <c r="D257" s="68" t="str">
        <f aca="false">"Q"&amp;ROUNDUP(C257/3,0)</f>
        <v>Q4</v>
      </c>
      <c r="E257" s="100" t="s">
        <v>291</v>
      </c>
      <c r="F257" s="100" t="s">
        <v>252</v>
      </c>
      <c r="G257" s="96" t="n">
        <v>17502</v>
      </c>
      <c r="H257" s="96" t="n">
        <v>13085</v>
      </c>
      <c r="I257" s="40" t="n">
        <f aca="false">G257-H257</f>
        <v>4417</v>
      </c>
      <c r="J257" s="68" t="str">
        <f aca="false">"S"&amp;TEXT(A257,"yyyymm")&amp;"-"&amp;UPPER(LEFT(E257,3))&amp;"-"&amp;UPPER(LEFT(F257,3))</f>
        <v>S202410-LUZ-PAC</v>
      </c>
    </row>
    <row r="258" customFormat="false" ht="15" hidden="false" customHeight="false" outlineLevel="0" collapsed="false">
      <c r="A258" s="101" t="n">
        <v>45596</v>
      </c>
      <c r="B258" s="102" t="n">
        <f aca="false">YEAR(A258)</f>
        <v>2024</v>
      </c>
      <c r="C258" s="102" t="n">
        <f aca="false">MONTH(A258)</f>
        <v>10</v>
      </c>
      <c r="D258" s="68" t="str">
        <f aca="false">"Q"&amp;ROUNDUP(C258/3,0)</f>
        <v>Q4</v>
      </c>
      <c r="E258" s="100" t="s">
        <v>292</v>
      </c>
      <c r="F258" s="100" t="s">
        <v>252</v>
      </c>
      <c r="G258" s="96" t="n">
        <v>6975</v>
      </c>
      <c r="H258" s="96" t="n">
        <v>5243</v>
      </c>
      <c r="I258" s="40" t="n">
        <f aca="false">G258-H258</f>
        <v>1732</v>
      </c>
      <c r="J258" s="68" t="str">
        <f aca="false">"S"&amp;TEXT(A258,"yyyymm")&amp;"-"&amp;UPPER(LEFT(E258,3))&amp;"-"&amp;UPPER(LEFT(F258,3))</f>
        <v>S202410-VIS-PAC</v>
      </c>
    </row>
    <row r="259" customFormat="false" ht="15" hidden="false" customHeight="false" outlineLevel="0" collapsed="false">
      <c r="A259" s="101" t="n">
        <v>45596</v>
      </c>
      <c r="B259" s="102" t="n">
        <f aca="false">YEAR(A259)</f>
        <v>2024</v>
      </c>
      <c r="C259" s="102" t="n">
        <f aca="false">MONTH(A259)</f>
        <v>10</v>
      </c>
      <c r="D259" s="68" t="str">
        <f aca="false">"Q"&amp;ROUNDUP(C259/3,0)</f>
        <v>Q4</v>
      </c>
      <c r="E259" s="100" t="s">
        <v>293</v>
      </c>
      <c r="F259" s="100" t="s">
        <v>252</v>
      </c>
      <c r="G259" s="96" t="n">
        <v>5938</v>
      </c>
      <c r="H259" s="96" t="n">
        <v>4472</v>
      </c>
      <c r="I259" s="40" t="n">
        <f aca="false">G259-H259</f>
        <v>1466</v>
      </c>
      <c r="J259" s="68" t="str">
        <f aca="false">"S"&amp;TEXT(A259,"yyyymm")&amp;"-"&amp;UPPER(LEFT(E259,3))&amp;"-"&amp;UPPER(LEFT(F259,3))</f>
        <v>S202410-MIN-PAC</v>
      </c>
    </row>
    <row r="260" customFormat="false" ht="15" hidden="false" customHeight="false" outlineLevel="0" collapsed="false">
      <c r="A260" s="101" t="n">
        <v>45596</v>
      </c>
      <c r="B260" s="102" t="n">
        <f aca="false">YEAR(A260)</f>
        <v>2024</v>
      </c>
      <c r="C260" s="102" t="n">
        <f aca="false">MONTH(A260)</f>
        <v>10</v>
      </c>
      <c r="D260" s="68" t="str">
        <f aca="false">"Q"&amp;ROUNDUP(C260/3,0)</f>
        <v>Q4</v>
      </c>
      <c r="E260" s="100" t="s">
        <v>291</v>
      </c>
      <c r="F260" s="100" t="s">
        <v>253</v>
      </c>
      <c r="G260" s="96" t="n">
        <v>12582</v>
      </c>
      <c r="H260" s="96" t="n">
        <v>9244</v>
      </c>
      <c r="I260" s="40" t="n">
        <f aca="false">G260-H260</f>
        <v>3338</v>
      </c>
      <c r="J260" s="68" t="str">
        <f aca="false">"S"&amp;TEXT(A260,"yyyymm")&amp;"-"&amp;UPPER(LEFT(E260,3))&amp;"-"&amp;UPPER(LEFT(F260,3))</f>
        <v>S202410-LUZ-BEV</v>
      </c>
    </row>
    <row r="261" customFormat="false" ht="15" hidden="false" customHeight="false" outlineLevel="0" collapsed="false">
      <c r="A261" s="101" t="n">
        <v>45596</v>
      </c>
      <c r="B261" s="102" t="n">
        <f aca="false">YEAR(A261)</f>
        <v>2024</v>
      </c>
      <c r="C261" s="102" t="n">
        <f aca="false">MONTH(A261)</f>
        <v>10</v>
      </c>
      <c r="D261" s="68" t="str">
        <f aca="false">"Q"&amp;ROUNDUP(C261/3,0)</f>
        <v>Q4</v>
      </c>
      <c r="E261" s="100" t="s">
        <v>292</v>
      </c>
      <c r="F261" s="100" t="s">
        <v>253</v>
      </c>
      <c r="G261" s="96" t="n">
        <v>5175</v>
      </c>
      <c r="H261" s="96" t="n">
        <v>3771</v>
      </c>
      <c r="I261" s="40" t="n">
        <f aca="false">G261-H261</f>
        <v>1404</v>
      </c>
      <c r="J261" s="68" t="str">
        <f aca="false">"S"&amp;TEXT(A261,"yyyymm")&amp;"-"&amp;UPPER(LEFT(E261,3))&amp;"-"&amp;UPPER(LEFT(F261,3))</f>
        <v>S202410-VIS-BEV</v>
      </c>
    </row>
    <row r="262" customFormat="false" ht="15" hidden="false" customHeight="false" outlineLevel="0" collapsed="false">
      <c r="A262" s="101" t="n">
        <v>45596</v>
      </c>
      <c r="B262" s="102" t="n">
        <f aca="false">YEAR(A262)</f>
        <v>2024</v>
      </c>
      <c r="C262" s="102" t="n">
        <f aca="false">MONTH(A262)</f>
        <v>10</v>
      </c>
      <c r="D262" s="68" t="str">
        <f aca="false">"Q"&amp;ROUNDUP(C262/3,0)</f>
        <v>Q4</v>
      </c>
      <c r="E262" s="100" t="s">
        <v>293</v>
      </c>
      <c r="F262" s="100" t="s">
        <v>253</v>
      </c>
      <c r="G262" s="96" t="n">
        <v>4271</v>
      </c>
      <c r="H262" s="96" t="n">
        <v>3124</v>
      </c>
      <c r="I262" s="40" t="n">
        <f aca="false">G262-H262</f>
        <v>1147</v>
      </c>
      <c r="J262" s="68" t="str">
        <f aca="false">"S"&amp;TEXT(A262,"yyyymm")&amp;"-"&amp;UPPER(LEFT(E262,3))&amp;"-"&amp;UPPER(LEFT(F262,3))</f>
        <v>S202410-MIN-BEV</v>
      </c>
    </row>
    <row r="263" customFormat="false" ht="15" hidden="false" customHeight="false" outlineLevel="0" collapsed="false">
      <c r="A263" s="101" t="n">
        <v>45596</v>
      </c>
      <c r="B263" s="102" t="n">
        <f aca="false">YEAR(A263)</f>
        <v>2024</v>
      </c>
      <c r="C263" s="102" t="n">
        <f aca="false">MONTH(A263)</f>
        <v>10</v>
      </c>
      <c r="D263" s="68" t="str">
        <f aca="false">"Q"&amp;ROUNDUP(C263/3,0)</f>
        <v>Q4</v>
      </c>
      <c r="E263" s="100" t="s">
        <v>291</v>
      </c>
      <c r="F263" s="100" t="s">
        <v>254</v>
      </c>
      <c r="G263" s="96" t="n">
        <v>7822</v>
      </c>
      <c r="H263" s="96" t="n">
        <v>5489</v>
      </c>
      <c r="I263" s="40" t="n">
        <f aca="false">G263-H263</f>
        <v>2333</v>
      </c>
      <c r="J263" s="68" t="str">
        <f aca="false">"S"&amp;TEXT(A263,"yyyymm")&amp;"-"&amp;UPPER(LEFT(E263,3))&amp;"-"&amp;UPPER(LEFT(F263,3))</f>
        <v>S202410-LUZ-HOU</v>
      </c>
    </row>
    <row r="264" customFormat="false" ht="15" hidden="false" customHeight="false" outlineLevel="0" collapsed="false">
      <c r="A264" s="101" t="n">
        <v>45596</v>
      </c>
      <c r="B264" s="102" t="n">
        <f aca="false">YEAR(A264)</f>
        <v>2024</v>
      </c>
      <c r="C264" s="102" t="n">
        <f aca="false">MONTH(A264)</f>
        <v>10</v>
      </c>
      <c r="D264" s="68" t="str">
        <f aca="false">"Q"&amp;ROUNDUP(C264/3,0)</f>
        <v>Q4</v>
      </c>
      <c r="E264" s="100" t="s">
        <v>292</v>
      </c>
      <c r="F264" s="100" t="s">
        <v>254</v>
      </c>
      <c r="G264" s="96" t="n">
        <v>3203</v>
      </c>
      <c r="H264" s="96" t="n">
        <v>2240</v>
      </c>
      <c r="I264" s="40" t="n">
        <f aca="false">G264-H264</f>
        <v>963</v>
      </c>
      <c r="J264" s="68" t="str">
        <f aca="false">"S"&amp;TEXT(A264,"yyyymm")&amp;"-"&amp;UPPER(LEFT(E264,3))&amp;"-"&amp;UPPER(LEFT(F264,3))</f>
        <v>S202410-VIS-HOU</v>
      </c>
    </row>
    <row r="265" customFormat="false" ht="15" hidden="false" customHeight="false" outlineLevel="0" collapsed="false">
      <c r="A265" s="101" t="n">
        <v>45596</v>
      </c>
      <c r="B265" s="102" t="n">
        <f aca="false">YEAR(A265)</f>
        <v>2024</v>
      </c>
      <c r="C265" s="102" t="n">
        <f aca="false">MONTH(A265)</f>
        <v>10</v>
      </c>
      <c r="D265" s="68" t="str">
        <f aca="false">"Q"&amp;ROUNDUP(C265/3,0)</f>
        <v>Q4</v>
      </c>
      <c r="E265" s="100" t="s">
        <v>293</v>
      </c>
      <c r="F265" s="100" t="s">
        <v>254</v>
      </c>
      <c r="G265" s="96" t="n">
        <v>2667</v>
      </c>
      <c r="H265" s="96" t="n">
        <v>1874</v>
      </c>
      <c r="I265" s="40" t="n">
        <f aca="false">G265-H265</f>
        <v>793</v>
      </c>
      <c r="J265" s="68" t="str">
        <f aca="false">"S"&amp;TEXT(A265,"yyyymm")&amp;"-"&amp;UPPER(LEFT(E265,3))&amp;"-"&amp;UPPER(LEFT(F265,3))</f>
        <v>S202410-MIN-HOU</v>
      </c>
    </row>
    <row r="266" customFormat="false" ht="15" hidden="false" customHeight="false" outlineLevel="0" collapsed="false">
      <c r="A266" s="101" t="n">
        <v>45596</v>
      </c>
      <c r="B266" s="102" t="n">
        <f aca="false">YEAR(A266)</f>
        <v>2024</v>
      </c>
      <c r="C266" s="102" t="n">
        <f aca="false">MONTH(A266)</f>
        <v>10</v>
      </c>
      <c r="D266" s="68" t="str">
        <f aca="false">"Q"&amp;ROUNDUP(C266/3,0)</f>
        <v>Q4</v>
      </c>
      <c r="E266" s="100" t="s">
        <v>291</v>
      </c>
      <c r="F266" s="100" t="s">
        <v>255</v>
      </c>
      <c r="G266" s="96" t="n">
        <v>5628</v>
      </c>
      <c r="H266" s="96" t="n">
        <v>4580</v>
      </c>
      <c r="I266" s="40" t="n">
        <f aca="false">G266-H266</f>
        <v>1048</v>
      </c>
      <c r="J266" s="68" t="str">
        <f aca="false">"S"&amp;TEXT(A266,"yyyymm")&amp;"-"&amp;UPPER(LEFT(E266,3))&amp;"-"&amp;UPPER(LEFT(F266,3))</f>
        <v>S202410-LUZ-FRE</v>
      </c>
    </row>
    <row r="267" customFormat="false" ht="15" hidden="false" customHeight="false" outlineLevel="0" collapsed="false">
      <c r="A267" s="101" t="n">
        <v>45596</v>
      </c>
      <c r="B267" s="102" t="n">
        <f aca="false">YEAR(A267)</f>
        <v>2024</v>
      </c>
      <c r="C267" s="102" t="n">
        <f aca="false">MONTH(A267)</f>
        <v>10</v>
      </c>
      <c r="D267" s="68" t="str">
        <f aca="false">"Q"&amp;ROUNDUP(C267/3,0)</f>
        <v>Q4</v>
      </c>
      <c r="E267" s="100" t="s">
        <v>292</v>
      </c>
      <c r="F267" s="100" t="s">
        <v>255</v>
      </c>
      <c r="G267" s="96" t="n">
        <v>2231</v>
      </c>
      <c r="H267" s="96" t="n">
        <v>1803</v>
      </c>
      <c r="I267" s="40" t="n">
        <f aca="false">G267-H267</f>
        <v>428</v>
      </c>
      <c r="J267" s="68" t="str">
        <f aca="false">"S"&amp;TEXT(A267,"yyyymm")&amp;"-"&amp;UPPER(LEFT(E267,3))&amp;"-"&amp;UPPER(LEFT(F267,3))</f>
        <v>S202410-VIS-FRE</v>
      </c>
    </row>
    <row r="268" customFormat="false" ht="15" hidden="false" customHeight="false" outlineLevel="0" collapsed="false">
      <c r="A268" s="101" t="n">
        <v>45596</v>
      </c>
      <c r="B268" s="102" t="n">
        <f aca="false">YEAR(A268)</f>
        <v>2024</v>
      </c>
      <c r="C268" s="102" t="n">
        <f aca="false">MONTH(A268)</f>
        <v>10</v>
      </c>
      <c r="D268" s="68" t="str">
        <f aca="false">"Q"&amp;ROUNDUP(C268/3,0)</f>
        <v>Q4</v>
      </c>
      <c r="E268" s="100" t="s">
        <v>293</v>
      </c>
      <c r="F268" s="100" t="s">
        <v>255</v>
      </c>
      <c r="G268" s="96" t="n">
        <v>1859</v>
      </c>
      <c r="H268" s="96" t="n">
        <v>1508</v>
      </c>
      <c r="I268" s="40" t="n">
        <f aca="false">G268-H268</f>
        <v>351</v>
      </c>
      <c r="J268" s="68" t="str">
        <f aca="false">"S"&amp;TEXT(A268,"yyyymm")&amp;"-"&amp;UPPER(LEFT(E268,3))&amp;"-"&amp;UPPER(LEFT(F268,3))</f>
        <v>S202410-MIN-FRE</v>
      </c>
    </row>
    <row r="269" customFormat="false" ht="15" hidden="false" customHeight="false" outlineLevel="0" collapsed="false">
      <c r="A269" s="101" t="n">
        <v>45626</v>
      </c>
      <c r="B269" s="102" t="n">
        <f aca="false">YEAR(A269)</f>
        <v>2024</v>
      </c>
      <c r="C269" s="102" t="n">
        <f aca="false">MONTH(A269)</f>
        <v>11</v>
      </c>
      <c r="D269" s="68" t="str">
        <f aca="false">"Q"&amp;ROUNDUP(C269/3,0)</f>
        <v>Q4</v>
      </c>
      <c r="E269" s="100" t="s">
        <v>291</v>
      </c>
      <c r="F269" s="100" t="s">
        <v>252</v>
      </c>
      <c r="G269" s="96" t="n">
        <v>18076</v>
      </c>
      <c r="H269" s="96" t="n">
        <v>13631</v>
      </c>
      <c r="I269" s="40" t="n">
        <f aca="false">G269-H269</f>
        <v>4445</v>
      </c>
      <c r="J269" s="68" t="str">
        <f aca="false">"S"&amp;TEXT(A269,"yyyymm")&amp;"-"&amp;UPPER(LEFT(E269,3))&amp;"-"&amp;UPPER(LEFT(F269,3))</f>
        <v>S202411-LUZ-PAC</v>
      </c>
    </row>
    <row r="270" customFormat="false" ht="15" hidden="false" customHeight="false" outlineLevel="0" collapsed="false">
      <c r="A270" s="101" t="n">
        <v>45626</v>
      </c>
      <c r="B270" s="102" t="n">
        <f aca="false">YEAR(A270)</f>
        <v>2024</v>
      </c>
      <c r="C270" s="102" t="n">
        <f aca="false">MONTH(A270)</f>
        <v>11</v>
      </c>
      <c r="D270" s="68" t="str">
        <f aca="false">"Q"&amp;ROUNDUP(C270/3,0)</f>
        <v>Q4</v>
      </c>
      <c r="E270" s="100" t="s">
        <v>292</v>
      </c>
      <c r="F270" s="100" t="s">
        <v>252</v>
      </c>
      <c r="G270" s="96" t="n">
        <v>7586</v>
      </c>
      <c r="H270" s="96" t="n">
        <v>5738</v>
      </c>
      <c r="I270" s="40" t="n">
        <f aca="false">G270-H270</f>
        <v>1848</v>
      </c>
      <c r="J270" s="68" t="str">
        <f aca="false">"S"&amp;TEXT(A270,"yyyymm")&amp;"-"&amp;UPPER(LEFT(E270,3))&amp;"-"&amp;UPPER(LEFT(F270,3))</f>
        <v>S202411-VIS-PAC</v>
      </c>
    </row>
    <row r="271" customFormat="false" ht="15" hidden="false" customHeight="false" outlineLevel="0" collapsed="false">
      <c r="A271" s="101" t="n">
        <v>45626</v>
      </c>
      <c r="B271" s="102" t="n">
        <f aca="false">YEAR(A271)</f>
        <v>2024</v>
      </c>
      <c r="C271" s="102" t="n">
        <f aca="false">MONTH(A271)</f>
        <v>11</v>
      </c>
      <c r="D271" s="68" t="str">
        <f aca="false">"Q"&amp;ROUNDUP(C271/3,0)</f>
        <v>Q4</v>
      </c>
      <c r="E271" s="100" t="s">
        <v>293</v>
      </c>
      <c r="F271" s="100" t="s">
        <v>252</v>
      </c>
      <c r="G271" s="96" t="n">
        <v>6402</v>
      </c>
      <c r="H271" s="96" t="n">
        <v>4823</v>
      </c>
      <c r="I271" s="40" t="n">
        <f aca="false">G271-H271</f>
        <v>1579</v>
      </c>
      <c r="J271" s="68" t="str">
        <f aca="false">"S"&amp;TEXT(A271,"yyyymm")&amp;"-"&amp;UPPER(LEFT(E271,3))&amp;"-"&amp;UPPER(LEFT(F271,3))</f>
        <v>S202411-MIN-PAC</v>
      </c>
    </row>
    <row r="272" customFormat="false" ht="15" hidden="false" customHeight="false" outlineLevel="0" collapsed="false">
      <c r="A272" s="101" t="n">
        <v>45626</v>
      </c>
      <c r="B272" s="102" t="n">
        <f aca="false">YEAR(A272)</f>
        <v>2024</v>
      </c>
      <c r="C272" s="102" t="n">
        <f aca="false">MONTH(A272)</f>
        <v>11</v>
      </c>
      <c r="D272" s="68" t="str">
        <f aca="false">"Q"&amp;ROUNDUP(C272/3,0)</f>
        <v>Q4</v>
      </c>
      <c r="E272" s="100" t="s">
        <v>291</v>
      </c>
      <c r="F272" s="100" t="s">
        <v>253</v>
      </c>
      <c r="G272" s="96" t="n">
        <v>13273</v>
      </c>
      <c r="H272" s="96" t="n">
        <v>9711</v>
      </c>
      <c r="I272" s="40" t="n">
        <f aca="false">G272-H272</f>
        <v>3562</v>
      </c>
      <c r="J272" s="68" t="str">
        <f aca="false">"S"&amp;TEXT(A272,"yyyymm")&amp;"-"&amp;UPPER(LEFT(E272,3))&amp;"-"&amp;UPPER(LEFT(F272,3))</f>
        <v>S202411-LUZ-BEV</v>
      </c>
    </row>
    <row r="273" customFormat="false" ht="15" hidden="false" customHeight="false" outlineLevel="0" collapsed="false">
      <c r="A273" s="101" t="n">
        <v>45626</v>
      </c>
      <c r="B273" s="102" t="n">
        <f aca="false">YEAR(A273)</f>
        <v>2024</v>
      </c>
      <c r="C273" s="102" t="n">
        <f aca="false">MONTH(A273)</f>
        <v>11</v>
      </c>
      <c r="D273" s="68" t="str">
        <f aca="false">"Q"&amp;ROUNDUP(C273/3,0)</f>
        <v>Q4</v>
      </c>
      <c r="E273" s="100" t="s">
        <v>292</v>
      </c>
      <c r="F273" s="100" t="s">
        <v>253</v>
      </c>
      <c r="G273" s="96" t="n">
        <v>5394</v>
      </c>
      <c r="H273" s="96" t="n">
        <v>3942</v>
      </c>
      <c r="I273" s="40" t="n">
        <f aca="false">G273-H273</f>
        <v>1452</v>
      </c>
      <c r="J273" s="68" t="str">
        <f aca="false">"S"&amp;TEXT(A273,"yyyymm")&amp;"-"&amp;UPPER(LEFT(E273,3))&amp;"-"&amp;UPPER(LEFT(F273,3))</f>
        <v>S202411-VIS-BEV</v>
      </c>
    </row>
    <row r="274" customFormat="false" ht="15" hidden="false" customHeight="false" outlineLevel="0" collapsed="false">
      <c r="A274" s="101" t="n">
        <v>45626</v>
      </c>
      <c r="B274" s="102" t="n">
        <f aca="false">YEAR(A274)</f>
        <v>2024</v>
      </c>
      <c r="C274" s="102" t="n">
        <f aca="false">MONTH(A274)</f>
        <v>11</v>
      </c>
      <c r="D274" s="68" t="str">
        <f aca="false">"Q"&amp;ROUNDUP(C274/3,0)</f>
        <v>Q4</v>
      </c>
      <c r="E274" s="100" t="s">
        <v>293</v>
      </c>
      <c r="F274" s="100" t="s">
        <v>253</v>
      </c>
      <c r="G274" s="96" t="n">
        <v>4649</v>
      </c>
      <c r="H274" s="96" t="n">
        <v>3422</v>
      </c>
      <c r="I274" s="40" t="n">
        <f aca="false">G274-H274</f>
        <v>1227</v>
      </c>
      <c r="J274" s="68" t="str">
        <f aca="false">"S"&amp;TEXT(A274,"yyyymm")&amp;"-"&amp;UPPER(LEFT(E274,3))&amp;"-"&amp;UPPER(LEFT(F274,3))</f>
        <v>S202411-MIN-BEV</v>
      </c>
    </row>
    <row r="275" customFormat="false" ht="15" hidden="false" customHeight="false" outlineLevel="0" collapsed="false">
      <c r="A275" s="101" t="n">
        <v>45626</v>
      </c>
      <c r="B275" s="102" t="n">
        <f aca="false">YEAR(A275)</f>
        <v>2024</v>
      </c>
      <c r="C275" s="102" t="n">
        <f aca="false">MONTH(A275)</f>
        <v>11</v>
      </c>
      <c r="D275" s="68" t="str">
        <f aca="false">"Q"&amp;ROUNDUP(C275/3,0)</f>
        <v>Q4</v>
      </c>
      <c r="E275" s="100" t="s">
        <v>291</v>
      </c>
      <c r="F275" s="100" t="s">
        <v>254</v>
      </c>
      <c r="G275" s="96" t="n">
        <v>8029</v>
      </c>
      <c r="H275" s="96" t="n">
        <v>5636</v>
      </c>
      <c r="I275" s="40" t="n">
        <f aca="false">G275-H275</f>
        <v>2393</v>
      </c>
      <c r="J275" s="68" t="str">
        <f aca="false">"S"&amp;TEXT(A275,"yyyymm")&amp;"-"&amp;UPPER(LEFT(E275,3))&amp;"-"&amp;UPPER(LEFT(F275,3))</f>
        <v>S202411-LUZ-HOU</v>
      </c>
    </row>
    <row r="276" customFormat="false" ht="15" hidden="false" customHeight="false" outlineLevel="0" collapsed="false">
      <c r="A276" s="101" t="n">
        <v>45626</v>
      </c>
      <c r="B276" s="102" t="n">
        <f aca="false">YEAR(A276)</f>
        <v>2024</v>
      </c>
      <c r="C276" s="102" t="n">
        <f aca="false">MONTH(A276)</f>
        <v>11</v>
      </c>
      <c r="D276" s="68" t="str">
        <f aca="false">"Q"&amp;ROUNDUP(C276/3,0)</f>
        <v>Q4</v>
      </c>
      <c r="E276" s="100" t="s">
        <v>292</v>
      </c>
      <c r="F276" s="100" t="s">
        <v>254</v>
      </c>
      <c r="G276" s="96" t="n">
        <v>3209</v>
      </c>
      <c r="H276" s="96" t="n">
        <v>2261</v>
      </c>
      <c r="I276" s="40" t="n">
        <f aca="false">G276-H276</f>
        <v>948</v>
      </c>
      <c r="J276" s="68" t="str">
        <f aca="false">"S"&amp;TEXT(A276,"yyyymm")&amp;"-"&amp;UPPER(LEFT(E276,3))&amp;"-"&amp;UPPER(LEFT(F276,3))</f>
        <v>S202411-VIS-HOU</v>
      </c>
    </row>
    <row r="277" customFormat="false" ht="15" hidden="false" customHeight="false" outlineLevel="0" collapsed="false">
      <c r="A277" s="101" t="n">
        <v>45626</v>
      </c>
      <c r="B277" s="102" t="n">
        <f aca="false">YEAR(A277)</f>
        <v>2024</v>
      </c>
      <c r="C277" s="102" t="n">
        <f aca="false">MONTH(A277)</f>
        <v>11</v>
      </c>
      <c r="D277" s="68" t="str">
        <f aca="false">"Q"&amp;ROUNDUP(C277/3,0)</f>
        <v>Q4</v>
      </c>
      <c r="E277" s="100" t="s">
        <v>293</v>
      </c>
      <c r="F277" s="100" t="s">
        <v>254</v>
      </c>
      <c r="G277" s="96" t="n">
        <v>2759</v>
      </c>
      <c r="H277" s="96" t="n">
        <v>1943</v>
      </c>
      <c r="I277" s="40" t="n">
        <f aca="false">G277-H277</f>
        <v>816</v>
      </c>
      <c r="J277" s="68" t="str">
        <f aca="false">"S"&amp;TEXT(A277,"yyyymm")&amp;"-"&amp;UPPER(LEFT(E277,3))&amp;"-"&amp;UPPER(LEFT(F277,3))</f>
        <v>S202411-MIN-HOU</v>
      </c>
    </row>
    <row r="278" customFormat="false" ht="15" hidden="false" customHeight="false" outlineLevel="0" collapsed="false">
      <c r="A278" s="101" t="n">
        <v>45626</v>
      </c>
      <c r="B278" s="102" t="n">
        <f aca="false">YEAR(A278)</f>
        <v>2024</v>
      </c>
      <c r="C278" s="102" t="n">
        <f aca="false">MONTH(A278)</f>
        <v>11</v>
      </c>
      <c r="D278" s="68" t="str">
        <f aca="false">"Q"&amp;ROUNDUP(C278/3,0)</f>
        <v>Q4</v>
      </c>
      <c r="E278" s="100" t="s">
        <v>291</v>
      </c>
      <c r="F278" s="100" t="s">
        <v>255</v>
      </c>
      <c r="G278" s="96" t="n">
        <v>5563</v>
      </c>
      <c r="H278" s="96" t="n">
        <v>4505</v>
      </c>
      <c r="I278" s="40" t="n">
        <f aca="false">G278-H278</f>
        <v>1058</v>
      </c>
      <c r="J278" s="68" t="str">
        <f aca="false">"S"&amp;TEXT(A278,"yyyymm")&amp;"-"&amp;UPPER(LEFT(E278,3))&amp;"-"&amp;UPPER(LEFT(F278,3))</f>
        <v>S202411-LUZ-FRE</v>
      </c>
    </row>
    <row r="279" customFormat="false" ht="15" hidden="false" customHeight="false" outlineLevel="0" collapsed="false">
      <c r="A279" s="101" t="n">
        <v>45626</v>
      </c>
      <c r="B279" s="102" t="n">
        <f aca="false">YEAR(A279)</f>
        <v>2024</v>
      </c>
      <c r="C279" s="102" t="n">
        <f aca="false">MONTH(A279)</f>
        <v>11</v>
      </c>
      <c r="D279" s="68" t="str">
        <f aca="false">"Q"&amp;ROUNDUP(C279/3,0)</f>
        <v>Q4</v>
      </c>
      <c r="E279" s="100" t="s">
        <v>292</v>
      </c>
      <c r="F279" s="100" t="s">
        <v>255</v>
      </c>
      <c r="G279" s="96" t="n">
        <v>2313</v>
      </c>
      <c r="H279" s="96" t="n">
        <v>1876</v>
      </c>
      <c r="I279" s="40" t="n">
        <f aca="false">G279-H279</f>
        <v>437</v>
      </c>
      <c r="J279" s="68" t="str">
        <f aca="false">"S"&amp;TEXT(A279,"yyyymm")&amp;"-"&amp;UPPER(LEFT(E279,3))&amp;"-"&amp;UPPER(LEFT(F279,3))</f>
        <v>S202411-VIS-FRE</v>
      </c>
    </row>
    <row r="280" customFormat="false" ht="15" hidden="false" customHeight="false" outlineLevel="0" collapsed="false">
      <c r="A280" s="101" t="n">
        <v>45626</v>
      </c>
      <c r="B280" s="102" t="n">
        <f aca="false">YEAR(A280)</f>
        <v>2024</v>
      </c>
      <c r="C280" s="102" t="n">
        <f aca="false">MONTH(A280)</f>
        <v>11</v>
      </c>
      <c r="D280" s="68" t="str">
        <f aca="false">"Q"&amp;ROUNDUP(C280/3,0)</f>
        <v>Q4</v>
      </c>
      <c r="E280" s="100" t="s">
        <v>293</v>
      </c>
      <c r="F280" s="100" t="s">
        <v>255</v>
      </c>
      <c r="G280" s="96" t="n">
        <v>1889</v>
      </c>
      <c r="H280" s="96" t="n">
        <v>1526</v>
      </c>
      <c r="I280" s="40" t="n">
        <f aca="false">G280-H280</f>
        <v>363</v>
      </c>
      <c r="J280" s="68" t="str">
        <f aca="false">"S"&amp;TEXT(A280,"yyyymm")&amp;"-"&amp;UPPER(LEFT(E280,3))&amp;"-"&amp;UPPER(LEFT(F280,3))</f>
        <v>S202411-MIN-FRE</v>
      </c>
    </row>
    <row r="281" customFormat="false" ht="15" hidden="false" customHeight="false" outlineLevel="0" collapsed="false">
      <c r="A281" s="101" t="n">
        <v>45657</v>
      </c>
      <c r="B281" s="102" t="n">
        <f aca="false">YEAR(A281)</f>
        <v>2024</v>
      </c>
      <c r="C281" s="102" t="n">
        <f aca="false">MONTH(A281)</f>
        <v>12</v>
      </c>
      <c r="D281" s="68" t="str">
        <f aca="false">"Q"&amp;ROUNDUP(C281/3,0)</f>
        <v>Q4</v>
      </c>
      <c r="E281" s="100" t="s">
        <v>291</v>
      </c>
      <c r="F281" s="100" t="s">
        <v>252</v>
      </c>
      <c r="G281" s="96" t="n">
        <v>20175</v>
      </c>
      <c r="H281" s="96" t="n">
        <v>15092</v>
      </c>
      <c r="I281" s="40" t="n">
        <f aca="false">G281-H281</f>
        <v>5083</v>
      </c>
      <c r="J281" s="68" t="str">
        <f aca="false">"S"&amp;TEXT(A281,"yyyymm")&amp;"-"&amp;UPPER(LEFT(E281,3))&amp;"-"&amp;UPPER(LEFT(F281,3))</f>
        <v>S202412-LUZ-PAC</v>
      </c>
    </row>
    <row r="282" customFormat="false" ht="15" hidden="false" customHeight="false" outlineLevel="0" collapsed="false">
      <c r="A282" s="101" t="n">
        <v>45657</v>
      </c>
      <c r="B282" s="102" t="n">
        <f aca="false">YEAR(A282)</f>
        <v>2024</v>
      </c>
      <c r="C282" s="102" t="n">
        <f aca="false">MONTH(A282)</f>
        <v>12</v>
      </c>
      <c r="D282" s="68" t="str">
        <f aca="false">"Q"&amp;ROUNDUP(C282/3,0)</f>
        <v>Q4</v>
      </c>
      <c r="E282" s="100" t="s">
        <v>292</v>
      </c>
      <c r="F282" s="100" t="s">
        <v>252</v>
      </c>
      <c r="G282" s="96" t="n">
        <v>8222</v>
      </c>
      <c r="H282" s="96" t="n">
        <v>6195</v>
      </c>
      <c r="I282" s="40" t="n">
        <f aca="false">G282-H282</f>
        <v>2027</v>
      </c>
      <c r="J282" s="68" t="str">
        <f aca="false">"S"&amp;TEXT(A282,"yyyymm")&amp;"-"&amp;UPPER(LEFT(E282,3))&amp;"-"&amp;UPPER(LEFT(F282,3))</f>
        <v>S202412-VIS-PAC</v>
      </c>
    </row>
    <row r="283" customFormat="false" ht="15" hidden="false" customHeight="false" outlineLevel="0" collapsed="false">
      <c r="A283" s="101" t="n">
        <v>45657</v>
      </c>
      <c r="B283" s="102" t="n">
        <f aca="false">YEAR(A283)</f>
        <v>2024</v>
      </c>
      <c r="C283" s="102" t="n">
        <f aca="false">MONTH(A283)</f>
        <v>12</v>
      </c>
      <c r="D283" s="68" t="str">
        <f aca="false">"Q"&amp;ROUNDUP(C283/3,0)</f>
        <v>Q4</v>
      </c>
      <c r="E283" s="100" t="s">
        <v>293</v>
      </c>
      <c r="F283" s="100" t="s">
        <v>252</v>
      </c>
      <c r="G283" s="96" t="n">
        <v>6954</v>
      </c>
      <c r="H283" s="96" t="n">
        <v>5246</v>
      </c>
      <c r="I283" s="40" t="n">
        <f aca="false">G283-H283</f>
        <v>1708</v>
      </c>
      <c r="J283" s="68" t="str">
        <f aca="false">"S"&amp;TEXT(A283,"yyyymm")&amp;"-"&amp;UPPER(LEFT(E283,3))&amp;"-"&amp;UPPER(LEFT(F283,3))</f>
        <v>S202412-MIN-PAC</v>
      </c>
    </row>
    <row r="284" customFormat="false" ht="15" hidden="false" customHeight="false" outlineLevel="0" collapsed="false">
      <c r="A284" s="101" t="n">
        <v>45657</v>
      </c>
      <c r="B284" s="102" t="n">
        <f aca="false">YEAR(A284)</f>
        <v>2024</v>
      </c>
      <c r="C284" s="102" t="n">
        <f aca="false">MONTH(A284)</f>
        <v>12</v>
      </c>
      <c r="D284" s="68" t="str">
        <f aca="false">"Q"&amp;ROUNDUP(C284/3,0)</f>
        <v>Q4</v>
      </c>
      <c r="E284" s="100" t="s">
        <v>291</v>
      </c>
      <c r="F284" s="100" t="s">
        <v>253</v>
      </c>
      <c r="G284" s="96" t="n">
        <v>14574</v>
      </c>
      <c r="H284" s="96" t="n">
        <v>10681</v>
      </c>
      <c r="I284" s="40" t="n">
        <f aca="false">G284-H284</f>
        <v>3893</v>
      </c>
      <c r="J284" s="68" t="str">
        <f aca="false">"S"&amp;TEXT(A284,"yyyymm")&amp;"-"&amp;UPPER(LEFT(E284,3))&amp;"-"&amp;UPPER(LEFT(F284,3))</f>
        <v>S202412-LUZ-BEV</v>
      </c>
    </row>
    <row r="285" customFormat="false" ht="15" hidden="false" customHeight="false" outlineLevel="0" collapsed="false">
      <c r="A285" s="101" t="n">
        <v>45657</v>
      </c>
      <c r="B285" s="102" t="n">
        <f aca="false">YEAR(A285)</f>
        <v>2024</v>
      </c>
      <c r="C285" s="102" t="n">
        <f aca="false">MONTH(A285)</f>
        <v>12</v>
      </c>
      <c r="D285" s="68" t="str">
        <f aca="false">"Q"&amp;ROUNDUP(C285/3,0)</f>
        <v>Q4</v>
      </c>
      <c r="E285" s="100" t="s">
        <v>292</v>
      </c>
      <c r="F285" s="100" t="s">
        <v>253</v>
      </c>
      <c r="G285" s="96" t="n">
        <v>5756</v>
      </c>
      <c r="H285" s="96" t="n">
        <v>4220</v>
      </c>
      <c r="I285" s="40" t="n">
        <f aca="false">G285-H285</f>
        <v>1536</v>
      </c>
      <c r="J285" s="68" t="str">
        <f aca="false">"S"&amp;TEXT(A285,"yyyymm")&amp;"-"&amp;UPPER(LEFT(E285,3))&amp;"-"&amp;UPPER(LEFT(F285,3))</f>
        <v>S202412-VIS-BEV</v>
      </c>
    </row>
    <row r="286" customFormat="false" ht="15" hidden="false" customHeight="false" outlineLevel="0" collapsed="false">
      <c r="A286" s="101" t="n">
        <v>45657</v>
      </c>
      <c r="B286" s="102" t="n">
        <f aca="false">YEAR(A286)</f>
        <v>2024</v>
      </c>
      <c r="C286" s="102" t="n">
        <f aca="false">MONTH(A286)</f>
        <v>12</v>
      </c>
      <c r="D286" s="68" t="str">
        <f aca="false">"Q"&amp;ROUNDUP(C286/3,0)</f>
        <v>Q4</v>
      </c>
      <c r="E286" s="100" t="s">
        <v>293</v>
      </c>
      <c r="F286" s="100" t="s">
        <v>253</v>
      </c>
      <c r="G286" s="96" t="n">
        <v>5010</v>
      </c>
      <c r="H286" s="96" t="n">
        <v>3665</v>
      </c>
      <c r="I286" s="40" t="n">
        <f aca="false">G286-H286</f>
        <v>1345</v>
      </c>
      <c r="J286" s="68" t="str">
        <f aca="false">"S"&amp;TEXT(A286,"yyyymm")&amp;"-"&amp;UPPER(LEFT(E286,3))&amp;"-"&amp;UPPER(LEFT(F286,3))</f>
        <v>S202412-MIN-BEV</v>
      </c>
    </row>
    <row r="287" customFormat="false" ht="15" hidden="false" customHeight="false" outlineLevel="0" collapsed="false">
      <c r="A287" s="101" t="n">
        <v>45657</v>
      </c>
      <c r="B287" s="102" t="n">
        <f aca="false">YEAR(A287)</f>
        <v>2024</v>
      </c>
      <c r="C287" s="102" t="n">
        <f aca="false">MONTH(A287)</f>
        <v>12</v>
      </c>
      <c r="D287" s="68" t="str">
        <f aca="false">"Q"&amp;ROUNDUP(C287/3,0)</f>
        <v>Q4</v>
      </c>
      <c r="E287" s="100" t="s">
        <v>291</v>
      </c>
      <c r="F287" s="100" t="s">
        <v>254</v>
      </c>
      <c r="G287" s="96" t="n">
        <v>8993</v>
      </c>
      <c r="H287" s="96" t="n">
        <v>6301</v>
      </c>
      <c r="I287" s="40" t="n">
        <f aca="false">G287-H287</f>
        <v>2692</v>
      </c>
      <c r="J287" s="68" t="str">
        <f aca="false">"S"&amp;TEXT(A287,"yyyymm")&amp;"-"&amp;UPPER(LEFT(E287,3))&amp;"-"&amp;UPPER(LEFT(F287,3))</f>
        <v>S202412-LUZ-HOU</v>
      </c>
    </row>
    <row r="288" customFormat="false" ht="15" hidden="false" customHeight="false" outlineLevel="0" collapsed="false">
      <c r="A288" s="101" t="n">
        <v>45657</v>
      </c>
      <c r="B288" s="102" t="n">
        <f aca="false">YEAR(A288)</f>
        <v>2024</v>
      </c>
      <c r="C288" s="102" t="n">
        <f aca="false">MONTH(A288)</f>
        <v>12</v>
      </c>
      <c r="D288" s="68" t="str">
        <f aca="false">"Q"&amp;ROUNDUP(C288/3,0)</f>
        <v>Q4</v>
      </c>
      <c r="E288" s="100" t="s">
        <v>292</v>
      </c>
      <c r="F288" s="100" t="s">
        <v>254</v>
      </c>
      <c r="G288" s="96" t="n">
        <v>3567</v>
      </c>
      <c r="H288" s="96" t="n">
        <v>2519</v>
      </c>
      <c r="I288" s="40" t="n">
        <f aca="false">G288-H288</f>
        <v>1048</v>
      </c>
      <c r="J288" s="68" t="str">
        <f aca="false">"S"&amp;TEXT(A288,"yyyymm")&amp;"-"&amp;UPPER(LEFT(E288,3))&amp;"-"&amp;UPPER(LEFT(F288,3))</f>
        <v>S202412-VIS-HOU</v>
      </c>
    </row>
    <row r="289" customFormat="false" ht="15" hidden="false" customHeight="false" outlineLevel="0" collapsed="false">
      <c r="A289" s="101" t="n">
        <v>45657</v>
      </c>
      <c r="B289" s="102" t="n">
        <f aca="false">YEAR(A289)</f>
        <v>2024</v>
      </c>
      <c r="C289" s="102" t="n">
        <f aca="false">MONTH(A289)</f>
        <v>12</v>
      </c>
      <c r="D289" s="68" t="str">
        <f aca="false">"Q"&amp;ROUNDUP(C289/3,0)</f>
        <v>Q4</v>
      </c>
      <c r="E289" s="100" t="s">
        <v>293</v>
      </c>
      <c r="F289" s="100" t="s">
        <v>254</v>
      </c>
      <c r="G289" s="96" t="n">
        <v>3151</v>
      </c>
      <c r="H289" s="96" t="n">
        <v>2203</v>
      </c>
      <c r="I289" s="40" t="n">
        <f aca="false">G289-H289</f>
        <v>948</v>
      </c>
      <c r="J289" s="68" t="str">
        <f aca="false">"S"&amp;TEXT(A289,"yyyymm")&amp;"-"&amp;UPPER(LEFT(E289,3))&amp;"-"&amp;UPPER(LEFT(F289,3))</f>
        <v>S202412-MIN-HOU</v>
      </c>
    </row>
    <row r="290" customFormat="false" ht="15" hidden="false" customHeight="false" outlineLevel="0" collapsed="false">
      <c r="A290" s="101" t="n">
        <v>45657</v>
      </c>
      <c r="B290" s="102" t="n">
        <f aca="false">YEAR(A290)</f>
        <v>2024</v>
      </c>
      <c r="C290" s="102" t="n">
        <f aca="false">MONTH(A290)</f>
        <v>12</v>
      </c>
      <c r="D290" s="68" t="str">
        <f aca="false">"Q"&amp;ROUNDUP(C290/3,0)</f>
        <v>Q4</v>
      </c>
      <c r="E290" s="100" t="s">
        <v>291</v>
      </c>
      <c r="F290" s="100" t="s">
        <v>255</v>
      </c>
      <c r="G290" s="96" t="n">
        <v>5877</v>
      </c>
      <c r="H290" s="96" t="n">
        <v>4798</v>
      </c>
      <c r="I290" s="40" t="n">
        <f aca="false">G290-H290</f>
        <v>1079</v>
      </c>
      <c r="J290" s="68" t="str">
        <f aca="false">"S"&amp;TEXT(A290,"yyyymm")&amp;"-"&amp;UPPER(LEFT(E290,3))&amp;"-"&amp;UPPER(LEFT(F290,3))</f>
        <v>S202412-LUZ-FRE</v>
      </c>
    </row>
    <row r="291" customFormat="false" ht="15" hidden="false" customHeight="false" outlineLevel="0" collapsed="false">
      <c r="A291" s="101" t="n">
        <v>45657</v>
      </c>
      <c r="B291" s="102" t="n">
        <f aca="false">YEAR(A291)</f>
        <v>2024</v>
      </c>
      <c r="C291" s="102" t="n">
        <f aca="false">MONTH(A291)</f>
        <v>12</v>
      </c>
      <c r="D291" s="68" t="str">
        <f aca="false">"Q"&amp;ROUNDUP(C291/3,0)</f>
        <v>Q4</v>
      </c>
      <c r="E291" s="100" t="s">
        <v>292</v>
      </c>
      <c r="F291" s="100" t="s">
        <v>255</v>
      </c>
      <c r="G291" s="96" t="n">
        <v>2439</v>
      </c>
      <c r="H291" s="96" t="n">
        <v>1981</v>
      </c>
      <c r="I291" s="40" t="n">
        <f aca="false">G291-H291</f>
        <v>458</v>
      </c>
      <c r="J291" s="68" t="str">
        <f aca="false">"S"&amp;TEXT(A291,"yyyymm")&amp;"-"&amp;UPPER(LEFT(E291,3))&amp;"-"&amp;UPPER(LEFT(F291,3))</f>
        <v>S202412-VIS-FRE</v>
      </c>
    </row>
    <row r="292" customFormat="false" ht="15" hidden="false" customHeight="false" outlineLevel="0" collapsed="false">
      <c r="A292" s="101" t="n">
        <v>45657</v>
      </c>
      <c r="B292" s="102" t="n">
        <f aca="false">YEAR(A292)</f>
        <v>2024</v>
      </c>
      <c r="C292" s="102" t="n">
        <f aca="false">MONTH(A292)</f>
        <v>12</v>
      </c>
      <c r="D292" s="68" t="str">
        <f aca="false">"Q"&amp;ROUNDUP(C292/3,0)</f>
        <v>Q4</v>
      </c>
      <c r="E292" s="100" t="s">
        <v>293</v>
      </c>
      <c r="F292" s="100" t="s">
        <v>255</v>
      </c>
      <c r="G292" s="96" t="n">
        <v>2008</v>
      </c>
      <c r="H292" s="96" t="n">
        <v>1623</v>
      </c>
      <c r="I292" s="40" t="n">
        <f aca="false">G292-H292</f>
        <v>385</v>
      </c>
      <c r="J292" s="68" t="str">
        <f aca="false">"S"&amp;TEXT(A292,"yyyymm")&amp;"-"&amp;UPPER(LEFT(E292,3))&amp;"-"&amp;UPPER(LEFT(F292,3))</f>
        <v>S202412-MIN-FRE</v>
      </c>
    </row>
    <row r="293" customFormat="false" ht="15" hidden="false" customHeight="false" outlineLevel="0" collapsed="false">
      <c r="A293" s="101" t="n">
        <v>45688</v>
      </c>
      <c r="B293" s="102" t="n">
        <f aca="false">YEAR(A293)</f>
        <v>2025</v>
      </c>
      <c r="C293" s="102" t="n">
        <f aca="false">MONTH(A293)</f>
        <v>1</v>
      </c>
      <c r="D293" s="68" t="str">
        <f aca="false">"Q"&amp;ROUNDUP(C293/3,0)</f>
        <v>Q1</v>
      </c>
      <c r="E293" s="100" t="s">
        <v>291</v>
      </c>
      <c r="F293" s="100" t="s">
        <v>252</v>
      </c>
      <c r="G293" s="96" t="n">
        <v>16783</v>
      </c>
      <c r="H293" s="96" t="n">
        <v>12544</v>
      </c>
      <c r="I293" s="40" t="n">
        <f aca="false">G293-H293</f>
        <v>4239</v>
      </c>
      <c r="J293" s="68" t="str">
        <f aca="false">"S"&amp;TEXT(A293,"yyyymm")&amp;"-"&amp;UPPER(LEFT(E293,3))&amp;"-"&amp;UPPER(LEFT(F293,3))</f>
        <v>S202501-LUZ-PAC</v>
      </c>
    </row>
    <row r="294" customFormat="false" ht="15" hidden="false" customHeight="false" outlineLevel="0" collapsed="false">
      <c r="A294" s="101" t="n">
        <v>45688</v>
      </c>
      <c r="B294" s="102" t="n">
        <f aca="false">YEAR(A294)</f>
        <v>2025</v>
      </c>
      <c r="C294" s="102" t="n">
        <f aca="false">MONTH(A294)</f>
        <v>1</v>
      </c>
      <c r="D294" s="68" t="str">
        <f aca="false">"Q"&amp;ROUNDUP(C294/3,0)</f>
        <v>Q1</v>
      </c>
      <c r="E294" s="100" t="s">
        <v>292</v>
      </c>
      <c r="F294" s="100" t="s">
        <v>252</v>
      </c>
      <c r="G294" s="96" t="n">
        <v>6713</v>
      </c>
      <c r="H294" s="96" t="n">
        <v>5017</v>
      </c>
      <c r="I294" s="40" t="n">
        <f aca="false">G294-H294</f>
        <v>1696</v>
      </c>
      <c r="J294" s="68" t="str">
        <f aca="false">"S"&amp;TEXT(A294,"yyyymm")&amp;"-"&amp;UPPER(LEFT(E294,3))&amp;"-"&amp;UPPER(LEFT(F294,3))</f>
        <v>S202501-VIS-PAC</v>
      </c>
    </row>
    <row r="295" customFormat="false" ht="15" hidden="false" customHeight="false" outlineLevel="0" collapsed="false">
      <c r="A295" s="101" t="n">
        <v>45688</v>
      </c>
      <c r="B295" s="102" t="n">
        <f aca="false">YEAR(A295)</f>
        <v>2025</v>
      </c>
      <c r="C295" s="102" t="n">
        <f aca="false">MONTH(A295)</f>
        <v>1</v>
      </c>
      <c r="D295" s="68" t="str">
        <f aca="false">"Q"&amp;ROUNDUP(C295/3,0)</f>
        <v>Q1</v>
      </c>
      <c r="E295" s="100" t="s">
        <v>293</v>
      </c>
      <c r="F295" s="100" t="s">
        <v>252</v>
      </c>
      <c r="G295" s="96" t="n">
        <v>5853</v>
      </c>
      <c r="H295" s="96" t="n">
        <v>4391</v>
      </c>
      <c r="I295" s="40" t="n">
        <f aca="false">G295-H295</f>
        <v>1462</v>
      </c>
      <c r="J295" s="68" t="str">
        <f aca="false">"S"&amp;TEXT(A295,"yyyymm")&amp;"-"&amp;UPPER(LEFT(E295,3))&amp;"-"&amp;UPPER(LEFT(F295,3))</f>
        <v>S202501-MIN-PAC</v>
      </c>
    </row>
    <row r="296" customFormat="false" ht="15" hidden="false" customHeight="false" outlineLevel="0" collapsed="false">
      <c r="A296" s="101" t="n">
        <v>45688</v>
      </c>
      <c r="B296" s="102" t="n">
        <f aca="false">YEAR(A296)</f>
        <v>2025</v>
      </c>
      <c r="C296" s="102" t="n">
        <f aca="false">MONTH(A296)</f>
        <v>1</v>
      </c>
      <c r="D296" s="68" t="str">
        <f aca="false">"Q"&amp;ROUNDUP(C296/3,0)</f>
        <v>Q1</v>
      </c>
      <c r="E296" s="100" t="s">
        <v>291</v>
      </c>
      <c r="F296" s="100" t="s">
        <v>253</v>
      </c>
      <c r="G296" s="96" t="n">
        <v>12421</v>
      </c>
      <c r="H296" s="96" t="n">
        <v>9099</v>
      </c>
      <c r="I296" s="40" t="n">
        <f aca="false">G296-H296</f>
        <v>3322</v>
      </c>
      <c r="J296" s="68" t="str">
        <f aca="false">"S"&amp;TEXT(A296,"yyyymm")&amp;"-"&amp;UPPER(LEFT(E296,3))&amp;"-"&amp;UPPER(LEFT(F296,3))</f>
        <v>S202501-LUZ-BEV</v>
      </c>
    </row>
    <row r="297" customFormat="false" ht="15" hidden="false" customHeight="false" outlineLevel="0" collapsed="false">
      <c r="A297" s="101" t="n">
        <v>45688</v>
      </c>
      <c r="B297" s="102" t="n">
        <f aca="false">YEAR(A297)</f>
        <v>2025</v>
      </c>
      <c r="C297" s="102" t="n">
        <f aca="false">MONTH(A297)</f>
        <v>1</v>
      </c>
      <c r="D297" s="68" t="str">
        <f aca="false">"Q"&amp;ROUNDUP(C297/3,0)</f>
        <v>Q1</v>
      </c>
      <c r="E297" s="100" t="s">
        <v>292</v>
      </c>
      <c r="F297" s="100" t="s">
        <v>253</v>
      </c>
      <c r="G297" s="96" t="n">
        <v>4939</v>
      </c>
      <c r="H297" s="96" t="n">
        <v>3622</v>
      </c>
      <c r="I297" s="40" t="n">
        <f aca="false">G297-H297</f>
        <v>1317</v>
      </c>
      <c r="J297" s="68" t="str">
        <f aca="false">"S"&amp;TEXT(A297,"yyyymm")&amp;"-"&amp;UPPER(LEFT(E297,3))&amp;"-"&amp;UPPER(LEFT(F297,3))</f>
        <v>S202501-VIS-BEV</v>
      </c>
    </row>
    <row r="298" customFormat="false" ht="15" hidden="false" customHeight="false" outlineLevel="0" collapsed="false">
      <c r="A298" s="101" t="n">
        <v>45688</v>
      </c>
      <c r="B298" s="102" t="n">
        <f aca="false">YEAR(A298)</f>
        <v>2025</v>
      </c>
      <c r="C298" s="102" t="n">
        <f aca="false">MONTH(A298)</f>
        <v>1</v>
      </c>
      <c r="D298" s="68" t="str">
        <f aca="false">"Q"&amp;ROUNDUP(C298/3,0)</f>
        <v>Q1</v>
      </c>
      <c r="E298" s="100" t="s">
        <v>293</v>
      </c>
      <c r="F298" s="100" t="s">
        <v>253</v>
      </c>
      <c r="G298" s="96" t="n">
        <v>4352</v>
      </c>
      <c r="H298" s="96" t="n">
        <v>3179</v>
      </c>
      <c r="I298" s="40" t="n">
        <f aca="false">G298-H298</f>
        <v>1173</v>
      </c>
      <c r="J298" s="68" t="str">
        <f aca="false">"S"&amp;TEXT(A298,"yyyymm")&amp;"-"&amp;UPPER(LEFT(E298,3))&amp;"-"&amp;UPPER(LEFT(F298,3))</f>
        <v>S202501-MIN-BEV</v>
      </c>
    </row>
    <row r="299" customFormat="false" ht="15" hidden="false" customHeight="false" outlineLevel="0" collapsed="false">
      <c r="A299" s="101" t="n">
        <v>45688</v>
      </c>
      <c r="B299" s="102" t="n">
        <f aca="false">YEAR(A299)</f>
        <v>2025</v>
      </c>
      <c r="C299" s="102" t="n">
        <f aca="false">MONTH(A299)</f>
        <v>1</v>
      </c>
      <c r="D299" s="68" t="str">
        <f aca="false">"Q"&amp;ROUNDUP(C299/3,0)</f>
        <v>Q1</v>
      </c>
      <c r="E299" s="100" t="s">
        <v>291</v>
      </c>
      <c r="F299" s="100" t="s">
        <v>254</v>
      </c>
      <c r="G299" s="96" t="n">
        <v>7591</v>
      </c>
      <c r="H299" s="96" t="n">
        <v>5303</v>
      </c>
      <c r="I299" s="40" t="n">
        <f aca="false">G299-H299</f>
        <v>2288</v>
      </c>
      <c r="J299" s="68" t="str">
        <f aca="false">"S"&amp;TEXT(A299,"yyyymm")&amp;"-"&amp;UPPER(LEFT(E299,3))&amp;"-"&amp;UPPER(LEFT(F299,3))</f>
        <v>S202501-LUZ-HOU</v>
      </c>
    </row>
    <row r="300" customFormat="false" ht="15" hidden="false" customHeight="false" outlineLevel="0" collapsed="false">
      <c r="A300" s="101" t="n">
        <v>45688</v>
      </c>
      <c r="B300" s="102" t="n">
        <f aca="false">YEAR(A300)</f>
        <v>2025</v>
      </c>
      <c r="C300" s="102" t="n">
        <f aca="false">MONTH(A300)</f>
        <v>1</v>
      </c>
      <c r="D300" s="68" t="str">
        <f aca="false">"Q"&amp;ROUNDUP(C300/3,0)</f>
        <v>Q1</v>
      </c>
      <c r="E300" s="100" t="s">
        <v>292</v>
      </c>
      <c r="F300" s="100" t="s">
        <v>254</v>
      </c>
      <c r="G300" s="96" t="n">
        <v>3091</v>
      </c>
      <c r="H300" s="96" t="n">
        <v>2161</v>
      </c>
      <c r="I300" s="40" t="n">
        <f aca="false">G300-H300</f>
        <v>930</v>
      </c>
      <c r="J300" s="68" t="str">
        <f aca="false">"S"&amp;TEXT(A300,"yyyymm")&amp;"-"&amp;UPPER(LEFT(E300,3))&amp;"-"&amp;UPPER(LEFT(F300,3))</f>
        <v>S202501-VIS-HOU</v>
      </c>
    </row>
    <row r="301" customFormat="false" ht="15" hidden="false" customHeight="false" outlineLevel="0" collapsed="false">
      <c r="A301" s="101" t="n">
        <v>45688</v>
      </c>
      <c r="B301" s="102" t="n">
        <f aca="false">YEAR(A301)</f>
        <v>2025</v>
      </c>
      <c r="C301" s="102" t="n">
        <f aca="false">MONTH(A301)</f>
        <v>1</v>
      </c>
      <c r="D301" s="68" t="str">
        <f aca="false">"Q"&amp;ROUNDUP(C301/3,0)</f>
        <v>Q1</v>
      </c>
      <c r="E301" s="100" t="s">
        <v>293</v>
      </c>
      <c r="F301" s="100" t="s">
        <v>254</v>
      </c>
      <c r="G301" s="96" t="n">
        <v>2628</v>
      </c>
      <c r="H301" s="96" t="n">
        <v>1840</v>
      </c>
      <c r="I301" s="40" t="n">
        <f aca="false">G301-H301</f>
        <v>788</v>
      </c>
      <c r="J301" s="68" t="str">
        <f aca="false">"S"&amp;TEXT(A301,"yyyymm")&amp;"-"&amp;UPPER(LEFT(E301,3))&amp;"-"&amp;UPPER(LEFT(F301,3))</f>
        <v>S202501-MIN-HOU</v>
      </c>
    </row>
    <row r="302" customFormat="false" ht="15" hidden="false" customHeight="false" outlineLevel="0" collapsed="false">
      <c r="A302" s="101" t="n">
        <v>45688</v>
      </c>
      <c r="B302" s="102" t="n">
        <f aca="false">YEAR(A302)</f>
        <v>2025</v>
      </c>
      <c r="C302" s="102" t="n">
        <f aca="false">MONTH(A302)</f>
        <v>1</v>
      </c>
      <c r="D302" s="68" t="str">
        <f aca="false">"Q"&amp;ROUNDUP(C302/3,0)</f>
        <v>Q1</v>
      </c>
      <c r="E302" s="100" t="s">
        <v>291</v>
      </c>
      <c r="F302" s="100" t="s">
        <v>255</v>
      </c>
      <c r="G302" s="96" t="n">
        <v>5688</v>
      </c>
      <c r="H302" s="96" t="n">
        <v>4610</v>
      </c>
      <c r="I302" s="40" t="n">
        <f aca="false">G302-H302</f>
        <v>1078</v>
      </c>
      <c r="J302" s="68" t="str">
        <f aca="false">"S"&amp;TEXT(A302,"yyyymm")&amp;"-"&amp;UPPER(LEFT(E302,3))&amp;"-"&amp;UPPER(LEFT(F302,3))</f>
        <v>S202501-LUZ-FRE</v>
      </c>
    </row>
    <row r="303" customFormat="false" ht="15" hidden="false" customHeight="false" outlineLevel="0" collapsed="false">
      <c r="A303" s="101" t="n">
        <v>45688</v>
      </c>
      <c r="B303" s="102" t="n">
        <f aca="false">YEAR(A303)</f>
        <v>2025</v>
      </c>
      <c r="C303" s="102" t="n">
        <f aca="false">MONTH(A303)</f>
        <v>1</v>
      </c>
      <c r="D303" s="68" t="str">
        <f aca="false">"Q"&amp;ROUNDUP(C303/3,0)</f>
        <v>Q1</v>
      </c>
      <c r="E303" s="100" t="s">
        <v>292</v>
      </c>
      <c r="F303" s="100" t="s">
        <v>255</v>
      </c>
      <c r="G303" s="96" t="n">
        <v>2411</v>
      </c>
      <c r="H303" s="96" t="n">
        <v>1958</v>
      </c>
      <c r="I303" s="40" t="n">
        <f aca="false">G303-H303</f>
        <v>453</v>
      </c>
      <c r="J303" s="68" t="str">
        <f aca="false">"S"&amp;TEXT(A303,"yyyymm")&amp;"-"&amp;UPPER(LEFT(E303,3))&amp;"-"&amp;UPPER(LEFT(F303,3))</f>
        <v>S202501-VIS-FRE</v>
      </c>
    </row>
    <row r="304" customFormat="false" ht="15" hidden="false" customHeight="false" outlineLevel="0" collapsed="false">
      <c r="A304" s="101" t="n">
        <v>45688</v>
      </c>
      <c r="B304" s="102" t="n">
        <f aca="false">YEAR(A304)</f>
        <v>2025</v>
      </c>
      <c r="C304" s="102" t="n">
        <f aca="false">MONTH(A304)</f>
        <v>1</v>
      </c>
      <c r="D304" s="68" t="str">
        <f aca="false">"Q"&amp;ROUNDUP(C304/3,0)</f>
        <v>Q1</v>
      </c>
      <c r="E304" s="100" t="s">
        <v>293</v>
      </c>
      <c r="F304" s="100" t="s">
        <v>255</v>
      </c>
      <c r="G304" s="96" t="n">
        <v>1993</v>
      </c>
      <c r="H304" s="96" t="n">
        <v>1620</v>
      </c>
      <c r="I304" s="40" t="n">
        <f aca="false">G304-H304</f>
        <v>373</v>
      </c>
      <c r="J304" s="68" t="str">
        <f aca="false">"S"&amp;TEXT(A304,"yyyymm")&amp;"-"&amp;UPPER(LEFT(E304,3))&amp;"-"&amp;UPPER(LEFT(F304,3))</f>
        <v>S202501-MIN-FRE</v>
      </c>
    </row>
    <row r="305" customFormat="false" ht="15" hidden="false" customHeight="false" outlineLevel="0" collapsed="false">
      <c r="A305" s="101" t="n">
        <v>45716</v>
      </c>
      <c r="B305" s="102" t="n">
        <f aca="false">YEAR(A305)</f>
        <v>2025</v>
      </c>
      <c r="C305" s="102" t="n">
        <f aca="false">MONTH(A305)</f>
        <v>2</v>
      </c>
      <c r="D305" s="68" t="str">
        <f aca="false">"Q"&amp;ROUNDUP(C305/3,0)</f>
        <v>Q1</v>
      </c>
      <c r="E305" s="100" t="s">
        <v>291</v>
      </c>
      <c r="F305" s="100" t="s">
        <v>252</v>
      </c>
      <c r="G305" s="96" t="n">
        <v>16288</v>
      </c>
      <c r="H305" s="96" t="n">
        <v>12152</v>
      </c>
      <c r="I305" s="40" t="n">
        <f aca="false">G305-H305</f>
        <v>4136</v>
      </c>
      <c r="J305" s="68" t="str">
        <f aca="false">"S"&amp;TEXT(A305,"yyyymm")&amp;"-"&amp;UPPER(LEFT(E305,3))&amp;"-"&amp;UPPER(LEFT(F305,3))</f>
        <v>S202502-LUZ-PAC</v>
      </c>
    </row>
    <row r="306" customFormat="false" ht="15" hidden="false" customHeight="false" outlineLevel="0" collapsed="false">
      <c r="A306" s="101" t="n">
        <v>45716</v>
      </c>
      <c r="B306" s="102" t="n">
        <f aca="false">YEAR(A306)</f>
        <v>2025</v>
      </c>
      <c r="C306" s="102" t="n">
        <f aca="false">MONTH(A306)</f>
        <v>2</v>
      </c>
      <c r="D306" s="68" t="str">
        <f aca="false">"Q"&amp;ROUNDUP(C306/3,0)</f>
        <v>Q1</v>
      </c>
      <c r="E306" s="100" t="s">
        <v>292</v>
      </c>
      <c r="F306" s="100" t="s">
        <v>252</v>
      </c>
      <c r="G306" s="96" t="n">
        <v>6576</v>
      </c>
      <c r="H306" s="96" t="n">
        <v>4904</v>
      </c>
      <c r="I306" s="40" t="n">
        <f aca="false">G306-H306</f>
        <v>1672</v>
      </c>
      <c r="J306" s="68" t="str">
        <f aca="false">"S"&amp;TEXT(A306,"yyyymm")&amp;"-"&amp;UPPER(LEFT(E306,3))&amp;"-"&amp;UPPER(LEFT(F306,3))</f>
        <v>S202502-VIS-PAC</v>
      </c>
    </row>
    <row r="307" customFormat="false" ht="15" hidden="false" customHeight="false" outlineLevel="0" collapsed="false">
      <c r="A307" s="101" t="n">
        <v>45716</v>
      </c>
      <c r="B307" s="102" t="n">
        <f aca="false">YEAR(A307)</f>
        <v>2025</v>
      </c>
      <c r="C307" s="102" t="n">
        <f aca="false">MONTH(A307)</f>
        <v>2</v>
      </c>
      <c r="D307" s="68" t="str">
        <f aca="false">"Q"&amp;ROUNDUP(C307/3,0)</f>
        <v>Q1</v>
      </c>
      <c r="E307" s="100" t="s">
        <v>293</v>
      </c>
      <c r="F307" s="100" t="s">
        <v>252</v>
      </c>
      <c r="G307" s="96" t="n">
        <v>5760</v>
      </c>
      <c r="H307" s="96" t="n">
        <v>4343</v>
      </c>
      <c r="I307" s="40" t="n">
        <f aca="false">G307-H307</f>
        <v>1417</v>
      </c>
      <c r="J307" s="68" t="str">
        <f aca="false">"S"&amp;TEXT(A307,"yyyymm")&amp;"-"&amp;UPPER(LEFT(E307,3))&amp;"-"&amp;UPPER(LEFT(F307,3))</f>
        <v>S202502-MIN-PAC</v>
      </c>
    </row>
    <row r="308" customFormat="false" ht="15" hidden="false" customHeight="false" outlineLevel="0" collapsed="false">
      <c r="A308" s="101" t="n">
        <v>45716</v>
      </c>
      <c r="B308" s="102" t="n">
        <f aca="false">YEAR(A308)</f>
        <v>2025</v>
      </c>
      <c r="C308" s="102" t="n">
        <f aca="false">MONTH(A308)</f>
        <v>2</v>
      </c>
      <c r="D308" s="68" t="str">
        <f aca="false">"Q"&amp;ROUNDUP(C308/3,0)</f>
        <v>Q1</v>
      </c>
      <c r="E308" s="100" t="s">
        <v>291</v>
      </c>
      <c r="F308" s="100" t="s">
        <v>253</v>
      </c>
      <c r="G308" s="96" t="n">
        <v>11779</v>
      </c>
      <c r="H308" s="96" t="n">
        <v>8575</v>
      </c>
      <c r="I308" s="40" t="n">
        <f aca="false">G308-H308</f>
        <v>3204</v>
      </c>
      <c r="J308" s="68" t="str">
        <f aca="false">"S"&amp;TEXT(A308,"yyyymm")&amp;"-"&amp;UPPER(LEFT(E308,3))&amp;"-"&amp;UPPER(LEFT(F308,3))</f>
        <v>S202502-LUZ-BEV</v>
      </c>
    </row>
    <row r="309" customFormat="false" ht="15" hidden="false" customHeight="false" outlineLevel="0" collapsed="false">
      <c r="A309" s="101" t="n">
        <v>45716</v>
      </c>
      <c r="B309" s="102" t="n">
        <f aca="false">YEAR(A309)</f>
        <v>2025</v>
      </c>
      <c r="C309" s="102" t="n">
        <f aca="false">MONTH(A309)</f>
        <v>2</v>
      </c>
      <c r="D309" s="68" t="str">
        <f aca="false">"Q"&amp;ROUNDUP(C309/3,0)</f>
        <v>Q1</v>
      </c>
      <c r="E309" s="100" t="s">
        <v>292</v>
      </c>
      <c r="F309" s="100" t="s">
        <v>253</v>
      </c>
      <c r="G309" s="96" t="n">
        <v>4858</v>
      </c>
      <c r="H309" s="96" t="n">
        <v>3540</v>
      </c>
      <c r="I309" s="40" t="n">
        <f aca="false">G309-H309</f>
        <v>1318</v>
      </c>
      <c r="J309" s="68" t="str">
        <f aca="false">"S"&amp;TEXT(A309,"yyyymm")&amp;"-"&amp;UPPER(LEFT(E309,3))&amp;"-"&amp;UPPER(LEFT(F309,3))</f>
        <v>S202502-VIS-BEV</v>
      </c>
    </row>
    <row r="310" customFormat="false" ht="15" hidden="false" customHeight="false" outlineLevel="0" collapsed="false">
      <c r="A310" s="101" t="n">
        <v>45716</v>
      </c>
      <c r="B310" s="102" t="n">
        <f aca="false">YEAR(A310)</f>
        <v>2025</v>
      </c>
      <c r="C310" s="102" t="n">
        <f aca="false">MONTH(A310)</f>
        <v>2</v>
      </c>
      <c r="D310" s="68" t="str">
        <f aca="false">"Q"&amp;ROUNDUP(C310/3,0)</f>
        <v>Q1</v>
      </c>
      <c r="E310" s="100" t="s">
        <v>293</v>
      </c>
      <c r="F310" s="100" t="s">
        <v>253</v>
      </c>
      <c r="G310" s="96" t="n">
        <v>4203</v>
      </c>
      <c r="H310" s="96" t="n">
        <v>3057</v>
      </c>
      <c r="I310" s="40" t="n">
        <f aca="false">G310-H310</f>
        <v>1146</v>
      </c>
      <c r="J310" s="68" t="str">
        <f aca="false">"S"&amp;TEXT(A310,"yyyymm")&amp;"-"&amp;UPPER(LEFT(E310,3))&amp;"-"&amp;UPPER(LEFT(F310,3))</f>
        <v>S202502-MIN-BEV</v>
      </c>
    </row>
    <row r="311" customFormat="false" ht="15" hidden="false" customHeight="false" outlineLevel="0" collapsed="false">
      <c r="A311" s="101" t="n">
        <v>45716</v>
      </c>
      <c r="B311" s="102" t="n">
        <f aca="false">YEAR(A311)</f>
        <v>2025</v>
      </c>
      <c r="C311" s="102" t="n">
        <f aca="false">MONTH(A311)</f>
        <v>2</v>
      </c>
      <c r="D311" s="68" t="str">
        <f aca="false">"Q"&amp;ROUNDUP(C311/3,0)</f>
        <v>Q1</v>
      </c>
      <c r="E311" s="100" t="s">
        <v>291</v>
      </c>
      <c r="F311" s="100" t="s">
        <v>254</v>
      </c>
      <c r="G311" s="96" t="n">
        <v>7007</v>
      </c>
      <c r="H311" s="96" t="n">
        <v>4886</v>
      </c>
      <c r="I311" s="40" t="n">
        <f aca="false">G311-H311</f>
        <v>2121</v>
      </c>
      <c r="J311" s="68" t="str">
        <f aca="false">"S"&amp;TEXT(A311,"yyyymm")&amp;"-"&amp;UPPER(LEFT(E311,3))&amp;"-"&amp;UPPER(LEFT(F311,3))</f>
        <v>S202502-LUZ-HOU</v>
      </c>
    </row>
    <row r="312" customFormat="false" ht="15" hidden="false" customHeight="false" outlineLevel="0" collapsed="false">
      <c r="A312" s="101" t="n">
        <v>45716</v>
      </c>
      <c r="B312" s="102" t="n">
        <f aca="false">YEAR(A312)</f>
        <v>2025</v>
      </c>
      <c r="C312" s="102" t="n">
        <f aca="false">MONTH(A312)</f>
        <v>2</v>
      </c>
      <c r="D312" s="68" t="str">
        <f aca="false">"Q"&amp;ROUNDUP(C312/3,0)</f>
        <v>Q1</v>
      </c>
      <c r="E312" s="100" t="s">
        <v>292</v>
      </c>
      <c r="F312" s="100" t="s">
        <v>254</v>
      </c>
      <c r="G312" s="96" t="n">
        <v>2845</v>
      </c>
      <c r="H312" s="96" t="n">
        <v>1995</v>
      </c>
      <c r="I312" s="40" t="n">
        <f aca="false">G312-H312</f>
        <v>850</v>
      </c>
      <c r="J312" s="68" t="str">
        <f aca="false">"S"&amp;TEXT(A312,"yyyymm")&amp;"-"&amp;UPPER(LEFT(E312,3))&amp;"-"&amp;UPPER(LEFT(F312,3))</f>
        <v>S202502-VIS-HOU</v>
      </c>
    </row>
    <row r="313" customFormat="false" ht="15" hidden="false" customHeight="false" outlineLevel="0" collapsed="false">
      <c r="A313" s="101" t="n">
        <v>45716</v>
      </c>
      <c r="B313" s="102" t="n">
        <f aca="false">YEAR(A313)</f>
        <v>2025</v>
      </c>
      <c r="C313" s="102" t="n">
        <f aca="false">MONTH(A313)</f>
        <v>2</v>
      </c>
      <c r="D313" s="68" t="str">
        <f aca="false">"Q"&amp;ROUNDUP(C313/3,0)</f>
        <v>Q1</v>
      </c>
      <c r="E313" s="100" t="s">
        <v>293</v>
      </c>
      <c r="F313" s="100" t="s">
        <v>254</v>
      </c>
      <c r="G313" s="96" t="n">
        <v>2525</v>
      </c>
      <c r="H313" s="96" t="n">
        <v>1768</v>
      </c>
      <c r="I313" s="40" t="n">
        <f aca="false">G313-H313</f>
        <v>757</v>
      </c>
      <c r="J313" s="68" t="str">
        <f aca="false">"S"&amp;TEXT(A313,"yyyymm")&amp;"-"&amp;UPPER(LEFT(E313,3))&amp;"-"&amp;UPPER(LEFT(F313,3))</f>
        <v>S202502-MIN-HOU</v>
      </c>
    </row>
    <row r="314" customFormat="false" ht="15" hidden="false" customHeight="false" outlineLevel="0" collapsed="false">
      <c r="A314" s="101" t="n">
        <v>45716</v>
      </c>
      <c r="B314" s="102" t="n">
        <f aca="false">YEAR(A314)</f>
        <v>2025</v>
      </c>
      <c r="C314" s="102" t="n">
        <f aca="false">MONTH(A314)</f>
        <v>2</v>
      </c>
      <c r="D314" s="68" t="str">
        <f aca="false">"Q"&amp;ROUNDUP(C314/3,0)</f>
        <v>Q1</v>
      </c>
      <c r="E314" s="100" t="s">
        <v>291</v>
      </c>
      <c r="F314" s="100" t="s">
        <v>255</v>
      </c>
      <c r="G314" s="96" t="n">
        <v>5557</v>
      </c>
      <c r="H314" s="96" t="n">
        <v>4486</v>
      </c>
      <c r="I314" s="40" t="n">
        <f aca="false">G314-H314</f>
        <v>1071</v>
      </c>
      <c r="J314" s="68" t="str">
        <f aca="false">"S"&amp;TEXT(A314,"yyyymm")&amp;"-"&amp;UPPER(LEFT(E314,3))&amp;"-"&amp;UPPER(LEFT(F314,3))</f>
        <v>S202502-LUZ-FRE</v>
      </c>
    </row>
    <row r="315" customFormat="false" ht="15" hidden="false" customHeight="false" outlineLevel="0" collapsed="false">
      <c r="A315" s="101" t="n">
        <v>45716</v>
      </c>
      <c r="B315" s="102" t="n">
        <f aca="false">YEAR(A315)</f>
        <v>2025</v>
      </c>
      <c r="C315" s="102" t="n">
        <f aca="false">MONTH(A315)</f>
        <v>2</v>
      </c>
      <c r="D315" s="68" t="str">
        <f aca="false">"Q"&amp;ROUNDUP(C315/3,0)</f>
        <v>Q1</v>
      </c>
      <c r="E315" s="100" t="s">
        <v>292</v>
      </c>
      <c r="F315" s="100" t="s">
        <v>255</v>
      </c>
      <c r="G315" s="96" t="n">
        <v>2289</v>
      </c>
      <c r="H315" s="96" t="n">
        <v>1855</v>
      </c>
      <c r="I315" s="40" t="n">
        <f aca="false">G315-H315</f>
        <v>434</v>
      </c>
      <c r="J315" s="68" t="str">
        <f aca="false">"S"&amp;TEXT(A315,"yyyymm")&amp;"-"&amp;UPPER(LEFT(E315,3))&amp;"-"&amp;UPPER(LEFT(F315,3))</f>
        <v>S202502-VIS-FRE</v>
      </c>
    </row>
    <row r="316" customFormat="false" ht="15" hidden="false" customHeight="false" outlineLevel="0" collapsed="false">
      <c r="A316" s="101" t="n">
        <v>45716</v>
      </c>
      <c r="B316" s="102" t="n">
        <f aca="false">YEAR(A316)</f>
        <v>2025</v>
      </c>
      <c r="C316" s="102" t="n">
        <f aca="false">MONTH(A316)</f>
        <v>2</v>
      </c>
      <c r="D316" s="68" t="str">
        <f aca="false">"Q"&amp;ROUNDUP(C316/3,0)</f>
        <v>Q1</v>
      </c>
      <c r="E316" s="100" t="s">
        <v>293</v>
      </c>
      <c r="F316" s="100" t="s">
        <v>255</v>
      </c>
      <c r="G316" s="96" t="n">
        <v>2002</v>
      </c>
      <c r="H316" s="96" t="n">
        <v>1626</v>
      </c>
      <c r="I316" s="40" t="n">
        <f aca="false">G316-H316</f>
        <v>376</v>
      </c>
      <c r="J316" s="68" t="str">
        <f aca="false">"S"&amp;TEXT(A316,"yyyymm")&amp;"-"&amp;UPPER(LEFT(E316,3))&amp;"-"&amp;UPPER(LEFT(F316,3))</f>
        <v>S202502-MIN-FRE</v>
      </c>
    </row>
    <row r="317" customFormat="false" ht="15" hidden="false" customHeight="false" outlineLevel="0" collapsed="false">
      <c r="A317" s="101" t="n">
        <v>45747</v>
      </c>
      <c r="B317" s="102" t="n">
        <f aca="false">YEAR(A317)</f>
        <v>2025</v>
      </c>
      <c r="C317" s="102" t="n">
        <f aca="false">MONTH(A317)</f>
        <v>3</v>
      </c>
      <c r="D317" s="68" t="str">
        <f aca="false">"Q"&amp;ROUNDUP(C317/3,0)</f>
        <v>Q1</v>
      </c>
      <c r="E317" s="100" t="s">
        <v>291</v>
      </c>
      <c r="F317" s="100" t="s">
        <v>252</v>
      </c>
      <c r="G317" s="96" t="n">
        <v>16856</v>
      </c>
      <c r="H317" s="96" t="n">
        <v>12615</v>
      </c>
      <c r="I317" s="40" t="n">
        <f aca="false">G317-H317</f>
        <v>4241</v>
      </c>
      <c r="J317" s="68" t="str">
        <f aca="false">"S"&amp;TEXT(A317,"yyyymm")&amp;"-"&amp;UPPER(LEFT(E317,3))&amp;"-"&amp;UPPER(LEFT(F317,3))</f>
        <v>S202503-LUZ-PAC</v>
      </c>
    </row>
    <row r="318" customFormat="false" ht="15" hidden="false" customHeight="false" outlineLevel="0" collapsed="false">
      <c r="A318" s="101" t="n">
        <v>45747</v>
      </c>
      <c r="B318" s="102" t="n">
        <f aca="false">YEAR(A318)</f>
        <v>2025</v>
      </c>
      <c r="C318" s="102" t="n">
        <f aca="false">MONTH(A318)</f>
        <v>3</v>
      </c>
      <c r="D318" s="68" t="str">
        <f aca="false">"Q"&amp;ROUNDUP(C318/3,0)</f>
        <v>Q1</v>
      </c>
      <c r="E318" s="100" t="s">
        <v>292</v>
      </c>
      <c r="F318" s="100" t="s">
        <v>252</v>
      </c>
      <c r="G318" s="96" t="n">
        <v>7035</v>
      </c>
      <c r="H318" s="96" t="n">
        <v>5247</v>
      </c>
      <c r="I318" s="40" t="n">
        <f aca="false">G318-H318</f>
        <v>1788</v>
      </c>
      <c r="J318" s="68" t="str">
        <f aca="false">"S"&amp;TEXT(A318,"yyyymm")&amp;"-"&amp;UPPER(LEFT(E318,3))&amp;"-"&amp;UPPER(LEFT(F318,3))</f>
        <v>S202503-VIS-PAC</v>
      </c>
    </row>
    <row r="319" customFormat="false" ht="15" hidden="false" customHeight="false" outlineLevel="0" collapsed="false">
      <c r="A319" s="101" t="n">
        <v>45747</v>
      </c>
      <c r="B319" s="102" t="n">
        <f aca="false">YEAR(A319)</f>
        <v>2025</v>
      </c>
      <c r="C319" s="102" t="n">
        <f aca="false">MONTH(A319)</f>
        <v>3</v>
      </c>
      <c r="D319" s="68" t="str">
        <f aca="false">"Q"&amp;ROUNDUP(C319/3,0)</f>
        <v>Q1</v>
      </c>
      <c r="E319" s="100" t="s">
        <v>293</v>
      </c>
      <c r="F319" s="100" t="s">
        <v>252</v>
      </c>
      <c r="G319" s="96" t="n">
        <v>5861</v>
      </c>
      <c r="H319" s="96" t="n">
        <v>4374</v>
      </c>
      <c r="I319" s="40" t="n">
        <f aca="false">G319-H319</f>
        <v>1487</v>
      </c>
      <c r="J319" s="68" t="str">
        <f aca="false">"S"&amp;TEXT(A319,"yyyymm")&amp;"-"&amp;UPPER(LEFT(E319,3))&amp;"-"&amp;UPPER(LEFT(F319,3))</f>
        <v>S202503-MIN-PAC</v>
      </c>
    </row>
    <row r="320" customFormat="false" ht="15" hidden="false" customHeight="false" outlineLevel="0" collapsed="false">
      <c r="A320" s="101" t="n">
        <v>45747</v>
      </c>
      <c r="B320" s="102" t="n">
        <f aca="false">YEAR(A320)</f>
        <v>2025</v>
      </c>
      <c r="C320" s="102" t="n">
        <f aca="false">MONTH(A320)</f>
        <v>3</v>
      </c>
      <c r="D320" s="68" t="str">
        <f aca="false">"Q"&amp;ROUNDUP(C320/3,0)</f>
        <v>Q1</v>
      </c>
      <c r="E320" s="100" t="s">
        <v>291</v>
      </c>
      <c r="F320" s="100" t="s">
        <v>253</v>
      </c>
      <c r="G320" s="96" t="n">
        <v>13816</v>
      </c>
      <c r="H320" s="96" t="n">
        <v>10110</v>
      </c>
      <c r="I320" s="40" t="n">
        <f aca="false">G320-H320</f>
        <v>3706</v>
      </c>
      <c r="J320" s="68" t="str">
        <f aca="false">"S"&amp;TEXT(A320,"yyyymm")&amp;"-"&amp;UPPER(LEFT(E320,3))&amp;"-"&amp;UPPER(LEFT(F320,3))</f>
        <v>S202503-LUZ-BEV</v>
      </c>
    </row>
    <row r="321" customFormat="false" ht="15" hidden="false" customHeight="false" outlineLevel="0" collapsed="false">
      <c r="A321" s="101" t="n">
        <v>45747</v>
      </c>
      <c r="B321" s="102" t="n">
        <f aca="false">YEAR(A321)</f>
        <v>2025</v>
      </c>
      <c r="C321" s="102" t="n">
        <f aca="false">MONTH(A321)</f>
        <v>3</v>
      </c>
      <c r="D321" s="68" t="str">
        <f aca="false">"Q"&amp;ROUNDUP(C321/3,0)</f>
        <v>Q1</v>
      </c>
      <c r="E321" s="100" t="s">
        <v>292</v>
      </c>
      <c r="F321" s="100" t="s">
        <v>253</v>
      </c>
      <c r="G321" s="96" t="n">
        <v>5651</v>
      </c>
      <c r="H321" s="96" t="n">
        <v>4113</v>
      </c>
      <c r="I321" s="40" t="n">
        <f aca="false">G321-H321</f>
        <v>1538</v>
      </c>
      <c r="J321" s="68" t="str">
        <f aca="false">"S"&amp;TEXT(A321,"yyyymm")&amp;"-"&amp;UPPER(LEFT(E321,3))&amp;"-"&amp;UPPER(LEFT(F321,3))</f>
        <v>S202503-VIS-BEV</v>
      </c>
    </row>
    <row r="322" customFormat="false" ht="15" hidden="false" customHeight="false" outlineLevel="0" collapsed="false">
      <c r="A322" s="101" t="n">
        <v>45747</v>
      </c>
      <c r="B322" s="102" t="n">
        <f aca="false">YEAR(A322)</f>
        <v>2025</v>
      </c>
      <c r="C322" s="102" t="n">
        <f aca="false">MONTH(A322)</f>
        <v>3</v>
      </c>
      <c r="D322" s="68" t="str">
        <f aca="false">"Q"&amp;ROUNDUP(C322/3,0)</f>
        <v>Q1</v>
      </c>
      <c r="E322" s="100" t="s">
        <v>293</v>
      </c>
      <c r="F322" s="100" t="s">
        <v>253</v>
      </c>
      <c r="G322" s="96" t="n">
        <v>4897</v>
      </c>
      <c r="H322" s="96" t="n">
        <v>3560</v>
      </c>
      <c r="I322" s="40" t="n">
        <f aca="false">G322-H322</f>
        <v>1337</v>
      </c>
      <c r="J322" s="68" t="str">
        <f aca="false">"S"&amp;TEXT(A322,"yyyymm")&amp;"-"&amp;UPPER(LEFT(E322,3))&amp;"-"&amp;UPPER(LEFT(F322,3))</f>
        <v>S202503-MIN-BEV</v>
      </c>
    </row>
    <row r="323" customFormat="false" ht="15" hidden="false" customHeight="false" outlineLevel="0" collapsed="false">
      <c r="A323" s="101" t="n">
        <v>45747</v>
      </c>
      <c r="B323" s="102" t="n">
        <f aca="false">YEAR(A323)</f>
        <v>2025</v>
      </c>
      <c r="C323" s="102" t="n">
        <f aca="false">MONTH(A323)</f>
        <v>3</v>
      </c>
      <c r="D323" s="68" t="str">
        <f aca="false">"Q"&amp;ROUNDUP(C323/3,0)</f>
        <v>Q1</v>
      </c>
      <c r="E323" s="100" t="s">
        <v>291</v>
      </c>
      <c r="F323" s="100" t="s">
        <v>254</v>
      </c>
      <c r="G323" s="96" t="n">
        <v>7537</v>
      </c>
      <c r="H323" s="96" t="n">
        <v>5296</v>
      </c>
      <c r="I323" s="40" t="n">
        <f aca="false">G323-H323</f>
        <v>2241</v>
      </c>
      <c r="J323" s="68" t="str">
        <f aca="false">"S"&amp;TEXT(A323,"yyyymm")&amp;"-"&amp;UPPER(LEFT(E323,3))&amp;"-"&amp;UPPER(LEFT(F323,3))</f>
        <v>S202503-LUZ-HOU</v>
      </c>
    </row>
    <row r="324" customFormat="false" ht="15" hidden="false" customHeight="false" outlineLevel="0" collapsed="false">
      <c r="A324" s="101" t="n">
        <v>45747</v>
      </c>
      <c r="B324" s="102" t="n">
        <f aca="false">YEAR(A324)</f>
        <v>2025</v>
      </c>
      <c r="C324" s="102" t="n">
        <f aca="false">MONTH(A324)</f>
        <v>3</v>
      </c>
      <c r="D324" s="68" t="str">
        <f aca="false">"Q"&amp;ROUNDUP(C324/3,0)</f>
        <v>Q1</v>
      </c>
      <c r="E324" s="100" t="s">
        <v>292</v>
      </c>
      <c r="F324" s="100" t="s">
        <v>254</v>
      </c>
      <c r="G324" s="96" t="n">
        <v>3084</v>
      </c>
      <c r="H324" s="96" t="n">
        <v>2157</v>
      </c>
      <c r="I324" s="40" t="n">
        <f aca="false">G324-H324</f>
        <v>927</v>
      </c>
      <c r="J324" s="68" t="str">
        <f aca="false">"S"&amp;TEXT(A324,"yyyymm")&amp;"-"&amp;UPPER(LEFT(E324,3))&amp;"-"&amp;UPPER(LEFT(F324,3))</f>
        <v>S202503-VIS-HOU</v>
      </c>
    </row>
    <row r="325" customFormat="false" ht="15" hidden="false" customHeight="false" outlineLevel="0" collapsed="false">
      <c r="A325" s="101" t="n">
        <v>45747</v>
      </c>
      <c r="B325" s="102" t="n">
        <f aca="false">YEAR(A325)</f>
        <v>2025</v>
      </c>
      <c r="C325" s="102" t="n">
        <f aca="false">MONTH(A325)</f>
        <v>3</v>
      </c>
      <c r="D325" s="68" t="str">
        <f aca="false">"Q"&amp;ROUNDUP(C325/3,0)</f>
        <v>Q1</v>
      </c>
      <c r="E325" s="100" t="s">
        <v>293</v>
      </c>
      <c r="F325" s="100" t="s">
        <v>254</v>
      </c>
      <c r="G325" s="96" t="n">
        <v>2748</v>
      </c>
      <c r="H325" s="96" t="n">
        <v>1916</v>
      </c>
      <c r="I325" s="40" t="n">
        <f aca="false">G325-H325</f>
        <v>832</v>
      </c>
      <c r="J325" s="68" t="str">
        <f aca="false">"S"&amp;TEXT(A325,"yyyymm")&amp;"-"&amp;UPPER(LEFT(E325,3))&amp;"-"&amp;UPPER(LEFT(F325,3))</f>
        <v>S202503-MIN-HOU</v>
      </c>
    </row>
    <row r="326" customFormat="false" ht="15" hidden="false" customHeight="false" outlineLevel="0" collapsed="false">
      <c r="A326" s="101" t="n">
        <v>45747</v>
      </c>
      <c r="B326" s="102" t="n">
        <f aca="false">YEAR(A326)</f>
        <v>2025</v>
      </c>
      <c r="C326" s="102" t="n">
        <f aca="false">MONTH(A326)</f>
        <v>3</v>
      </c>
      <c r="D326" s="68" t="str">
        <f aca="false">"Q"&amp;ROUNDUP(C326/3,0)</f>
        <v>Q1</v>
      </c>
      <c r="E326" s="100" t="s">
        <v>291</v>
      </c>
      <c r="F326" s="100" t="s">
        <v>255</v>
      </c>
      <c r="G326" s="96" t="n">
        <v>5802</v>
      </c>
      <c r="H326" s="96" t="n">
        <v>4726</v>
      </c>
      <c r="I326" s="40" t="n">
        <f aca="false">G326-H326</f>
        <v>1076</v>
      </c>
      <c r="J326" s="68" t="str">
        <f aca="false">"S"&amp;TEXT(A326,"yyyymm")&amp;"-"&amp;UPPER(LEFT(E326,3))&amp;"-"&amp;UPPER(LEFT(F326,3))</f>
        <v>S202503-LUZ-FRE</v>
      </c>
    </row>
    <row r="327" customFormat="false" ht="15" hidden="false" customHeight="false" outlineLevel="0" collapsed="false">
      <c r="A327" s="101" t="n">
        <v>45747</v>
      </c>
      <c r="B327" s="102" t="n">
        <f aca="false">YEAR(A327)</f>
        <v>2025</v>
      </c>
      <c r="C327" s="102" t="n">
        <f aca="false">MONTH(A327)</f>
        <v>3</v>
      </c>
      <c r="D327" s="68" t="str">
        <f aca="false">"Q"&amp;ROUNDUP(C327/3,0)</f>
        <v>Q1</v>
      </c>
      <c r="E327" s="100" t="s">
        <v>292</v>
      </c>
      <c r="F327" s="100" t="s">
        <v>255</v>
      </c>
      <c r="G327" s="96" t="n">
        <v>2339</v>
      </c>
      <c r="H327" s="96" t="n">
        <v>1887</v>
      </c>
      <c r="I327" s="40" t="n">
        <f aca="false">G327-H327</f>
        <v>452</v>
      </c>
      <c r="J327" s="68" t="str">
        <f aca="false">"S"&amp;TEXT(A327,"yyyymm")&amp;"-"&amp;UPPER(LEFT(E327,3))&amp;"-"&amp;UPPER(LEFT(F327,3))</f>
        <v>S202503-VIS-FRE</v>
      </c>
    </row>
    <row r="328" customFormat="false" ht="15" hidden="false" customHeight="false" outlineLevel="0" collapsed="false">
      <c r="A328" s="101" t="n">
        <v>45747</v>
      </c>
      <c r="B328" s="102" t="n">
        <f aca="false">YEAR(A328)</f>
        <v>2025</v>
      </c>
      <c r="C328" s="102" t="n">
        <f aca="false">MONTH(A328)</f>
        <v>3</v>
      </c>
      <c r="D328" s="68" t="str">
        <f aca="false">"Q"&amp;ROUNDUP(C328/3,0)</f>
        <v>Q1</v>
      </c>
      <c r="E328" s="100" t="s">
        <v>293</v>
      </c>
      <c r="F328" s="100" t="s">
        <v>255</v>
      </c>
      <c r="G328" s="96" t="n">
        <v>2131</v>
      </c>
      <c r="H328" s="96" t="n">
        <v>1724</v>
      </c>
      <c r="I328" s="40" t="n">
        <f aca="false">G328-H328</f>
        <v>407</v>
      </c>
      <c r="J328" s="68" t="str">
        <f aca="false">"S"&amp;TEXT(A328,"yyyymm")&amp;"-"&amp;UPPER(LEFT(E328,3))&amp;"-"&amp;UPPER(LEFT(F328,3))</f>
        <v>S202503-MIN-FRE</v>
      </c>
    </row>
    <row r="329" customFormat="false" ht="15" hidden="false" customHeight="false" outlineLevel="0" collapsed="false">
      <c r="A329" s="101" t="n">
        <v>45777</v>
      </c>
      <c r="B329" s="102" t="n">
        <f aca="false">YEAR(A329)</f>
        <v>2025</v>
      </c>
      <c r="C329" s="102" t="n">
        <f aca="false">MONTH(A329)</f>
        <v>4</v>
      </c>
      <c r="D329" s="68" t="str">
        <f aca="false">"Q"&amp;ROUNDUP(C329/3,0)</f>
        <v>Q2</v>
      </c>
      <c r="E329" s="100" t="s">
        <v>291</v>
      </c>
      <c r="F329" s="100" t="s">
        <v>252</v>
      </c>
      <c r="G329" s="96" t="n">
        <v>17311</v>
      </c>
      <c r="H329" s="96" t="n">
        <v>13039</v>
      </c>
      <c r="I329" s="40" t="n">
        <f aca="false">G329-H329</f>
        <v>4272</v>
      </c>
      <c r="J329" s="68" t="str">
        <f aca="false">"S"&amp;TEXT(A329,"yyyymm")&amp;"-"&amp;UPPER(LEFT(E329,3))&amp;"-"&amp;UPPER(LEFT(F329,3))</f>
        <v>S202504-LUZ-PAC</v>
      </c>
    </row>
    <row r="330" customFormat="false" ht="15" hidden="false" customHeight="false" outlineLevel="0" collapsed="false">
      <c r="A330" s="101" t="n">
        <v>45777</v>
      </c>
      <c r="B330" s="102" t="n">
        <f aca="false">YEAR(A330)</f>
        <v>2025</v>
      </c>
      <c r="C330" s="102" t="n">
        <f aca="false">MONTH(A330)</f>
        <v>4</v>
      </c>
      <c r="D330" s="68" t="str">
        <f aca="false">"Q"&amp;ROUNDUP(C330/3,0)</f>
        <v>Q2</v>
      </c>
      <c r="E330" s="100" t="s">
        <v>292</v>
      </c>
      <c r="F330" s="100" t="s">
        <v>252</v>
      </c>
      <c r="G330" s="96" t="n">
        <v>7104</v>
      </c>
      <c r="H330" s="96" t="n">
        <v>5358</v>
      </c>
      <c r="I330" s="40" t="n">
        <f aca="false">G330-H330</f>
        <v>1746</v>
      </c>
      <c r="J330" s="68" t="str">
        <f aca="false">"S"&amp;TEXT(A330,"yyyymm")&amp;"-"&amp;UPPER(LEFT(E330,3))&amp;"-"&amp;UPPER(LEFT(F330,3))</f>
        <v>S202504-VIS-PAC</v>
      </c>
    </row>
    <row r="331" customFormat="false" ht="15" hidden="false" customHeight="false" outlineLevel="0" collapsed="false">
      <c r="A331" s="101" t="n">
        <v>45777</v>
      </c>
      <c r="B331" s="102" t="n">
        <f aca="false">YEAR(A331)</f>
        <v>2025</v>
      </c>
      <c r="C331" s="102" t="n">
        <f aca="false">MONTH(A331)</f>
        <v>4</v>
      </c>
      <c r="D331" s="68" t="str">
        <f aca="false">"Q"&amp;ROUNDUP(C331/3,0)</f>
        <v>Q2</v>
      </c>
      <c r="E331" s="100" t="s">
        <v>293</v>
      </c>
      <c r="F331" s="100" t="s">
        <v>252</v>
      </c>
      <c r="G331" s="96" t="n">
        <v>6149</v>
      </c>
      <c r="H331" s="96" t="n">
        <v>4608</v>
      </c>
      <c r="I331" s="40" t="n">
        <f aca="false">G331-H331</f>
        <v>1541</v>
      </c>
      <c r="J331" s="68" t="str">
        <f aca="false">"S"&amp;TEXT(A331,"yyyymm")&amp;"-"&amp;UPPER(LEFT(E331,3))&amp;"-"&amp;UPPER(LEFT(F331,3))</f>
        <v>S202504-MIN-PAC</v>
      </c>
    </row>
    <row r="332" customFormat="false" ht="15" hidden="false" customHeight="false" outlineLevel="0" collapsed="false">
      <c r="A332" s="101" t="n">
        <v>45777</v>
      </c>
      <c r="B332" s="102" t="n">
        <f aca="false">YEAR(A332)</f>
        <v>2025</v>
      </c>
      <c r="C332" s="102" t="n">
        <f aca="false">MONTH(A332)</f>
        <v>4</v>
      </c>
      <c r="D332" s="68" t="str">
        <f aca="false">"Q"&amp;ROUNDUP(C332/3,0)</f>
        <v>Q2</v>
      </c>
      <c r="E332" s="100" t="s">
        <v>291</v>
      </c>
      <c r="F332" s="100" t="s">
        <v>253</v>
      </c>
      <c r="G332" s="96" t="n">
        <v>14251</v>
      </c>
      <c r="H332" s="96" t="n">
        <v>10417</v>
      </c>
      <c r="I332" s="40" t="n">
        <f aca="false">G332-H332</f>
        <v>3834</v>
      </c>
      <c r="J332" s="68" t="str">
        <f aca="false">"S"&amp;TEXT(A332,"yyyymm")&amp;"-"&amp;UPPER(LEFT(E332,3))&amp;"-"&amp;UPPER(LEFT(F332,3))</f>
        <v>S202504-LUZ-BEV</v>
      </c>
    </row>
    <row r="333" customFormat="false" ht="15" hidden="false" customHeight="false" outlineLevel="0" collapsed="false">
      <c r="A333" s="101" t="n">
        <v>45777</v>
      </c>
      <c r="B333" s="102" t="n">
        <f aca="false">YEAR(A333)</f>
        <v>2025</v>
      </c>
      <c r="C333" s="102" t="n">
        <f aca="false">MONTH(A333)</f>
        <v>4</v>
      </c>
      <c r="D333" s="68" t="str">
        <f aca="false">"Q"&amp;ROUNDUP(C333/3,0)</f>
        <v>Q2</v>
      </c>
      <c r="E333" s="100" t="s">
        <v>292</v>
      </c>
      <c r="F333" s="100" t="s">
        <v>253</v>
      </c>
      <c r="G333" s="96" t="n">
        <v>5463</v>
      </c>
      <c r="H333" s="96" t="n">
        <v>4007</v>
      </c>
      <c r="I333" s="40" t="n">
        <f aca="false">G333-H333</f>
        <v>1456</v>
      </c>
      <c r="J333" s="68" t="str">
        <f aca="false">"S"&amp;TEXT(A333,"yyyymm")&amp;"-"&amp;UPPER(LEFT(E333,3))&amp;"-"&amp;UPPER(LEFT(F333,3))</f>
        <v>S202504-VIS-BEV</v>
      </c>
    </row>
    <row r="334" customFormat="false" ht="15" hidden="false" customHeight="false" outlineLevel="0" collapsed="false">
      <c r="A334" s="101" t="n">
        <v>45777</v>
      </c>
      <c r="B334" s="102" t="n">
        <f aca="false">YEAR(A334)</f>
        <v>2025</v>
      </c>
      <c r="C334" s="102" t="n">
        <f aca="false">MONTH(A334)</f>
        <v>4</v>
      </c>
      <c r="D334" s="68" t="str">
        <f aca="false">"Q"&amp;ROUNDUP(C334/3,0)</f>
        <v>Q2</v>
      </c>
      <c r="E334" s="100" t="s">
        <v>293</v>
      </c>
      <c r="F334" s="100" t="s">
        <v>253</v>
      </c>
      <c r="G334" s="96" t="n">
        <v>4939</v>
      </c>
      <c r="H334" s="96" t="n">
        <v>3589</v>
      </c>
      <c r="I334" s="40" t="n">
        <f aca="false">G334-H334</f>
        <v>1350</v>
      </c>
      <c r="J334" s="68" t="str">
        <f aca="false">"S"&amp;TEXT(A334,"yyyymm")&amp;"-"&amp;UPPER(LEFT(E334,3))&amp;"-"&amp;UPPER(LEFT(F334,3))</f>
        <v>S202504-MIN-BEV</v>
      </c>
    </row>
    <row r="335" customFormat="false" ht="15" hidden="false" customHeight="false" outlineLevel="0" collapsed="false">
      <c r="A335" s="101" t="n">
        <v>45777</v>
      </c>
      <c r="B335" s="102" t="n">
        <f aca="false">YEAR(A335)</f>
        <v>2025</v>
      </c>
      <c r="C335" s="102" t="n">
        <f aca="false">MONTH(A335)</f>
        <v>4</v>
      </c>
      <c r="D335" s="68" t="str">
        <f aca="false">"Q"&amp;ROUNDUP(C335/3,0)</f>
        <v>Q2</v>
      </c>
      <c r="E335" s="100" t="s">
        <v>291</v>
      </c>
      <c r="F335" s="100" t="s">
        <v>254</v>
      </c>
      <c r="G335" s="96" t="n">
        <v>7563</v>
      </c>
      <c r="H335" s="96" t="n">
        <v>5308</v>
      </c>
      <c r="I335" s="40" t="n">
        <f aca="false">G335-H335</f>
        <v>2255</v>
      </c>
      <c r="J335" s="68" t="str">
        <f aca="false">"S"&amp;TEXT(A335,"yyyymm")&amp;"-"&amp;UPPER(LEFT(E335,3))&amp;"-"&amp;UPPER(LEFT(F335,3))</f>
        <v>S202504-LUZ-HOU</v>
      </c>
    </row>
    <row r="336" customFormat="false" ht="15" hidden="false" customHeight="false" outlineLevel="0" collapsed="false">
      <c r="A336" s="101" t="n">
        <v>45777</v>
      </c>
      <c r="B336" s="102" t="n">
        <f aca="false">YEAR(A336)</f>
        <v>2025</v>
      </c>
      <c r="C336" s="102" t="n">
        <f aca="false">MONTH(A336)</f>
        <v>4</v>
      </c>
      <c r="D336" s="68" t="str">
        <f aca="false">"Q"&amp;ROUNDUP(C336/3,0)</f>
        <v>Q2</v>
      </c>
      <c r="E336" s="100" t="s">
        <v>292</v>
      </c>
      <c r="F336" s="100" t="s">
        <v>254</v>
      </c>
      <c r="G336" s="96" t="n">
        <v>3154</v>
      </c>
      <c r="H336" s="96" t="n">
        <v>2199</v>
      </c>
      <c r="I336" s="40" t="n">
        <f aca="false">G336-H336</f>
        <v>955</v>
      </c>
      <c r="J336" s="68" t="str">
        <f aca="false">"S"&amp;TEXT(A336,"yyyymm")&amp;"-"&amp;UPPER(LEFT(E336,3))&amp;"-"&amp;UPPER(LEFT(F336,3))</f>
        <v>S202504-VIS-HOU</v>
      </c>
    </row>
    <row r="337" customFormat="false" ht="15" hidden="false" customHeight="false" outlineLevel="0" collapsed="false">
      <c r="A337" s="101" t="n">
        <v>45777</v>
      </c>
      <c r="B337" s="102" t="n">
        <f aca="false">YEAR(A337)</f>
        <v>2025</v>
      </c>
      <c r="C337" s="102" t="n">
        <f aca="false">MONTH(A337)</f>
        <v>4</v>
      </c>
      <c r="D337" s="68" t="str">
        <f aca="false">"Q"&amp;ROUNDUP(C337/3,0)</f>
        <v>Q2</v>
      </c>
      <c r="E337" s="100" t="s">
        <v>293</v>
      </c>
      <c r="F337" s="100" t="s">
        <v>254</v>
      </c>
      <c r="G337" s="96" t="n">
        <v>2669</v>
      </c>
      <c r="H337" s="96" t="n">
        <v>1871</v>
      </c>
      <c r="I337" s="40" t="n">
        <f aca="false">G337-H337</f>
        <v>798</v>
      </c>
      <c r="J337" s="68" t="str">
        <f aca="false">"S"&amp;TEXT(A337,"yyyymm")&amp;"-"&amp;UPPER(LEFT(E337,3))&amp;"-"&amp;UPPER(LEFT(F337,3))</f>
        <v>S202504-MIN-HOU</v>
      </c>
    </row>
    <row r="338" customFormat="false" ht="15" hidden="false" customHeight="false" outlineLevel="0" collapsed="false">
      <c r="A338" s="101" t="n">
        <v>45777</v>
      </c>
      <c r="B338" s="102" t="n">
        <f aca="false">YEAR(A338)</f>
        <v>2025</v>
      </c>
      <c r="C338" s="102" t="n">
        <f aca="false">MONTH(A338)</f>
        <v>4</v>
      </c>
      <c r="D338" s="68" t="str">
        <f aca="false">"Q"&amp;ROUNDUP(C338/3,0)</f>
        <v>Q2</v>
      </c>
      <c r="E338" s="100" t="s">
        <v>291</v>
      </c>
      <c r="F338" s="100" t="s">
        <v>255</v>
      </c>
      <c r="G338" s="96" t="n">
        <v>5819</v>
      </c>
      <c r="H338" s="96" t="n">
        <v>4739</v>
      </c>
      <c r="I338" s="40" t="n">
        <f aca="false">G338-H338</f>
        <v>1080</v>
      </c>
      <c r="J338" s="68" t="str">
        <f aca="false">"S"&amp;TEXT(A338,"yyyymm")&amp;"-"&amp;UPPER(LEFT(E338,3))&amp;"-"&amp;UPPER(LEFT(F338,3))</f>
        <v>S202504-LUZ-FRE</v>
      </c>
    </row>
    <row r="339" customFormat="false" ht="15" hidden="false" customHeight="false" outlineLevel="0" collapsed="false">
      <c r="A339" s="101" t="n">
        <v>45777</v>
      </c>
      <c r="B339" s="102" t="n">
        <f aca="false">YEAR(A339)</f>
        <v>2025</v>
      </c>
      <c r="C339" s="102" t="n">
        <f aca="false">MONTH(A339)</f>
        <v>4</v>
      </c>
      <c r="D339" s="68" t="str">
        <f aca="false">"Q"&amp;ROUNDUP(C339/3,0)</f>
        <v>Q2</v>
      </c>
      <c r="E339" s="100" t="s">
        <v>292</v>
      </c>
      <c r="F339" s="100" t="s">
        <v>255</v>
      </c>
      <c r="G339" s="96" t="n">
        <v>2462</v>
      </c>
      <c r="H339" s="96" t="n">
        <v>1983</v>
      </c>
      <c r="I339" s="40" t="n">
        <f aca="false">G339-H339</f>
        <v>479</v>
      </c>
      <c r="J339" s="68" t="str">
        <f aca="false">"S"&amp;TEXT(A339,"yyyymm")&amp;"-"&amp;UPPER(LEFT(E339,3))&amp;"-"&amp;UPPER(LEFT(F339,3))</f>
        <v>S202504-VIS-FRE</v>
      </c>
    </row>
    <row r="340" customFormat="false" ht="15" hidden="false" customHeight="false" outlineLevel="0" collapsed="false">
      <c r="A340" s="101" t="n">
        <v>45777</v>
      </c>
      <c r="B340" s="102" t="n">
        <f aca="false">YEAR(A340)</f>
        <v>2025</v>
      </c>
      <c r="C340" s="102" t="n">
        <f aca="false">MONTH(A340)</f>
        <v>4</v>
      </c>
      <c r="D340" s="68" t="str">
        <f aca="false">"Q"&amp;ROUNDUP(C340/3,0)</f>
        <v>Q2</v>
      </c>
      <c r="E340" s="100" t="s">
        <v>293</v>
      </c>
      <c r="F340" s="100" t="s">
        <v>255</v>
      </c>
      <c r="G340" s="96" t="n">
        <v>2139</v>
      </c>
      <c r="H340" s="96" t="n">
        <v>1736</v>
      </c>
      <c r="I340" s="40" t="n">
        <f aca="false">G340-H340</f>
        <v>403</v>
      </c>
      <c r="J340" s="68" t="str">
        <f aca="false">"S"&amp;TEXT(A340,"yyyymm")&amp;"-"&amp;UPPER(LEFT(E340,3))&amp;"-"&amp;UPPER(LEFT(F340,3))</f>
        <v>S202504-MIN-FRE</v>
      </c>
    </row>
    <row r="341" customFormat="false" ht="15" hidden="false" customHeight="false" outlineLevel="0" collapsed="false">
      <c r="A341" s="101" t="n">
        <v>45808</v>
      </c>
      <c r="B341" s="102" t="n">
        <f aca="false">YEAR(A341)</f>
        <v>2025</v>
      </c>
      <c r="C341" s="102" t="n">
        <f aca="false">MONTH(A341)</f>
        <v>5</v>
      </c>
      <c r="D341" s="68" t="str">
        <f aca="false">"Q"&amp;ROUNDUP(C341/3,0)</f>
        <v>Q2</v>
      </c>
      <c r="E341" s="100" t="s">
        <v>291</v>
      </c>
      <c r="F341" s="100" t="s">
        <v>252</v>
      </c>
      <c r="G341" s="96" t="n">
        <v>18374</v>
      </c>
      <c r="H341" s="96" t="n">
        <v>13828</v>
      </c>
      <c r="I341" s="40" t="n">
        <f aca="false">G341-H341</f>
        <v>4546</v>
      </c>
      <c r="J341" s="68" t="str">
        <f aca="false">"S"&amp;TEXT(A341,"yyyymm")&amp;"-"&amp;UPPER(LEFT(E341,3))&amp;"-"&amp;UPPER(LEFT(F341,3))</f>
        <v>S202505-LUZ-PAC</v>
      </c>
    </row>
    <row r="342" customFormat="false" ht="15" hidden="false" customHeight="false" outlineLevel="0" collapsed="false">
      <c r="A342" s="101" t="n">
        <v>45808</v>
      </c>
      <c r="B342" s="102" t="n">
        <f aca="false">YEAR(A342)</f>
        <v>2025</v>
      </c>
      <c r="C342" s="102" t="n">
        <f aca="false">MONTH(A342)</f>
        <v>5</v>
      </c>
      <c r="D342" s="68" t="str">
        <f aca="false">"Q"&amp;ROUNDUP(C342/3,0)</f>
        <v>Q2</v>
      </c>
      <c r="E342" s="100" t="s">
        <v>292</v>
      </c>
      <c r="F342" s="100" t="s">
        <v>252</v>
      </c>
      <c r="G342" s="96" t="n">
        <v>7142</v>
      </c>
      <c r="H342" s="96" t="n">
        <v>5348</v>
      </c>
      <c r="I342" s="40" t="n">
        <f aca="false">G342-H342</f>
        <v>1794</v>
      </c>
      <c r="J342" s="68" t="str">
        <f aca="false">"S"&amp;TEXT(A342,"yyyymm")&amp;"-"&amp;UPPER(LEFT(E342,3))&amp;"-"&amp;UPPER(LEFT(F342,3))</f>
        <v>S202505-VIS-PAC</v>
      </c>
    </row>
    <row r="343" customFormat="false" ht="15" hidden="false" customHeight="false" outlineLevel="0" collapsed="false">
      <c r="A343" s="101" t="n">
        <v>45808</v>
      </c>
      <c r="B343" s="102" t="n">
        <f aca="false">YEAR(A343)</f>
        <v>2025</v>
      </c>
      <c r="C343" s="102" t="n">
        <f aca="false">MONTH(A343)</f>
        <v>5</v>
      </c>
      <c r="D343" s="68" t="str">
        <f aca="false">"Q"&amp;ROUNDUP(C343/3,0)</f>
        <v>Q2</v>
      </c>
      <c r="E343" s="100" t="s">
        <v>293</v>
      </c>
      <c r="F343" s="100" t="s">
        <v>252</v>
      </c>
      <c r="G343" s="96" t="n">
        <v>6106</v>
      </c>
      <c r="H343" s="96" t="n">
        <v>4581</v>
      </c>
      <c r="I343" s="40" t="n">
        <f aca="false">G343-H343</f>
        <v>1525</v>
      </c>
      <c r="J343" s="68" t="str">
        <f aca="false">"S"&amp;TEXT(A343,"yyyymm")&amp;"-"&amp;UPPER(LEFT(E343,3))&amp;"-"&amp;UPPER(LEFT(F343,3))</f>
        <v>S202505-MIN-PAC</v>
      </c>
    </row>
    <row r="344" customFormat="false" ht="15" hidden="false" customHeight="false" outlineLevel="0" collapsed="false">
      <c r="A344" s="101" t="n">
        <v>45808</v>
      </c>
      <c r="B344" s="102" t="n">
        <f aca="false">YEAR(A344)</f>
        <v>2025</v>
      </c>
      <c r="C344" s="102" t="n">
        <f aca="false">MONTH(A344)</f>
        <v>5</v>
      </c>
      <c r="D344" s="68" t="str">
        <f aca="false">"Q"&amp;ROUNDUP(C344/3,0)</f>
        <v>Q2</v>
      </c>
      <c r="E344" s="100" t="s">
        <v>291</v>
      </c>
      <c r="F344" s="100" t="s">
        <v>253</v>
      </c>
      <c r="G344" s="96" t="n">
        <v>14610</v>
      </c>
      <c r="H344" s="96" t="n">
        <v>10709</v>
      </c>
      <c r="I344" s="40" t="n">
        <f aca="false">G344-H344</f>
        <v>3901</v>
      </c>
      <c r="J344" s="68" t="str">
        <f aca="false">"S"&amp;TEXT(A344,"yyyymm")&amp;"-"&amp;UPPER(LEFT(E344,3))&amp;"-"&amp;UPPER(LEFT(F344,3))</f>
        <v>S202505-LUZ-BEV</v>
      </c>
    </row>
    <row r="345" customFormat="false" ht="15" hidden="false" customHeight="false" outlineLevel="0" collapsed="false">
      <c r="A345" s="101" t="n">
        <v>45808</v>
      </c>
      <c r="B345" s="102" t="n">
        <f aca="false">YEAR(A345)</f>
        <v>2025</v>
      </c>
      <c r="C345" s="102" t="n">
        <f aca="false">MONTH(A345)</f>
        <v>5</v>
      </c>
      <c r="D345" s="68" t="str">
        <f aca="false">"Q"&amp;ROUNDUP(C345/3,0)</f>
        <v>Q2</v>
      </c>
      <c r="E345" s="100" t="s">
        <v>292</v>
      </c>
      <c r="F345" s="100" t="s">
        <v>253</v>
      </c>
      <c r="G345" s="96" t="n">
        <v>5757</v>
      </c>
      <c r="H345" s="96" t="n">
        <v>4184</v>
      </c>
      <c r="I345" s="40" t="n">
        <f aca="false">G345-H345</f>
        <v>1573</v>
      </c>
      <c r="J345" s="68" t="str">
        <f aca="false">"S"&amp;TEXT(A345,"yyyymm")&amp;"-"&amp;UPPER(LEFT(E345,3))&amp;"-"&amp;UPPER(LEFT(F345,3))</f>
        <v>S202505-VIS-BEV</v>
      </c>
    </row>
    <row r="346" customFormat="false" ht="15" hidden="false" customHeight="false" outlineLevel="0" collapsed="false">
      <c r="A346" s="101" t="n">
        <v>45808</v>
      </c>
      <c r="B346" s="102" t="n">
        <f aca="false">YEAR(A346)</f>
        <v>2025</v>
      </c>
      <c r="C346" s="102" t="n">
        <f aca="false">MONTH(A346)</f>
        <v>5</v>
      </c>
      <c r="D346" s="68" t="str">
        <f aca="false">"Q"&amp;ROUNDUP(C346/3,0)</f>
        <v>Q2</v>
      </c>
      <c r="E346" s="100" t="s">
        <v>293</v>
      </c>
      <c r="F346" s="100" t="s">
        <v>253</v>
      </c>
      <c r="G346" s="96" t="n">
        <v>5098</v>
      </c>
      <c r="H346" s="96" t="n">
        <v>3724</v>
      </c>
      <c r="I346" s="40" t="n">
        <f aca="false">G346-H346</f>
        <v>1374</v>
      </c>
      <c r="J346" s="68" t="str">
        <f aca="false">"S"&amp;TEXT(A346,"yyyymm")&amp;"-"&amp;UPPER(LEFT(E346,3))&amp;"-"&amp;UPPER(LEFT(F346,3))</f>
        <v>S202505-MIN-BEV</v>
      </c>
    </row>
    <row r="347" customFormat="false" ht="15" hidden="false" customHeight="false" outlineLevel="0" collapsed="false">
      <c r="A347" s="101" t="n">
        <v>45808</v>
      </c>
      <c r="B347" s="102" t="n">
        <f aca="false">YEAR(A347)</f>
        <v>2025</v>
      </c>
      <c r="C347" s="102" t="n">
        <f aca="false">MONTH(A347)</f>
        <v>5</v>
      </c>
      <c r="D347" s="68" t="str">
        <f aca="false">"Q"&amp;ROUNDUP(C347/3,0)</f>
        <v>Q2</v>
      </c>
      <c r="E347" s="100" t="s">
        <v>291</v>
      </c>
      <c r="F347" s="100" t="s">
        <v>254</v>
      </c>
      <c r="G347" s="96" t="n">
        <v>8225</v>
      </c>
      <c r="H347" s="96" t="n">
        <v>5754</v>
      </c>
      <c r="I347" s="40" t="n">
        <f aca="false">G347-H347</f>
        <v>2471</v>
      </c>
      <c r="J347" s="68" t="str">
        <f aca="false">"S"&amp;TEXT(A347,"yyyymm")&amp;"-"&amp;UPPER(LEFT(E347,3))&amp;"-"&amp;UPPER(LEFT(F347,3))</f>
        <v>S202505-LUZ-HOU</v>
      </c>
    </row>
    <row r="348" customFormat="false" ht="15" hidden="false" customHeight="false" outlineLevel="0" collapsed="false">
      <c r="A348" s="101" t="n">
        <v>45808</v>
      </c>
      <c r="B348" s="102" t="n">
        <f aca="false">YEAR(A348)</f>
        <v>2025</v>
      </c>
      <c r="C348" s="102" t="n">
        <f aca="false">MONTH(A348)</f>
        <v>5</v>
      </c>
      <c r="D348" s="68" t="str">
        <f aca="false">"Q"&amp;ROUNDUP(C348/3,0)</f>
        <v>Q2</v>
      </c>
      <c r="E348" s="100" t="s">
        <v>292</v>
      </c>
      <c r="F348" s="100" t="s">
        <v>254</v>
      </c>
      <c r="G348" s="96" t="n">
        <v>3249</v>
      </c>
      <c r="H348" s="96" t="n">
        <v>2277</v>
      </c>
      <c r="I348" s="40" t="n">
        <f aca="false">G348-H348</f>
        <v>972</v>
      </c>
      <c r="J348" s="68" t="str">
        <f aca="false">"S"&amp;TEXT(A348,"yyyymm")&amp;"-"&amp;UPPER(LEFT(E348,3))&amp;"-"&amp;UPPER(LEFT(F348,3))</f>
        <v>S202505-VIS-HOU</v>
      </c>
    </row>
    <row r="349" customFormat="false" ht="15" hidden="false" customHeight="false" outlineLevel="0" collapsed="false">
      <c r="A349" s="101" t="n">
        <v>45808</v>
      </c>
      <c r="B349" s="102" t="n">
        <f aca="false">YEAR(A349)</f>
        <v>2025</v>
      </c>
      <c r="C349" s="102" t="n">
        <f aca="false">MONTH(A349)</f>
        <v>5</v>
      </c>
      <c r="D349" s="68" t="str">
        <f aca="false">"Q"&amp;ROUNDUP(C349/3,0)</f>
        <v>Q2</v>
      </c>
      <c r="E349" s="100" t="s">
        <v>293</v>
      </c>
      <c r="F349" s="100" t="s">
        <v>254</v>
      </c>
      <c r="G349" s="96" t="n">
        <v>2879</v>
      </c>
      <c r="H349" s="96" t="n">
        <v>2019</v>
      </c>
      <c r="I349" s="40" t="n">
        <f aca="false">G349-H349</f>
        <v>860</v>
      </c>
      <c r="J349" s="68" t="str">
        <f aca="false">"S"&amp;TEXT(A349,"yyyymm")&amp;"-"&amp;UPPER(LEFT(E349,3))&amp;"-"&amp;UPPER(LEFT(F349,3))</f>
        <v>S202505-MIN-HOU</v>
      </c>
    </row>
    <row r="350" customFormat="false" ht="15" hidden="false" customHeight="false" outlineLevel="0" collapsed="false">
      <c r="A350" s="101" t="n">
        <v>45808</v>
      </c>
      <c r="B350" s="102" t="n">
        <f aca="false">YEAR(A350)</f>
        <v>2025</v>
      </c>
      <c r="C350" s="102" t="n">
        <f aca="false">MONTH(A350)</f>
        <v>5</v>
      </c>
      <c r="D350" s="68" t="str">
        <f aca="false">"Q"&amp;ROUNDUP(C350/3,0)</f>
        <v>Q2</v>
      </c>
      <c r="E350" s="100" t="s">
        <v>291</v>
      </c>
      <c r="F350" s="100" t="s">
        <v>255</v>
      </c>
      <c r="G350" s="96" t="n">
        <v>5957</v>
      </c>
      <c r="H350" s="96" t="n">
        <v>4811</v>
      </c>
      <c r="I350" s="40" t="n">
        <f aca="false">G350-H350</f>
        <v>1146</v>
      </c>
      <c r="J350" s="68" t="str">
        <f aca="false">"S"&amp;TEXT(A350,"yyyymm")&amp;"-"&amp;UPPER(LEFT(E350,3))&amp;"-"&amp;UPPER(LEFT(F350,3))</f>
        <v>S202505-LUZ-FRE</v>
      </c>
    </row>
    <row r="351" customFormat="false" ht="15" hidden="false" customHeight="false" outlineLevel="0" collapsed="false">
      <c r="A351" s="101" t="n">
        <v>45808</v>
      </c>
      <c r="B351" s="102" t="n">
        <f aca="false">YEAR(A351)</f>
        <v>2025</v>
      </c>
      <c r="C351" s="102" t="n">
        <f aca="false">MONTH(A351)</f>
        <v>5</v>
      </c>
      <c r="D351" s="68" t="str">
        <f aca="false">"Q"&amp;ROUNDUP(C351/3,0)</f>
        <v>Q2</v>
      </c>
      <c r="E351" s="100" t="s">
        <v>292</v>
      </c>
      <c r="F351" s="100" t="s">
        <v>255</v>
      </c>
      <c r="G351" s="96" t="n">
        <v>2456</v>
      </c>
      <c r="H351" s="96" t="n">
        <v>1988</v>
      </c>
      <c r="I351" s="40" t="n">
        <f aca="false">G351-H351</f>
        <v>468</v>
      </c>
      <c r="J351" s="68" t="str">
        <f aca="false">"S"&amp;TEXT(A351,"yyyymm")&amp;"-"&amp;UPPER(LEFT(E351,3))&amp;"-"&amp;UPPER(LEFT(F351,3))</f>
        <v>S202505-VIS-FRE</v>
      </c>
    </row>
    <row r="352" customFormat="false" ht="15" hidden="false" customHeight="false" outlineLevel="0" collapsed="false">
      <c r="A352" s="101" t="n">
        <v>45808</v>
      </c>
      <c r="B352" s="102" t="n">
        <f aca="false">YEAR(A352)</f>
        <v>2025</v>
      </c>
      <c r="C352" s="102" t="n">
        <f aca="false">MONTH(A352)</f>
        <v>5</v>
      </c>
      <c r="D352" s="68" t="str">
        <f aca="false">"Q"&amp;ROUNDUP(C352/3,0)</f>
        <v>Q2</v>
      </c>
      <c r="E352" s="100" t="s">
        <v>293</v>
      </c>
      <c r="F352" s="100" t="s">
        <v>255</v>
      </c>
      <c r="G352" s="96" t="n">
        <v>2093</v>
      </c>
      <c r="H352" s="96" t="n">
        <v>1702</v>
      </c>
      <c r="I352" s="40" t="n">
        <f aca="false">G352-H352</f>
        <v>391</v>
      </c>
      <c r="J352" s="68" t="str">
        <f aca="false">"S"&amp;TEXT(A352,"yyyymm")&amp;"-"&amp;UPPER(LEFT(E352,3))&amp;"-"&amp;UPPER(LEFT(F352,3))</f>
        <v>S202505-MIN-FRE</v>
      </c>
    </row>
    <row r="353" customFormat="false" ht="15" hidden="false" customHeight="false" outlineLevel="0" collapsed="false">
      <c r="A353" s="101" t="n">
        <v>45838</v>
      </c>
      <c r="B353" s="102" t="n">
        <f aca="false">YEAR(A353)</f>
        <v>2025</v>
      </c>
      <c r="C353" s="102" t="n">
        <f aca="false">MONTH(A353)</f>
        <v>6</v>
      </c>
      <c r="D353" s="68" t="str">
        <f aca="false">"Q"&amp;ROUNDUP(C353/3,0)</f>
        <v>Q2</v>
      </c>
      <c r="E353" s="100" t="s">
        <v>291</v>
      </c>
      <c r="F353" s="100" t="s">
        <v>252</v>
      </c>
      <c r="G353" s="96" t="n">
        <v>17777</v>
      </c>
      <c r="H353" s="96" t="n">
        <v>13338</v>
      </c>
      <c r="I353" s="40" t="n">
        <f aca="false">G353-H353</f>
        <v>4439</v>
      </c>
      <c r="J353" s="68" t="str">
        <f aca="false">"S"&amp;TEXT(A353,"yyyymm")&amp;"-"&amp;UPPER(LEFT(E353,3))&amp;"-"&amp;UPPER(LEFT(F353,3))</f>
        <v>S202506-LUZ-PAC</v>
      </c>
    </row>
    <row r="354" customFormat="false" ht="15" hidden="false" customHeight="false" outlineLevel="0" collapsed="false">
      <c r="A354" s="101" t="n">
        <v>45838</v>
      </c>
      <c r="B354" s="102" t="n">
        <f aca="false">YEAR(A354)</f>
        <v>2025</v>
      </c>
      <c r="C354" s="102" t="n">
        <f aca="false">MONTH(A354)</f>
        <v>6</v>
      </c>
      <c r="D354" s="68" t="str">
        <f aca="false">"Q"&amp;ROUNDUP(C354/3,0)</f>
        <v>Q2</v>
      </c>
      <c r="E354" s="100" t="s">
        <v>292</v>
      </c>
      <c r="F354" s="100" t="s">
        <v>252</v>
      </c>
      <c r="G354" s="96" t="n">
        <v>6990</v>
      </c>
      <c r="H354" s="96" t="n">
        <v>5228</v>
      </c>
      <c r="I354" s="40" t="n">
        <f aca="false">G354-H354</f>
        <v>1762</v>
      </c>
      <c r="J354" s="68" t="str">
        <f aca="false">"S"&amp;TEXT(A354,"yyyymm")&amp;"-"&amp;UPPER(LEFT(E354,3))&amp;"-"&amp;UPPER(LEFT(F354,3))</f>
        <v>S202506-VIS-PAC</v>
      </c>
    </row>
    <row r="355" customFormat="false" ht="15" hidden="false" customHeight="false" outlineLevel="0" collapsed="false">
      <c r="A355" s="101" t="n">
        <v>45838</v>
      </c>
      <c r="B355" s="102" t="n">
        <f aca="false">YEAR(A355)</f>
        <v>2025</v>
      </c>
      <c r="C355" s="102" t="n">
        <f aca="false">MONTH(A355)</f>
        <v>6</v>
      </c>
      <c r="D355" s="68" t="str">
        <f aca="false">"Q"&amp;ROUNDUP(C355/3,0)</f>
        <v>Q2</v>
      </c>
      <c r="E355" s="100" t="s">
        <v>293</v>
      </c>
      <c r="F355" s="100" t="s">
        <v>252</v>
      </c>
      <c r="G355" s="96" t="n">
        <v>6055</v>
      </c>
      <c r="H355" s="96" t="n">
        <v>4546</v>
      </c>
      <c r="I355" s="40" t="n">
        <f aca="false">G355-H355</f>
        <v>1509</v>
      </c>
      <c r="J355" s="68" t="str">
        <f aca="false">"S"&amp;TEXT(A355,"yyyymm")&amp;"-"&amp;UPPER(LEFT(E355,3))&amp;"-"&amp;UPPER(LEFT(F355,3))</f>
        <v>S202506-MIN-PAC</v>
      </c>
    </row>
    <row r="356" customFormat="false" ht="15" hidden="false" customHeight="false" outlineLevel="0" collapsed="false">
      <c r="A356" s="101" t="n">
        <v>45838</v>
      </c>
      <c r="B356" s="102" t="n">
        <f aca="false">YEAR(A356)</f>
        <v>2025</v>
      </c>
      <c r="C356" s="102" t="n">
        <f aca="false">MONTH(A356)</f>
        <v>6</v>
      </c>
      <c r="D356" s="68" t="str">
        <f aca="false">"Q"&amp;ROUNDUP(C356/3,0)</f>
        <v>Q2</v>
      </c>
      <c r="E356" s="100" t="s">
        <v>291</v>
      </c>
      <c r="F356" s="100" t="s">
        <v>253</v>
      </c>
      <c r="G356" s="96" t="n">
        <v>13781</v>
      </c>
      <c r="H356" s="96" t="n">
        <v>10111</v>
      </c>
      <c r="I356" s="40" t="n">
        <f aca="false">G356-H356</f>
        <v>3670</v>
      </c>
      <c r="J356" s="68" t="str">
        <f aca="false">"S"&amp;TEXT(A356,"yyyymm")&amp;"-"&amp;UPPER(LEFT(E356,3))&amp;"-"&amp;UPPER(LEFT(F356,3))</f>
        <v>S202506-LUZ-BEV</v>
      </c>
    </row>
    <row r="357" customFormat="false" ht="15" hidden="false" customHeight="false" outlineLevel="0" collapsed="false">
      <c r="A357" s="101" t="n">
        <v>45838</v>
      </c>
      <c r="B357" s="102" t="n">
        <f aca="false">YEAR(A357)</f>
        <v>2025</v>
      </c>
      <c r="C357" s="102" t="n">
        <f aca="false">MONTH(A357)</f>
        <v>6</v>
      </c>
      <c r="D357" s="68" t="str">
        <f aca="false">"Q"&amp;ROUNDUP(C357/3,0)</f>
        <v>Q2</v>
      </c>
      <c r="E357" s="100" t="s">
        <v>292</v>
      </c>
      <c r="F357" s="100" t="s">
        <v>253</v>
      </c>
      <c r="G357" s="96" t="n">
        <v>5730</v>
      </c>
      <c r="H357" s="96" t="n">
        <v>4177</v>
      </c>
      <c r="I357" s="40" t="n">
        <f aca="false">G357-H357</f>
        <v>1553</v>
      </c>
      <c r="J357" s="68" t="str">
        <f aca="false">"S"&amp;TEXT(A357,"yyyymm")&amp;"-"&amp;UPPER(LEFT(E357,3))&amp;"-"&amp;UPPER(LEFT(F357,3))</f>
        <v>S202506-VIS-BEV</v>
      </c>
    </row>
    <row r="358" customFormat="false" ht="15" hidden="false" customHeight="false" outlineLevel="0" collapsed="false">
      <c r="A358" s="101" t="n">
        <v>45838</v>
      </c>
      <c r="B358" s="102" t="n">
        <f aca="false">YEAR(A358)</f>
        <v>2025</v>
      </c>
      <c r="C358" s="102" t="n">
        <f aca="false">MONTH(A358)</f>
        <v>6</v>
      </c>
      <c r="D358" s="68" t="str">
        <f aca="false">"Q"&amp;ROUNDUP(C358/3,0)</f>
        <v>Q2</v>
      </c>
      <c r="E358" s="100" t="s">
        <v>293</v>
      </c>
      <c r="F358" s="100" t="s">
        <v>253</v>
      </c>
      <c r="G358" s="96" t="n">
        <v>5007</v>
      </c>
      <c r="H358" s="96" t="n">
        <v>3658</v>
      </c>
      <c r="I358" s="40" t="n">
        <f aca="false">G358-H358</f>
        <v>1349</v>
      </c>
      <c r="J358" s="68" t="str">
        <f aca="false">"S"&amp;TEXT(A358,"yyyymm")&amp;"-"&amp;UPPER(LEFT(E358,3))&amp;"-"&amp;UPPER(LEFT(F358,3))</f>
        <v>S202506-MIN-BEV</v>
      </c>
    </row>
    <row r="359" customFormat="false" ht="15" hidden="false" customHeight="false" outlineLevel="0" collapsed="false">
      <c r="A359" s="101" t="n">
        <v>45838</v>
      </c>
      <c r="B359" s="102" t="n">
        <f aca="false">YEAR(A359)</f>
        <v>2025</v>
      </c>
      <c r="C359" s="102" t="n">
        <f aca="false">MONTH(A359)</f>
        <v>6</v>
      </c>
      <c r="D359" s="68" t="str">
        <f aca="false">"Q"&amp;ROUNDUP(C359/3,0)</f>
        <v>Q2</v>
      </c>
      <c r="E359" s="100" t="s">
        <v>291</v>
      </c>
      <c r="F359" s="100" t="s">
        <v>254</v>
      </c>
      <c r="G359" s="96" t="n">
        <v>7899</v>
      </c>
      <c r="H359" s="96" t="n">
        <v>5528</v>
      </c>
      <c r="I359" s="40" t="n">
        <f aca="false">G359-H359</f>
        <v>2371</v>
      </c>
      <c r="J359" s="68" t="str">
        <f aca="false">"S"&amp;TEXT(A359,"yyyymm")&amp;"-"&amp;UPPER(LEFT(E359,3))&amp;"-"&amp;UPPER(LEFT(F359,3))</f>
        <v>S202506-LUZ-HOU</v>
      </c>
    </row>
    <row r="360" customFormat="false" ht="15" hidden="false" customHeight="false" outlineLevel="0" collapsed="false">
      <c r="A360" s="101" t="n">
        <v>45838</v>
      </c>
      <c r="B360" s="102" t="n">
        <f aca="false">YEAR(A360)</f>
        <v>2025</v>
      </c>
      <c r="C360" s="102" t="n">
        <f aca="false">MONTH(A360)</f>
        <v>6</v>
      </c>
      <c r="D360" s="68" t="str">
        <f aca="false">"Q"&amp;ROUNDUP(C360/3,0)</f>
        <v>Q2</v>
      </c>
      <c r="E360" s="100" t="s">
        <v>292</v>
      </c>
      <c r="F360" s="100" t="s">
        <v>254</v>
      </c>
      <c r="G360" s="96" t="n">
        <v>3104</v>
      </c>
      <c r="H360" s="96" t="n">
        <v>2183</v>
      </c>
      <c r="I360" s="40" t="n">
        <f aca="false">G360-H360</f>
        <v>921</v>
      </c>
      <c r="J360" s="68" t="str">
        <f aca="false">"S"&amp;TEXT(A360,"yyyymm")&amp;"-"&amp;UPPER(LEFT(E360,3))&amp;"-"&amp;UPPER(LEFT(F360,3))</f>
        <v>S202506-VIS-HOU</v>
      </c>
    </row>
    <row r="361" customFormat="false" ht="15" hidden="false" customHeight="false" outlineLevel="0" collapsed="false">
      <c r="A361" s="101" t="n">
        <v>45838</v>
      </c>
      <c r="B361" s="102" t="n">
        <f aca="false">YEAR(A361)</f>
        <v>2025</v>
      </c>
      <c r="C361" s="102" t="n">
        <f aca="false">MONTH(A361)</f>
        <v>6</v>
      </c>
      <c r="D361" s="68" t="str">
        <f aca="false">"Q"&amp;ROUNDUP(C361/3,0)</f>
        <v>Q2</v>
      </c>
      <c r="E361" s="100" t="s">
        <v>293</v>
      </c>
      <c r="F361" s="100" t="s">
        <v>254</v>
      </c>
      <c r="G361" s="96" t="n">
        <v>2718</v>
      </c>
      <c r="H361" s="96" t="n">
        <v>1894</v>
      </c>
      <c r="I361" s="40" t="n">
        <f aca="false">G361-H361</f>
        <v>824</v>
      </c>
      <c r="J361" s="68" t="str">
        <f aca="false">"S"&amp;TEXT(A361,"yyyymm")&amp;"-"&amp;UPPER(LEFT(E361,3))&amp;"-"&amp;UPPER(LEFT(F361,3))</f>
        <v>S202506-MIN-HOU</v>
      </c>
    </row>
    <row r="362" customFormat="false" ht="15" hidden="false" customHeight="false" outlineLevel="0" collapsed="false">
      <c r="A362" s="101" t="n">
        <v>45838</v>
      </c>
      <c r="B362" s="102" t="n">
        <f aca="false">YEAR(A362)</f>
        <v>2025</v>
      </c>
      <c r="C362" s="102" t="n">
        <f aca="false">MONTH(A362)</f>
        <v>6</v>
      </c>
      <c r="D362" s="68" t="str">
        <f aca="false">"Q"&amp;ROUNDUP(C362/3,0)</f>
        <v>Q2</v>
      </c>
      <c r="E362" s="100" t="s">
        <v>291</v>
      </c>
      <c r="F362" s="100" t="s">
        <v>255</v>
      </c>
      <c r="G362" s="96" t="n">
        <v>5843</v>
      </c>
      <c r="H362" s="96" t="n">
        <v>4735</v>
      </c>
      <c r="I362" s="40" t="n">
        <f aca="false">G362-H362</f>
        <v>1108</v>
      </c>
      <c r="J362" s="68" t="str">
        <f aca="false">"S"&amp;TEXT(A362,"yyyymm")&amp;"-"&amp;UPPER(LEFT(E362,3))&amp;"-"&amp;UPPER(LEFT(F362,3))</f>
        <v>S202506-LUZ-FRE</v>
      </c>
    </row>
    <row r="363" customFormat="false" ht="15" hidden="false" customHeight="false" outlineLevel="0" collapsed="false">
      <c r="A363" s="101" t="n">
        <v>45838</v>
      </c>
      <c r="B363" s="102" t="n">
        <f aca="false">YEAR(A363)</f>
        <v>2025</v>
      </c>
      <c r="C363" s="102" t="n">
        <f aca="false">MONTH(A363)</f>
        <v>6</v>
      </c>
      <c r="D363" s="68" t="str">
        <f aca="false">"Q"&amp;ROUNDUP(C363/3,0)</f>
        <v>Q2</v>
      </c>
      <c r="E363" s="100" t="s">
        <v>292</v>
      </c>
      <c r="F363" s="100" t="s">
        <v>255</v>
      </c>
      <c r="G363" s="96" t="n">
        <v>2381</v>
      </c>
      <c r="H363" s="96" t="n">
        <v>1940</v>
      </c>
      <c r="I363" s="40" t="n">
        <f aca="false">G363-H363</f>
        <v>441</v>
      </c>
      <c r="J363" s="68" t="str">
        <f aca="false">"S"&amp;TEXT(A363,"yyyymm")&amp;"-"&amp;UPPER(LEFT(E363,3))&amp;"-"&amp;UPPER(LEFT(F363,3))</f>
        <v>S202506-VIS-FRE</v>
      </c>
    </row>
    <row r="364" customFormat="false" ht="15" hidden="false" customHeight="false" outlineLevel="0" collapsed="false">
      <c r="A364" s="101" t="n">
        <v>45838</v>
      </c>
      <c r="B364" s="102" t="n">
        <f aca="false">YEAR(A364)</f>
        <v>2025</v>
      </c>
      <c r="C364" s="102" t="n">
        <f aca="false">MONTH(A364)</f>
        <v>6</v>
      </c>
      <c r="D364" s="68" t="str">
        <f aca="false">"Q"&amp;ROUNDUP(C364/3,0)</f>
        <v>Q2</v>
      </c>
      <c r="E364" s="100" t="s">
        <v>293</v>
      </c>
      <c r="F364" s="100" t="s">
        <v>255</v>
      </c>
      <c r="G364" s="96" t="n">
        <v>2133</v>
      </c>
      <c r="H364" s="96" t="n">
        <v>1719</v>
      </c>
      <c r="I364" s="40" t="n">
        <f aca="false">G364-H364</f>
        <v>414</v>
      </c>
      <c r="J364" s="68" t="str">
        <f aca="false">"S"&amp;TEXT(A364,"yyyymm")&amp;"-"&amp;UPPER(LEFT(E364,3))&amp;"-"&amp;UPPER(LEFT(F364,3))</f>
        <v>S202506-MIN-FRE</v>
      </c>
    </row>
    <row r="365" customFormat="false" ht="15" hidden="false" customHeight="false" outlineLevel="0" collapsed="false">
      <c r="A365" s="101" t="n">
        <v>45869</v>
      </c>
      <c r="B365" s="102" t="n">
        <f aca="false">YEAR(A365)</f>
        <v>2025</v>
      </c>
      <c r="C365" s="102" t="n">
        <f aca="false">MONTH(A365)</f>
        <v>7</v>
      </c>
      <c r="D365" s="68" t="str">
        <f aca="false">"Q"&amp;ROUNDUP(C365/3,0)</f>
        <v>Q3</v>
      </c>
      <c r="E365" s="100" t="s">
        <v>291</v>
      </c>
      <c r="F365" s="100" t="s">
        <v>252</v>
      </c>
      <c r="G365" s="96" t="n">
        <v>18399</v>
      </c>
      <c r="H365" s="96" t="n">
        <v>13736</v>
      </c>
      <c r="I365" s="40" t="n">
        <f aca="false">G365-H365</f>
        <v>4663</v>
      </c>
      <c r="J365" s="68" t="str">
        <f aca="false">"S"&amp;TEXT(A365,"yyyymm")&amp;"-"&amp;UPPER(LEFT(E365,3))&amp;"-"&amp;UPPER(LEFT(F365,3))</f>
        <v>S202507-LUZ-PAC</v>
      </c>
    </row>
    <row r="366" customFormat="false" ht="15" hidden="false" customHeight="false" outlineLevel="0" collapsed="false">
      <c r="A366" s="101" t="n">
        <v>45869</v>
      </c>
      <c r="B366" s="102" t="n">
        <f aca="false">YEAR(A366)</f>
        <v>2025</v>
      </c>
      <c r="C366" s="102" t="n">
        <f aca="false">MONTH(A366)</f>
        <v>7</v>
      </c>
      <c r="D366" s="68" t="str">
        <f aca="false">"Q"&amp;ROUNDUP(C366/3,0)</f>
        <v>Q3</v>
      </c>
      <c r="E366" s="100" t="s">
        <v>292</v>
      </c>
      <c r="F366" s="100" t="s">
        <v>252</v>
      </c>
      <c r="G366" s="96" t="n">
        <v>7585</v>
      </c>
      <c r="H366" s="96" t="n">
        <v>5716</v>
      </c>
      <c r="I366" s="40" t="n">
        <f aca="false">G366-H366</f>
        <v>1869</v>
      </c>
      <c r="J366" s="68" t="str">
        <f aca="false">"S"&amp;TEXT(A366,"yyyymm")&amp;"-"&amp;UPPER(LEFT(E366,3))&amp;"-"&amp;UPPER(LEFT(F366,3))</f>
        <v>S202507-VIS-PAC</v>
      </c>
    </row>
    <row r="367" customFormat="false" ht="15" hidden="false" customHeight="false" outlineLevel="0" collapsed="false">
      <c r="A367" s="101" t="n">
        <v>45869</v>
      </c>
      <c r="B367" s="102" t="n">
        <f aca="false">YEAR(A367)</f>
        <v>2025</v>
      </c>
      <c r="C367" s="102" t="n">
        <f aca="false">MONTH(A367)</f>
        <v>7</v>
      </c>
      <c r="D367" s="68" t="str">
        <f aca="false">"Q"&amp;ROUNDUP(C367/3,0)</f>
        <v>Q3</v>
      </c>
      <c r="E367" s="100" t="s">
        <v>293</v>
      </c>
      <c r="F367" s="100" t="s">
        <v>252</v>
      </c>
      <c r="G367" s="96" t="n">
        <v>6500</v>
      </c>
      <c r="H367" s="96" t="n">
        <v>4864</v>
      </c>
      <c r="I367" s="40" t="n">
        <f aca="false">G367-H367</f>
        <v>1636</v>
      </c>
      <c r="J367" s="68" t="str">
        <f aca="false">"S"&amp;TEXT(A367,"yyyymm")&amp;"-"&amp;UPPER(LEFT(E367,3))&amp;"-"&amp;UPPER(LEFT(F367,3))</f>
        <v>S202507-MIN-PAC</v>
      </c>
    </row>
    <row r="368" customFormat="false" ht="15" hidden="false" customHeight="false" outlineLevel="0" collapsed="false">
      <c r="A368" s="101" t="n">
        <v>45869</v>
      </c>
      <c r="B368" s="102" t="n">
        <f aca="false">YEAR(A368)</f>
        <v>2025</v>
      </c>
      <c r="C368" s="102" t="n">
        <f aca="false">MONTH(A368)</f>
        <v>7</v>
      </c>
      <c r="D368" s="68" t="str">
        <f aca="false">"Q"&amp;ROUNDUP(C368/3,0)</f>
        <v>Q3</v>
      </c>
      <c r="E368" s="100" t="s">
        <v>291</v>
      </c>
      <c r="F368" s="100" t="s">
        <v>253</v>
      </c>
      <c r="G368" s="96" t="n">
        <v>13588</v>
      </c>
      <c r="H368" s="96" t="n">
        <v>9898</v>
      </c>
      <c r="I368" s="40" t="n">
        <f aca="false">G368-H368</f>
        <v>3690</v>
      </c>
      <c r="J368" s="68" t="str">
        <f aca="false">"S"&amp;TEXT(A368,"yyyymm")&amp;"-"&amp;UPPER(LEFT(E368,3))&amp;"-"&amp;UPPER(LEFT(F368,3))</f>
        <v>S202507-LUZ-BEV</v>
      </c>
    </row>
    <row r="369" customFormat="false" ht="15" hidden="false" customHeight="false" outlineLevel="0" collapsed="false">
      <c r="A369" s="101" t="n">
        <v>45869</v>
      </c>
      <c r="B369" s="102" t="n">
        <f aca="false">YEAR(A369)</f>
        <v>2025</v>
      </c>
      <c r="C369" s="102" t="n">
        <f aca="false">MONTH(A369)</f>
        <v>7</v>
      </c>
      <c r="D369" s="68" t="str">
        <f aca="false">"Q"&amp;ROUNDUP(C369/3,0)</f>
        <v>Q3</v>
      </c>
      <c r="E369" s="100" t="s">
        <v>292</v>
      </c>
      <c r="F369" s="100" t="s">
        <v>253</v>
      </c>
      <c r="G369" s="96" t="n">
        <v>5623</v>
      </c>
      <c r="H369" s="96" t="n">
        <v>4114</v>
      </c>
      <c r="I369" s="40" t="n">
        <f aca="false">G369-H369</f>
        <v>1509</v>
      </c>
      <c r="J369" s="68" t="str">
        <f aca="false">"S"&amp;TEXT(A369,"yyyymm")&amp;"-"&amp;UPPER(LEFT(E369,3))&amp;"-"&amp;UPPER(LEFT(F369,3))</f>
        <v>S202507-VIS-BEV</v>
      </c>
    </row>
    <row r="370" customFormat="false" ht="15" hidden="false" customHeight="false" outlineLevel="0" collapsed="false">
      <c r="A370" s="101" t="n">
        <v>45869</v>
      </c>
      <c r="B370" s="102" t="n">
        <f aca="false">YEAR(A370)</f>
        <v>2025</v>
      </c>
      <c r="C370" s="102" t="n">
        <f aca="false">MONTH(A370)</f>
        <v>7</v>
      </c>
      <c r="D370" s="68" t="str">
        <f aca="false">"Q"&amp;ROUNDUP(C370/3,0)</f>
        <v>Q3</v>
      </c>
      <c r="E370" s="100" t="s">
        <v>293</v>
      </c>
      <c r="F370" s="100" t="s">
        <v>253</v>
      </c>
      <c r="G370" s="96" t="n">
        <v>4747</v>
      </c>
      <c r="H370" s="96" t="n">
        <v>3466</v>
      </c>
      <c r="I370" s="40" t="n">
        <f aca="false">G370-H370</f>
        <v>1281</v>
      </c>
      <c r="J370" s="68" t="str">
        <f aca="false">"S"&amp;TEXT(A370,"yyyymm")&amp;"-"&amp;UPPER(LEFT(E370,3))&amp;"-"&amp;UPPER(LEFT(F370,3))</f>
        <v>S202507-MIN-BEV</v>
      </c>
    </row>
    <row r="371" customFormat="false" ht="15" hidden="false" customHeight="false" outlineLevel="0" collapsed="false">
      <c r="A371" s="101" t="n">
        <v>45869</v>
      </c>
      <c r="B371" s="102" t="n">
        <f aca="false">YEAR(A371)</f>
        <v>2025</v>
      </c>
      <c r="C371" s="102" t="n">
        <f aca="false">MONTH(A371)</f>
        <v>7</v>
      </c>
      <c r="D371" s="68" t="str">
        <f aca="false">"Q"&amp;ROUNDUP(C371/3,0)</f>
        <v>Q3</v>
      </c>
      <c r="E371" s="100" t="s">
        <v>291</v>
      </c>
      <c r="F371" s="100" t="s">
        <v>254</v>
      </c>
      <c r="G371" s="96" t="n">
        <v>8330</v>
      </c>
      <c r="H371" s="96" t="n">
        <v>5825</v>
      </c>
      <c r="I371" s="40" t="n">
        <f aca="false">G371-H371</f>
        <v>2505</v>
      </c>
      <c r="J371" s="68" t="str">
        <f aca="false">"S"&amp;TEXT(A371,"yyyymm")&amp;"-"&amp;UPPER(LEFT(E371,3))&amp;"-"&amp;UPPER(LEFT(F371,3))</f>
        <v>S202507-LUZ-HOU</v>
      </c>
    </row>
    <row r="372" customFormat="false" ht="15" hidden="false" customHeight="false" outlineLevel="0" collapsed="false">
      <c r="A372" s="101" t="n">
        <v>45869</v>
      </c>
      <c r="B372" s="102" t="n">
        <f aca="false">YEAR(A372)</f>
        <v>2025</v>
      </c>
      <c r="C372" s="102" t="n">
        <f aca="false">MONTH(A372)</f>
        <v>7</v>
      </c>
      <c r="D372" s="68" t="str">
        <f aca="false">"Q"&amp;ROUNDUP(C372/3,0)</f>
        <v>Q3</v>
      </c>
      <c r="E372" s="100" t="s">
        <v>292</v>
      </c>
      <c r="F372" s="100" t="s">
        <v>254</v>
      </c>
      <c r="G372" s="96" t="n">
        <v>3290</v>
      </c>
      <c r="H372" s="96" t="n">
        <v>2306</v>
      </c>
      <c r="I372" s="40" t="n">
        <f aca="false">G372-H372</f>
        <v>984</v>
      </c>
      <c r="J372" s="68" t="str">
        <f aca="false">"S"&amp;TEXT(A372,"yyyymm")&amp;"-"&amp;UPPER(LEFT(E372,3))&amp;"-"&amp;UPPER(LEFT(F372,3))</f>
        <v>S202507-VIS-HOU</v>
      </c>
    </row>
    <row r="373" customFormat="false" ht="15" hidden="false" customHeight="false" outlineLevel="0" collapsed="false">
      <c r="A373" s="101" t="n">
        <v>45869</v>
      </c>
      <c r="B373" s="102" t="n">
        <f aca="false">YEAR(A373)</f>
        <v>2025</v>
      </c>
      <c r="C373" s="102" t="n">
        <f aca="false">MONTH(A373)</f>
        <v>7</v>
      </c>
      <c r="D373" s="68" t="str">
        <f aca="false">"Q"&amp;ROUNDUP(C373/3,0)</f>
        <v>Q3</v>
      </c>
      <c r="E373" s="100" t="s">
        <v>293</v>
      </c>
      <c r="F373" s="100" t="s">
        <v>254</v>
      </c>
      <c r="G373" s="96" t="n">
        <v>2852</v>
      </c>
      <c r="H373" s="96" t="n">
        <v>2003</v>
      </c>
      <c r="I373" s="40" t="n">
        <f aca="false">G373-H373</f>
        <v>849</v>
      </c>
      <c r="J373" s="68" t="str">
        <f aca="false">"S"&amp;TEXT(A373,"yyyymm")&amp;"-"&amp;UPPER(LEFT(E373,3))&amp;"-"&amp;UPPER(LEFT(F373,3))</f>
        <v>S202507-MIN-HOU</v>
      </c>
    </row>
    <row r="374" customFormat="false" ht="15" hidden="false" customHeight="false" outlineLevel="0" collapsed="false">
      <c r="A374" s="101" t="n">
        <v>45869</v>
      </c>
      <c r="B374" s="102" t="n">
        <f aca="false">YEAR(A374)</f>
        <v>2025</v>
      </c>
      <c r="C374" s="102" t="n">
        <f aca="false">MONTH(A374)</f>
        <v>7</v>
      </c>
      <c r="D374" s="68" t="str">
        <f aca="false">"Q"&amp;ROUNDUP(C374/3,0)</f>
        <v>Q3</v>
      </c>
      <c r="E374" s="100" t="s">
        <v>291</v>
      </c>
      <c r="F374" s="100" t="s">
        <v>255</v>
      </c>
      <c r="G374" s="96" t="n">
        <v>6112</v>
      </c>
      <c r="H374" s="96" t="n">
        <v>4956</v>
      </c>
      <c r="I374" s="40" t="n">
        <f aca="false">G374-H374</f>
        <v>1156</v>
      </c>
      <c r="J374" s="68" t="str">
        <f aca="false">"S"&amp;TEXT(A374,"yyyymm")&amp;"-"&amp;UPPER(LEFT(E374,3))&amp;"-"&amp;UPPER(LEFT(F374,3))</f>
        <v>S202507-LUZ-FRE</v>
      </c>
    </row>
    <row r="375" customFormat="false" ht="15" hidden="false" customHeight="false" outlineLevel="0" collapsed="false">
      <c r="A375" s="101" t="n">
        <v>45869</v>
      </c>
      <c r="B375" s="102" t="n">
        <f aca="false">YEAR(A375)</f>
        <v>2025</v>
      </c>
      <c r="C375" s="102" t="n">
        <f aca="false">MONTH(A375)</f>
        <v>7</v>
      </c>
      <c r="D375" s="68" t="str">
        <f aca="false">"Q"&amp;ROUNDUP(C375/3,0)</f>
        <v>Q3</v>
      </c>
      <c r="E375" s="100" t="s">
        <v>292</v>
      </c>
      <c r="F375" s="100" t="s">
        <v>255</v>
      </c>
      <c r="G375" s="96" t="n">
        <v>2451</v>
      </c>
      <c r="H375" s="96" t="n">
        <v>1974</v>
      </c>
      <c r="I375" s="40" t="n">
        <f aca="false">G375-H375</f>
        <v>477</v>
      </c>
      <c r="J375" s="68" t="str">
        <f aca="false">"S"&amp;TEXT(A375,"yyyymm")&amp;"-"&amp;UPPER(LEFT(E375,3))&amp;"-"&amp;UPPER(LEFT(F375,3))</f>
        <v>S202507-VIS-FRE</v>
      </c>
    </row>
    <row r="376" customFormat="false" ht="15" hidden="false" customHeight="false" outlineLevel="0" collapsed="false">
      <c r="A376" s="101" t="n">
        <v>45869</v>
      </c>
      <c r="B376" s="102" t="n">
        <f aca="false">YEAR(A376)</f>
        <v>2025</v>
      </c>
      <c r="C376" s="102" t="n">
        <f aca="false">MONTH(A376)</f>
        <v>7</v>
      </c>
      <c r="D376" s="68" t="str">
        <f aca="false">"Q"&amp;ROUNDUP(C376/3,0)</f>
        <v>Q3</v>
      </c>
      <c r="E376" s="100" t="s">
        <v>293</v>
      </c>
      <c r="F376" s="100" t="s">
        <v>255</v>
      </c>
      <c r="G376" s="96" t="n">
        <v>2190</v>
      </c>
      <c r="H376" s="96" t="n">
        <v>1771</v>
      </c>
      <c r="I376" s="40" t="n">
        <f aca="false">G376-H376</f>
        <v>419</v>
      </c>
      <c r="J376" s="68" t="str">
        <f aca="false">"S"&amp;TEXT(A376,"yyyymm")&amp;"-"&amp;UPPER(LEFT(E376,3))&amp;"-"&amp;UPPER(LEFT(F376,3))</f>
        <v>S202507-MIN-FRE</v>
      </c>
    </row>
    <row r="377" customFormat="false" ht="15" hidden="false" customHeight="false" outlineLevel="0" collapsed="false">
      <c r="A377" s="101" t="n">
        <v>45900</v>
      </c>
      <c r="B377" s="102" t="n">
        <f aca="false">YEAR(A377)</f>
        <v>2025</v>
      </c>
      <c r="C377" s="102" t="n">
        <f aca="false">MONTH(A377)</f>
        <v>8</v>
      </c>
      <c r="D377" s="68" t="str">
        <f aca="false">"Q"&amp;ROUNDUP(C377/3,0)</f>
        <v>Q3</v>
      </c>
      <c r="E377" s="100" t="s">
        <v>291</v>
      </c>
      <c r="F377" s="100" t="s">
        <v>252</v>
      </c>
      <c r="G377" s="96" t="n">
        <v>18125</v>
      </c>
      <c r="H377" s="96" t="n">
        <v>13588</v>
      </c>
      <c r="I377" s="40" t="n">
        <f aca="false">G377-H377</f>
        <v>4537</v>
      </c>
      <c r="J377" s="68" t="str">
        <f aca="false">"S"&amp;TEXT(A377,"yyyymm")&amp;"-"&amp;UPPER(LEFT(E377,3))&amp;"-"&amp;UPPER(LEFT(F377,3))</f>
        <v>S202508-LUZ-PAC</v>
      </c>
    </row>
    <row r="378" customFormat="false" ht="15" hidden="false" customHeight="false" outlineLevel="0" collapsed="false">
      <c r="A378" s="101" t="n">
        <v>45900</v>
      </c>
      <c r="B378" s="102" t="n">
        <f aca="false">YEAR(A378)</f>
        <v>2025</v>
      </c>
      <c r="C378" s="102" t="n">
        <f aca="false">MONTH(A378)</f>
        <v>8</v>
      </c>
      <c r="D378" s="68" t="str">
        <f aca="false">"Q"&amp;ROUNDUP(C378/3,0)</f>
        <v>Q3</v>
      </c>
      <c r="E378" s="100" t="s">
        <v>292</v>
      </c>
      <c r="F378" s="100" t="s">
        <v>252</v>
      </c>
      <c r="G378" s="96" t="n">
        <v>7361</v>
      </c>
      <c r="H378" s="96" t="n">
        <v>5504</v>
      </c>
      <c r="I378" s="40" t="n">
        <f aca="false">G378-H378</f>
        <v>1857</v>
      </c>
      <c r="J378" s="68" t="str">
        <f aca="false">"S"&amp;TEXT(A378,"yyyymm")&amp;"-"&amp;UPPER(LEFT(E378,3))&amp;"-"&amp;UPPER(LEFT(F378,3))</f>
        <v>S202508-VIS-PAC</v>
      </c>
    </row>
    <row r="379" customFormat="false" ht="15" hidden="false" customHeight="false" outlineLevel="0" collapsed="false">
      <c r="A379" s="101" t="n">
        <v>45900</v>
      </c>
      <c r="B379" s="102" t="n">
        <f aca="false">YEAR(A379)</f>
        <v>2025</v>
      </c>
      <c r="C379" s="102" t="n">
        <f aca="false">MONTH(A379)</f>
        <v>8</v>
      </c>
      <c r="D379" s="68" t="str">
        <f aca="false">"Q"&amp;ROUNDUP(C379/3,0)</f>
        <v>Q3</v>
      </c>
      <c r="E379" s="100" t="s">
        <v>293</v>
      </c>
      <c r="F379" s="100" t="s">
        <v>252</v>
      </c>
      <c r="G379" s="96" t="n">
        <v>6551</v>
      </c>
      <c r="H379" s="96" t="n">
        <v>4900</v>
      </c>
      <c r="I379" s="40" t="n">
        <f aca="false">G379-H379</f>
        <v>1651</v>
      </c>
      <c r="J379" s="68" t="str">
        <f aca="false">"S"&amp;TEXT(A379,"yyyymm")&amp;"-"&amp;UPPER(LEFT(E379,3))&amp;"-"&amp;UPPER(LEFT(F379,3))</f>
        <v>S202508-MIN-PAC</v>
      </c>
    </row>
    <row r="380" customFormat="false" ht="15" hidden="false" customHeight="false" outlineLevel="0" collapsed="false">
      <c r="A380" s="101" t="n">
        <v>45900</v>
      </c>
      <c r="B380" s="102" t="n">
        <f aca="false">YEAR(A380)</f>
        <v>2025</v>
      </c>
      <c r="C380" s="102" t="n">
        <f aca="false">MONTH(A380)</f>
        <v>8</v>
      </c>
      <c r="D380" s="68" t="str">
        <f aca="false">"Q"&amp;ROUNDUP(C380/3,0)</f>
        <v>Q3</v>
      </c>
      <c r="E380" s="100" t="s">
        <v>291</v>
      </c>
      <c r="F380" s="100" t="s">
        <v>253</v>
      </c>
      <c r="G380" s="96" t="n">
        <v>13822</v>
      </c>
      <c r="H380" s="96" t="n">
        <v>10119</v>
      </c>
      <c r="I380" s="40" t="n">
        <f aca="false">G380-H380</f>
        <v>3703</v>
      </c>
      <c r="J380" s="68" t="str">
        <f aca="false">"S"&amp;TEXT(A380,"yyyymm")&amp;"-"&amp;UPPER(LEFT(E380,3))&amp;"-"&amp;UPPER(LEFT(F380,3))</f>
        <v>S202508-LUZ-BEV</v>
      </c>
    </row>
    <row r="381" customFormat="false" ht="15" hidden="false" customHeight="false" outlineLevel="0" collapsed="false">
      <c r="A381" s="101" t="n">
        <v>45900</v>
      </c>
      <c r="B381" s="102" t="n">
        <f aca="false">YEAR(A381)</f>
        <v>2025</v>
      </c>
      <c r="C381" s="102" t="n">
        <f aca="false">MONTH(A381)</f>
        <v>8</v>
      </c>
      <c r="D381" s="68" t="str">
        <f aca="false">"Q"&amp;ROUNDUP(C381/3,0)</f>
        <v>Q3</v>
      </c>
      <c r="E381" s="100" t="s">
        <v>292</v>
      </c>
      <c r="F381" s="100" t="s">
        <v>253</v>
      </c>
      <c r="G381" s="96" t="n">
        <v>5441</v>
      </c>
      <c r="H381" s="96" t="n">
        <v>3977</v>
      </c>
      <c r="I381" s="40" t="n">
        <f aca="false">G381-H381</f>
        <v>1464</v>
      </c>
      <c r="J381" s="68" t="str">
        <f aca="false">"S"&amp;TEXT(A381,"yyyymm")&amp;"-"&amp;UPPER(LEFT(E381,3))&amp;"-"&amp;UPPER(LEFT(F381,3))</f>
        <v>S202508-VIS-BEV</v>
      </c>
    </row>
    <row r="382" customFormat="false" ht="15" hidden="false" customHeight="false" outlineLevel="0" collapsed="false">
      <c r="A382" s="101" t="n">
        <v>45900</v>
      </c>
      <c r="B382" s="102" t="n">
        <f aca="false">YEAR(A382)</f>
        <v>2025</v>
      </c>
      <c r="C382" s="102" t="n">
        <f aca="false">MONTH(A382)</f>
        <v>8</v>
      </c>
      <c r="D382" s="68" t="str">
        <f aca="false">"Q"&amp;ROUNDUP(C382/3,0)</f>
        <v>Q3</v>
      </c>
      <c r="E382" s="100" t="s">
        <v>293</v>
      </c>
      <c r="F382" s="100" t="s">
        <v>253</v>
      </c>
      <c r="G382" s="96" t="n">
        <v>4875</v>
      </c>
      <c r="H382" s="96" t="n">
        <v>3578</v>
      </c>
      <c r="I382" s="40" t="n">
        <f aca="false">G382-H382</f>
        <v>1297</v>
      </c>
      <c r="J382" s="68" t="str">
        <f aca="false">"S"&amp;TEXT(A382,"yyyymm")&amp;"-"&amp;UPPER(LEFT(E382,3))&amp;"-"&amp;UPPER(LEFT(F382,3))</f>
        <v>S202508-MIN-BEV</v>
      </c>
    </row>
    <row r="383" customFormat="false" ht="15" hidden="false" customHeight="false" outlineLevel="0" collapsed="false">
      <c r="A383" s="101" t="n">
        <v>45900</v>
      </c>
      <c r="B383" s="102" t="n">
        <f aca="false">YEAR(A383)</f>
        <v>2025</v>
      </c>
      <c r="C383" s="102" t="n">
        <f aca="false">MONTH(A383)</f>
        <v>8</v>
      </c>
      <c r="D383" s="68" t="str">
        <f aca="false">"Q"&amp;ROUNDUP(C383/3,0)</f>
        <v>Q3</v>
      </c>
      <c r="E383" s="100" t="s">
        <v>291</v>
      </c>
      <c r="F383" s="100" t="s">
        <v>254</v>
      </c>
      <c r="G383" s="96" t="n">
        <v>8131</v>
      </c>
      <c r="H383" s="96" t="n">
        <v>5683</v>
      </c>
      <c r="I383" s="40" t="n">
        <f aca="false">G383-H383</f>
        <v>2448</v>
      </c>
      <c r="J383" s="68" t="str">
        <f aca="false">"S"&amp;TEXT(A383,"yyyymm")&amp;"-"&amp;UPPER(LEFT(E383,3))&amp;"-"&amp;UPPER(LEFT(F383,3))</f>
        <v>S202508-LUZ-HOU</v>
      </c>
    </row>
    <row r="384" customFormat="false" ht="15" hidden="false" customHeight="false" outlineLevel="0" collapsed="false">
      <c r="A384" s="101" t="n">
        <v>45900</v>
      </c>
      <c r="B384" s="102" t="n">
        <f aca="false">YEAR(A384)</f>
        <v>2025</v>
      </c>
      <c r="C384" s="102" t="n">
        <f aca="false">MONTH(A384)</f>
        <v>8</v>
      </c>
      <c r="D384" s="68" t="str">
        <f aca="false">"Q"&amp;ROUNDUP(C384/3,0)</f>
        <v>Q3</v>
      </c>
      <c r="E384" s="100" t="s">
        <v>292</v>
      </c>
      <c r="F384" s="100" t="s">
        <v>254</v>
      </c>
      <c r="G384" s="96" t="n">
        <v>3300</v>
      </c>
      <c r="H384" s="96" t="n">
        <v>2298</v>
      </c>
      <c r="I384" s="40" t="n">
        <f aca="false">G384-H384</f>
        <v>1002</v>
      </c>
      <c r="J384" s="68" t="str">
        <f aca="false">"S"&amp;TEXT(A384,"yyyymm")&amp;"-"&amp;UPPER(LEFT(E384,3))&amp;"-"&amp;UPPER(LEFT(F384,3))</f>
        <v>S202508-VIS-HOU</v>
      </c>
    </row>
    <row r="385" customFormat="false" ht="15" hidden="false" customHeight="false" outlineLevel="0" collapsed="false">
      <c r="A385" s="101" t="n">
        <v>45900</v>
      </c>
      <c r="B385" s="102" t="n">
        <f aca="false">YEAR(A385)</f>
        <v>2025</v>
      </c>
      <c r="C385" s="102" t="n">
        <f aca="false">MONTH(A385)</f>
        <v>8</v>
      </c>
      <c r="D385" s="68" t="str">
        <f aca="false">"Q"&amp;ROUNDUP(C385/3,0)</f>
        <v>Q3</v>
      </c>
      <c r="E385" s="100" t="s">
        <v>293</v>
      </c>
      <c r="F385" s="100" t="s">
        <v>254</v>
      </c>
      <c r="G385" s="96" t="n">
        <v>2861</v>
      </c>
      <c r="H385" s="96" t="n">
        <v>2000</v>
      </c>
      <c r="I385" s="40" t="n">
        <f aca="false">G385-H385</f>
        <v>861</v>
      </c>
      <c r="J385" s="68" t="str">
        <f aca="false">"S"&amp;TEXT(A385,"yyyymm")&amp;"-"&amp;UPPER(LEFT(E385,3))&amp;"-"&amp;UPPER(LEFT(F385,3))</f>
        <v>S202508-MIN-HOU</v>
      </c>
    </row>
    <row r="386" customFormat="false" ht="15" hidden="false" customHeight="false" outlineLevel="0" collapsed="false">
      <c r="A386" s="101" t="n">
        <v>45900</v>
      </c>
      <c r="B386" s="102" t="n">
        <f aca="false">YEAR(A386)</f>
        <v>2025</v>
      </c>
      <c r="C386" s="102" t="n">
        <f aca="false">MONTH(A386)</f>
        <v>8</v>
      </c>
      <c r="D386" s="68" t="str">
        <f aca="false">"Q"&amp;ROUNDUP(C386/3,0)</f>
        <v>Q3</v>
      </c>
      <c r="E386" s="100" t="s">
        <v>291</v>
      </c>
      <c r="F386" s="100" t="s">
        <v>255</v>
      </c>
      <c r="G386" s="96" t="n">
        <v>5997</v>
      </c>
      <c r="H386" s="96" t="n">
        <v>4835</v>
      </c>
      <c r="I386" s="40" t="n">
        <f aca="false">G386-H386</f>
        <v>1162</v>
      </c>
      <c r="J386" s="68" t="str">
        <f aca="false">"S"&amp;TEXT(A386,"yyyymm")&amp;"-"&amp;UPPER(LEFT(E386,3))&amp;"-"&amp;UPPER(LEFT(F386,3))</f>
        <v>S202508-LUZ-FRE</v>
      </c>
    </row>
    <row r="387" customFormat="false" ht="15" hidden="false" customHeight="false" outlineLevel="0" collapsed="false">
      <c r="A387" s="101" t="n">
        <v>45900</v>
      </c>
      <c r="B387" s="102" t="n">
        <f aca="false">YEAR(A387)</f>
        <v>2025</v>
      </c>
      <c r="C387" s="102" t="n">
        <f aca="false">MONTH(A387)</f>
        <v>8</v>
      </c>
      <c r="D387" s="68" t="str">
        <f aca="false">"Q"&amp;ROUNDUP(C387/3,0)</f>
        <v>Q3</v>
      </c>
      <c r="E387" s="100" t="s">
        <v>292</v>
      </c>
      <c r="F387" s="100" t="s">
        <v>255</v>
      </c>
      <c r="G387" s="96" t="n">
        <v>2550</v>
      </c>
      <c r="H387" s="96" t="n">
        <v>2063</v>
      </c>
      <c r="I387" s="40" t="n">
        <f aca="false">G387-H387</f>
        <v>487</v>
      </c>
      <c r="J387" s="68" t="str">
        <f aca="false">"S"&amp;TEXT(A387,"yyyymm")&amp;"-"&amp;UPPER(LEFT(E387,3))&amp;"-"&amp;UPPER(LEFT(F387,3))</f>
        <v>S202508-VIS-FRE</v>
      </c>
    </row>
    <row r="388" customFormat="false" ht="15" hidden="false" customHeight="false" outlineLevel="0" collapsed="false">
      <c r="A388" s="101" t="n">
        <v>45900</v>
      </c>
      <c r="B388" s="102" t="n">
        <f aca="false">YEAR(A388)</f>
        <v>2025</v>
      </c>
      <c r="C388" s="102" t="n">
        <f aca="false">MONTH(A388)</f>
        <v>8</v>
      </c>
      <c r="D388" s="68" t="str">
        <f aca="false">"Q"&amp;ROUNDUP(C388/3,0)</f>
        <v>Q3</v>
      </c>
      <c r="E388" s="100" t="s">
        <v>293</v>
      </c>
      <c r="F388" s="100" t="s">
        <v>255</v>
      </c>
      <c r="G388" s="96" t="n">
        <v>2091</v>
      </c>
      <c r="H388" s="96" t="n">
        <v>1688</v>
      </c>
      <c r="I388" s="40" t="n">
        <f aca="false">G388-H388</f>
        <v>403</v>
      </c>
      <c r="J388" s="68" t="str">
        <f aca="false">"S"&amp;TEXT(A388,"yyyymm")&amp;"-"&amp;UPPER(LEFT(E388,3))&amp;"-"&amp;UPPER(LEFT(F388,3))</f>
        <v>S202508-MIN-FRE</v>
      </c>
    </row>
    <row r="389" customFormat="false" ht="15" hidden="false" customHeight="false" outlineLevel="0" collapsed="false">
      <c r="A389" s="101" t="n">
        <v>45930</v>
      </c>
      <c r="B389" s="102" t="n">
        <f aca="false">YEAR(A389)</f>
        <v>2025</v>
      </c>
      <c r="C389" s="102" t="n">
        <f aca="false">MONTH(A389)</f>
        <v>9</v>
      </c>
      <c r="D389" s="68" t="str">
        <f aca="false">"Q"&amp;ROUNDUP(C389/3,0)</f>
        <v>Q3</v>
      </c>
      <c r="E389" s="100" t="s">
        <v>291</v>
      </c>
      <c r="F389" s="100" t="s">
        <v>252</v>
      </c>
      <c r="G389" s="96" t="n">
        <v>18204</v>
      </c>
      <c r="H389" s="96" t="n">
        <v>13702</v>
      </c>
      <c r="I389" s="40" t="n">
        <f aca="false">G389-H389</f>
        <v>4502</v>
      </c>
      <c r="J389" s="68" t="str">
        <f aca="false">"S"&amp;TEXT(A389,"yyyymm")&amp;"-"&amp;UPPER(LEFT(E389,3))&amp;"-"&amp;UPPER(LEFT(F389,3))</f>
        <v>S202509-LUZ-PAC</v>
      </c>
    </row>
    <row r="390" customFormat="false" ht="15" hidden="false" customHeight="false" outlineLevel="0" collapsed="false">
      <c r="A390" s="101" t="n">
        <v>45930</v>
      </c>
      <c r="B390" s="102" t="n">
        <f aca="false">YEAR(A390)</f>
        <v>2025</v>
      </c>
      <c r="C390" s="102" t="n">
        <f aca="false">MONTH(A390)</f>
        <v>9</v>
      </c>
      <c r="D390" s="68" t="str">
        <f aca="false">"Q"&amp;ROUNDUP(C390/3,0)</f>
        <v>Q3</v>
      </c>
      <c r="E390" s="100" t="s">
        <v>292</v>
      </c>
      <c r="F390" s="100" t="s">
        <v>252</v>
      </c>
      <c r="G390" s="96" t="n">
        <v>7463</v>
      </c>
      <c r="H390" s="96" t="n">
        <v>5625</v>
      </c>
      <c r="I390" s="40" t="n">
        <f aca="false">G390-H390</f>
        <v>1838</v>
      </c>
      <c r="J390" s="68" t="str">
        <f aca="false">"S"&amp;TEXT(A390,"yyyymm")&amp;"-"&amp;UPPER(LEFT(E390,3))&amp;"-"&amp;UPPER(LEFT(F390,3))</f>
        <v>S202509-VIS-PAC</v>
      </c>
    </row>
    <row r="391" customFormat="false" ht="15" hidden="false" customHeight="false" outlineLevel="0" collapsed="false">
      <c r="A391" s="101" t="n">
        <v>45930</v>
      </c>
      <c r="B391" s="102" t="n">
        <f aca="false">YEAR(A391)</f>
        <v>2025</v>
      </c>
      <c r="C391" s="102" t="n">
        <f aca="false">MONTH(A391)</f>
        <v>9</v>
      </c>
      <c r="D391" s="68" t="str">
        <f aca="false">"Q"&amp;ROUNDUP(C391/3,0)</f>
        <v>Q3</v>
      </c>
      <c r="E391" s="100" t="s">
        <v>293</v>
      </c>
      <c r="F391" s="100" t="s">
        <v>252</v>
      </c>
      <c r="G391" s="96" t="n">
        <v>6318</v>
      </c>
      <c r="H391" s="96" t="n">
        <v>4720</v>
      </c>
      <c r="I391" s="40" t="n">
        <f aca="false">G391-H391</f>
        <v>1598</v>
      </c>
      <c r="J391" s="68" t="str">
        <f aca="false">"S"&amp;TEXT(A391,"yyyymm")&amp;"-"&amp;UPPER(LEFT(E391,3))&amp;"-"&amp;UPPER(LEFT(F391,3))</f>
        <v>S202509-MIN-PAC</v>
      </c>
    </row>
    <row r="392" customFormat="false" ht="15" hidden="false" customHeight="false" outlineLevel="0" collapsed="false">
      <c r="A392" s="101" t="n">
        <v>45930</v>
      </c>
      <c r="B392" s="102" t="n">
        <f aca="false">YEAR(A392)</f>
        <v>2025</v>
      </c>
      <c r="C392" s="102" t="n">
        <f aca="false">MONTH(A392)</f>
        <v>9</v>
      </c>
      <c r="D392" s="68" t="str">
        <f aca="false">"Q"&amp;ROUNDUP(C392/3,0)</f>
        <v>Q3</v>
      </c>
      <c r="E392" s="100" t="s">
        <v>291</v>
      </c>
      <c r="F392" s="100" t="s">
        <v>253</v>
      </c>
      <c r="G392" s="96" t="n">
        <v>14084</v>
      </c>
      <c r="H392" s="96" t="n">
        <v>10247</v>
      </c>
      <c r="I392" s="40" t="n">
        <f aca="false">G392-H392</f>
        <v>3837</v>
      </c>
      <c r="J392" s="68" t="str">
        <f aca="false">"S"&amp;TEXT(A392,"yyyymm")&amp;"-"&amp;UPPER(LEFT(E392,3))&amp;"-"&amp;UPPER(LEFT(F392,3))</f>
        <v>S202509-LUZ-BEV</v>
      </c>
    </row>
    <row r="393" customFormat="false" ht="15" hidden="false" customHeight="false" outlineLevel="0" collapsed="false">
      <c r="A393" s="101" t="n">
        <v>45930</v>
      </c>
      <c r="B393" s="102" t="n">
        <f aca="false">YEAR(A393)</f>
        <v>2025</v>
      </c>
      <c r="C393" s="102" t="n">
        <f aca="false">MONTH(A393)</f>
        <v>9</v>
      </c>
      <c r="D393" s="68" t="str">
        <f aca="false">"Q"&amp;ROUNDUP(C393/3,0)</f>
        <v>Q3</v>
      </c>
      <c r="E393" s="100" t="s">
        <v>292</v>
      </c>
      <c r="F393" s="100" t="s">
        <v>253</v>
      </c>
      <c r="G393" s="96" t="n">
        <v>5660</v>
      </c>
      <c r="H393" s="96" t="n">
        <v>4147</v>
      </c>
      <c r="I393" s="40" t="n">
        <f aca="false">G393-H393</f>
        <v>1513</v>
      </c>
      <c r="J393" s="68" t="str">
        <f aca="false">"S"&amp;TEXT(A393,"yyyymm")&amp;"-"&amp;UPPER(LEFT(E393,3))&amp;"-"&amp;UPPER(LEFT(F393,3))</f>
        <v>S202509-VIS-BEV</v>
      </c>
    </row>
    <row r="394" customFormat="false" ht="15" hidden="false" customHeight="false" outlineLevel="0" collapsed="false">
      <c r="A394" s="101" t="n">
        <v>45930</v>
      </c>
      <c r="B394" s="102" t="n">
        <f aca="false">YEAR(A394)</f>
        <v>2025</v>
      </c>
      <c r="C394" s="102" t="n">
        <f aca="false">MONTH(A394)</f>
        <v>9</v>
      </c>
      <c r="D394" s="68" t="str">
        <f aca="false">"Q"&amp;ROUNDUP(C394/3,0)</f>
        <v>Q3</v>
      </c>
      <c r="E394" s="100" t="s">
        <v>293</v>
      </c>
      <c r="F394" s="100" t="s">
        <v>253</v>
      </c>
      <c r="G394" s="96" t="n">
        <v>4841</v>
      </c>
      <c r="H394" s="96" t="n">
        <v>3551</v>
      </c>
      <c r="I394" s="40" t="n">
        <f aca="false">G394-H394</f>
        <v>1290</v>
      </c>
      <c r="J394" s="68" t="str">
        <f aca="false">"S"&amp;TEXT(A394,"yyyymm")&amp;"-"&amp;UPPER(LEFT(E394,3))&amp;"-"&amp;UPPER(LEFT(F394,3))</f>
        <v>S202509-MIN-BEV</v>
      </c>
    </row>
    <row r="395" customFormat="false" ht="15" hidden="false" customHeight="false" outlineLevel="0" collapsed="false">
      <c r="A395" s="101" t="n">
        <v>45930</v>
      </c>
      <c r="B395" s="102" t="n">
        <f aca="false">YEAR(A395)</f>
        <v>2025</v>
      </c>
      <c r="C395" s="102" t="n">
        <f aca="false">MONTH(A395)</f>
        <v>9</v>
      </c>
      <c r="D395" s="68" t="str">
        <f aca="false">"Q"&amp;ROUNDUP(C395/3,0)</f>
        <v>Q3</v>
      </c>
      <c r="E395" s="100" t="s">
        <v>291</v>
      </c>
      <c r="F395" s="100" t="s">
        <v>254</v>
      </c>
      <c r="G395" s="96" t="n">
        <v>8264</v>
      </c>
      <c r="H395" s="96" t="n">
        <v>5753</v>
      </c>
      <c r="I395" s="40" t="n">
        <f aca="false">G395-H395</f>
        <v>2511</v>
      </c>
      <c r="J395" s="68" t="str">
        <f aca="false">"S"&amp;TEXT(A395,"yyyymm")&amp;"-"&amp;UPPER(LEFT(E395,3))&amp;"-"&amp;UPPER(LEFT(F395,3))</f>
        <v>S202509-LUZ-HOU</v>
      </c>
    </row>
    <row r="396" customFormat="false" ht="15" hidden="false" customHeight="false" outlineLevel="0" collapsed="false">
      <c r="A396" s="101" t="n">
        <v>45930</v>
      </c>
      <c r="B396" s="102" t="n">
        <f aca="false">YEAR(A396)</f>
        <v>2025</v>
      </c>
      <c r="C396" s="102" t="n">
        <f aca="false">MONTH(A396)</f>
        <v>9</v>
      </c>
      <c r="D396" s="68" t="str">
        <f aca="false">"Q"&amp;ROUNDUP(C396/3,0)</f>
        <v>Q3</v>
      </c>
      <c r="E396" s="100" t="s">
        <v>292</v>
      </c>
      <c r="F396" s="100" t="s">
        <v>254</v>
      </c>
      <c r="G396" s="96" t="n">
        <v>3416</v>
      </c>
      <c r="H396" s="96" t="n">
        <v>2405</v>
      </c>
      <c r="I396" s="40" t="n">
        <f aca="false">G396-H396</f>
        <v>1011</v>
      </c>
      <c r="J396" s="68" t="str">
        <f aca="false">"S"&amp;TEXT(A396,"yyyymm")&amp;"-"&amp;UPPER(LEFT(E396,3))&amp;"-"&amp;UPPER(LEFT(F396,3))</f>
        <v>S202509-VIS-HOU</v>
      </c>
    </row>
    <row r="397" customFormat="false" ht="15" hidden="false" customHeight="false" outlineLevel="0" collapsed="false">
      <c r="A397" s="101" t="n">
        <v>45930</v>
      </c>
      <c r="B397" s="102" t="n">
        <f aca="false">YEAR(A397)</f>
        <v>2025</v>
      </c>
      <c r="C397" s="102" t="n">
        <f aca="false">MONTH(A397)</f>
        <v>9</v>
      </c>
      <c r="D397" s="68" t="str">
        <f aca="false">"Q"&amp;ROUNDUP(C397/3,0)</f>
        <v>Q3</v>
      </c>
      <c r="E397" s="100" t="s">
        <v>293</v>
      </c>
      <c r="F397" s="100" t="s">
        <v>254</v>
      </c>
      <c r="G397" s="96" t="n">
        <v>2925</v>
      </c>
      <c r="H397" s="96" t="n">
        <v>2056</v>
      </c>
      <c r="I397" s="40" t="n">
        <f aca="false">G397-H397</f>
        <v>869</v>
      </c>
      <c r="J397" s="68" t="str">
        <f aca="false">"S"&amp;TEXT(A397,"yyyymm")&amp;"-"&amp;UPPER(LEFT(E397,3))&amp;"-"&amp;UPPER(LEFT(F397,3))</f>
        <v>S202509-MIN-HOU</v>
      </c>
    </row>
    <row r="398" customFormat="false" ht="15" hidden="false" customHeight="false" outlineLevel="0" collapsed="false">
      <c r="A398" s="101" t="n">
        <v>45930</v>
      </c>
      <c r="B398" s="102" t="n">
        <f aca="false">YEAR(A398)</f>
        <v>2025</v>
      </c>
      <c r="C398" s="102" t="n">
        <f aca="false">MONTH(A398)</f>
        <v>9</v>
      </c>
      <c r="D398" s="68" t="str">
        <f aca="false">"Q"&amp;ROUNDUP(C398/3,0)</f>
        <v>Q3</v>
      </c>
      <c r="E398" s="100" t="s">
        <v>291</v>
      </c>
      <c r="F398" s="100" t="s">
        <v>255</v>
      </c>
      <c r="G398" s="96" t="n">
        <v>6116</v>
      </c>
      <c r="H398" s="96" t="n">
        <v>4980</v>
      </c>
      <c r="I398" s="40" t="n">
        <f aca="false">G398-H398</f>
        <v>1136</v>
      </c>
      <c r="J398" s="68" t="str">
        <f aca="false">"S"&amp;TEXT(A398,"yyyymm")&amp;"-"&amp;UPPER(LEFT(E398,3))&amp;"-"&amp;UPPER(LEFT(F398,3))</f>
        <v>S202509-LUZ-FRE</v>
      </c>
    </row>
    <row r="399" customFormat="false" ht="15" hidden="false" customHeight="false" outlineLevel="0" collapsed="false">
      <c r="A399" s="101" t="n">
        <v>45930</v>
      </c>
      <c r="B399" s="102" t="n">
        <f aca="false">YEAR(A399)</f>
        <v>2025</v>
      </c>
      <c r="C399" s="102" t="n">
        <f aca="false">MONTH(A399)</f>
        <v>9</v>
      </c>
      <c r="D399" s="68" t="str">
        <f aca="false">"Q"&amp;ROUNDUP(C399/3,0)</f>
        <v>Q3</v>
      </c>
      <c r="E399" s="100" t="s">
        <v>292</v>
      </c>
      <c r="F399" s="100" t="s">
        <v>255</v>
      </c>
      <c r="G399" s="96" t="n">
        <v>2533</v>
      </c>
      <c r="H399" s="96" t="n">
        <v>2062</v>
      </c>
      <c r="I399" s="40" t="n">
        <f aca="false">G399-H399</f>
        <v>471</v>
      </c>
      <c r="J399" s="68" t="str">
        <f aca="false">"S"&amp;TEXT(A399,"yyyymm")&amp;"-"&amp;UPPER(LEFT(E399,3))&amp;"-"&amp;UPPER(LEFT(F399,3))</f>
        <v>S202509-VIS-FRE</v>
      </c>
    </row>
    <row r="400" customFormat="false" ht="15" hidden="false" customHeight="false" outlineLevel="0" collapsed="false">
      <c r="A400" s="101" t="n">
        <v>45930</v>
      </c>
      <c r="B400" s="102" t="n">
        <f aca="false">YEAR(A400)</f>
        <v>2025</v>
      </c>
      <c r="C400" s="102" t="n">
        <f aca="false">MONTH(A400)</f>
        <v>9</v>
      </c>
      <c r="D400" s="68" t="str">
        <f aca="false">"Q"&amp;ROUNDUP(C400/3,0)</f>
        <v>Q3</v>
      </c>
      <c r="E400" s="100" t="s">
        <v>293</v>
      </c>
      <c r="F400" s="100" t="s">
        <v>255</v>
      </c>
      <c r="G400" s="96" t="n">
        <v>2204</v>
      </c>
      <c r="H400" s="96" t="n">
        <v>1788</v>
      </c>
      <c r="I400" s="40" t="n">
        <f aca="false">G400-H400</f>
        <v>416</v>
      </c>
      <c r="J400" s="68" t="str">
        <f aca="false">"S"&amp;TEXT(A400,"yyyymm")&amp;"-"&amp;UPPER(LEFT(E400,3))&amp;"-"&amp;UPPER(LEFT(F400,3))</f>
        <v>S202509-MIN-FRE</v>
      </c>
    </row>
    <row r="401" customFormat="false" ht="15" hidden="false" customHeight="false" outlineLevel="0" collapsed="false">
      <c r="A401" s="101" t="n">
        <v>45961</v>
      </c>
      <c r="B401" s="102" t="n">
        <f aca="false">YEAR(A401)</f>
        <v>2025</v>
      </c>
      <c r="C401" s="102" t="n">
        <f aca="false">MONTH(A401)</f>
        <v>10</v>
      </c>
      <c r="D401" s="68" t="str">
        <f aca="false">"Q"&amp;ROUNDUP(C401/3,0)</f>
        <v>Q4</v>
      </c>
      <c r="E401" s="100" t="s">
        <v>291</v>
      </c>
      <c r="F401" s="100" t="s">
        <v>252</v>
      </c>
      <c r="G401" s="96" t="n">
        <v>19357</v>
      </c>
      <c r="H401" s="96" t="n">
        <v>14439</v>
      </c>
      <c r="I401" s="40" t="n">
        <f aca="false">G401-H401</f>
        <v>4918</v>
      </c>
      <c r="J401" s="68" t="str">
        <f aca="false">"S"&amp;TEXT(A401,"yyyymm")&amp;"-"&amp;UPPER(LEFT(E401,3))&amp;"-"&amp;UPPER(LEFT(F401,3))</f>
        <v>S202510-LUZ-PAC</v>
      </c>
    </row>
    <row r="402" customFormat="false" ht="15" hidden="false" customHeight="false" outlineLevel="0" collapsed="false">
      <c r="A402" s="101" t="n">
        <v>45961</v>
      </c>
      <c r="B402" s="102" t="n">
        <f aca="false">YEAR(A402)</f>
        <v>2025</v>
      </c>
      <c r="C402" s="102" t="n">
        <f aca="false">MONTH(A402)</f>
        <v>10</v>
      </c>
      <c r="D402" s="68" t="str">
        <f aca="false">"Q"&amp;ROUNDUP(C402/3,0)</f>
        <v>Q4</v>
      </c>
      <c r="E402" s="100" t="s">
        <v>292</v>
      </c>
      <c r="F402" s="100" t="s">
        <v>252</v>
      </c>
      <c r="G402" s="96" t="n">
        <v>7410</v>
      </c>
      <c r="H402" s="96" t="n">
        <v>5568</v>
      </c>
      <c r="I402" s="40" t="n">
        <f aca="false">G402-H402</f>
        <v>1842</v>
      </c>
      <c r="J402" s="68" t="str">
        <f aca="false">"S"&amp;TEXT(A402,"yyyymm")&amp;"-"&amp;UPPER(LEFT(E402,3))&amp;"-"&amp;UPPER(LEFT(F402,3))</f>
        <v>S202510-VIS-PAC</v>
      </c>
    </row>
    <row r="403" customFormat="false" ht="15" hidden="false" customHeight="false" outlineLevel="0" collapsed="false">
      <c r="A403" s="101" t="n">
        <v>45961</v>
      </c>
      <c r="B403" s="102" t="n">
        <f aca="false">YEAR(A403)</f>
        <v>2025</v>
      </c>
      <c r="C403" s="102" t="n">
        <f aca="false">MONTH(A403)</f>
        <v>10</v>
      </c>
      <c r="D403" s="68" t="str">
        <f aca="false">"Q"&amp;ROUNDUP(C403/3,0)</f>
        <v>Q4</v>
      </c>
      <c r="E403" s="100" t="s">
        <v>293</v>
      </c>
      <c r="F403" s="100" t="s">
        <v>252</v>
      </c>
      <c r="G403" s="96" t="n">
        <v>6518</v>
      </c>
      <c r="H403" s="96" t="n">
        <v>4860</v>
      </c>
      <c r="I403" s="40" t="n">
        <f aca="false">G403-H403</f>
        <v>1658</v>
      </c>
      <c r="J403" s="68" t="str">
        <f aca="false">"S"&amp;TEXT(A403,"yyyymm")&amp;"-"&amp;UPPER(LEFT(E403,3))&amp;"-"&amp;UPPER(LEFT(F403,3))</f>
        <v>S202510-MIN-PAC</v>
      </c>
    </row>
    <row r="404" customFormat="false" ht="15" hidden="false" customHeight="false" outlineLevel="0" collapsed="false">
      <c r="A404" s="101" t="n">
        <v>45961</v>
      </c>
      <c r="B404" s="102" t="n">
        <f aca="false">YEAR(A404)</f>
        <v>2025</v>
      </c>
      <c r="C404" s="102" t="n">
        <f aca="false">MONTH(A404)</f>
        <v>10</v>
      </c>
      <c r="D404" s="68" t="str">
        <f aca="false">"Q"&amp;ROUNDUP(C404/3,0)</f>
        <v>Q4</v>
      </c>
      <c r="E404" s="100" t="s">
        <v>291</v>
      </c>
      <c r="F404" s="100" t="s">
        <v>253</v>
      </c>
      <c r="G404" s="96" t="n">
        <v>14111</v>
      </c>
      <c r="H404" s="96" t="n">
        <v>10245</v>
      </c>
      <c r="I404" s="40" t="n">
        <f aca="false">G404-H404</f>
        <v>3866</v>
      </c>
      <c r="J404" s="68" t="str">
        <f aca="false">"S"&amp;TEXT(A404,"yyyymm")&amp;"-"&amp;UPPER(LEFT(E404,3))&amp;"-"&amp;UPPER(LEFT(F404,3))</f>
        <v>S202510-LUZ-BEV</v>
      </c>
    </row>
    <row r="405" customFormat="false" ht="15" hidden="false" customHeight="false" outlineLevel="0" collapsed="false">
      <c r="A405" s="101" t="n">
        <v>45961</v>
      </c>
      <c r="B405" s="102" t="n">
        <f aca="false">YEAR(A405)</f>
        <v>2025</v>
      </c>
      <c r="C405" s="102" t="n">
        <f aca="false">MONTH(A405)</f>
        <v>10</v>
      </c>
      <c r="D405" s="68" t="str">
        <f aca="false">"Q"&amp;ROUNDUP(C405/3,0)</f>
        <v>Q4</v>
      </c>
      <c r="E405" s="100" t="s">
        <v>292</v>
      </c>
      <c r="F405" s="100" t="s">
        <v>253</v>
      </c>
      <c r="G405" s="96" t="n">
        <v>5798</v>
      </c>
      <c r="H405" s="96" t="n">
        <v>4211</v>
      </c>
      <c r="I405" s="40" t="n">
        <f aca="false">G405-H405</f>
        <v>1587</v>
      </c>
      <c r="J405" s="68" t="str">
        <f aca="false">"S"&amp;TEXT(A405,"yyyymm")&amp;"-"&amp;UPPER(LEFT(E405,3))&amp;"-"&amp;UPPER(LEFT(F405,3))</f>
        <v>S202510-VIS-BEV</v>
      </c>
    </row>
    <row r="406" customFormat="false" ht="15" hidden="false" customHeight="false" outlineLevel="0" collapsed="false">
      <c r="A406" s="101" t="n">
        <v>45961</v>
      </c>
      <c r="B406" s="102" t="n">
        <f aca="false">YEAR(A406)</f>
        <v>2025</v>
      </c>
      <c r="C406" s="102" t="n">
        <f aca="false">MONTH(A406)</f>
        <v>10</v>
      </c>
      <c r="D406" s="68" t="str">
        <f aca="false">"Q"&amp;ROUNDUP(C406/3,0)</f>
        <v>Q4</v>
      </c>
      <c r="E406" s="100" t="s">
        <v>293</v>
      </c>
      <c r="F406" s="100" t="s">
        <v>253</v>
      </c>
      <c r="G406" s="96" t="n">
        <v>4976</v>
      </c>
      <c r="H406" s="96" t="n">
        <v>3635</v>
      </c>
      <c r="I406" s="40" t="n">
        <f aca="false">G406-H406</f>
        <v>1341</v>
      </c>
      <c r="J406" s="68" t="str">
        <f aca="false">"S"&amp;TEXT(A406,"yyyymm")&amp;"-"&amp;UPPER(LEFT(E406,3))&amp;"-"&amp;UPPER(LEFT(F406,3))</f>
        <v>S202510-MIN-BEV</v>
      </c>
    </row>
    <row r="407" customFormat="false" ht="15" hidden="false" customHeight="false" outlineLevel="0" collapsed="false">
      <c r="A407" s="101" t="n">
        <v>45961</v>
      </c>
      <c r="B407" s="102" t="n">
        <f aca="false">YEAR(A407)</f>
        <v>2025</v>
      </c>
      <c r="C407" s="102" t="n">
        <f aca="false">MONTH(A407)</f>
        <v>10</v>
      </c>
      <c r="D407" s="68" t="str">
        <f aca="false">"Q"&amp;ROUNDUP(C407/3,0)</f>
        <v>Q4</v>
      </c>
      <c r="E407" s="100" t="s">
        <v>291</v>
      </c>
      <c r="F407" s="100" t="s">
        <v>254</v>
      </c>
      <c r="G407" s="96" t="n">
        <v>8423</v>
      </c>
      <c r="H407" s="96" t="n">
        <v>5897</v>
      </c>
      <c r="I407" s="40" t="n">
        <f aca="false">G407-H407</f>
        <v>2526</v>
      </c>
      <c r="J407" s="68" t="str">
        <f aca="false">"S"&amp;TEXT(A407,"yyyymm")&amp;"-"&amp;UPPER(LEFT(E407,3))&amp;"-"&amp;UPPER(LEFT(F407,3))</f>
        <v>S202510-LUZ-HOU</v>
      </c>
    </row>
    <row r="408" customFormat="false" ht="15" hidden="false" customHeight="false" outlineLevel="0" collapsed="false">
      <c r="A408" s="101" t="n">
        <v>45961</v>
      </c>
      <c r="B408" s="102" t="n">
        <f aca="false">YEAR(A408)</f>
        <v>2025</v>
      </c>
      <c r="C408" s="102" t="n">
        <f aca="false">MONTH(A408)</f>
        <v>10</v>
      </c>
      <c r="D408" s="68" t="str">
        <f aca="false">"Q"&amp;ROUNDUP(C408/3,0)</f>
        <v>Q4</v>
      </c>
      <c r="E408" s="100" t="s">
        <v>292</v>
      </c>
      <c r="F408" s="100" t="s">
        <v>254</v>
      </c>
      <c r="G408" s="96" t="n">
        <v>3397</v>
      </c>
      <c r="H408" s="96" t="n">
        <v>2378</v>
      </c>
      <c r="I408" s="40" t="n">
        <f aca="false">G408-H408</f>
        <v>1019</v>
      </c>
      <c r="J408" s="68" t="str">
        <f aca="false">"S"&amp;TEXT(A408,"yyyymm")&amp;"-"&amp;UPPER(LEFT(E408,3))&amp;"-"&amp;UPPER(LEFT(F408,3))</f>
        <v>S202510-VIS-HOU</v>
      </c>
    </row>
    <row r="409" customFormat="false" ht="15" hidden="false" customHeight="false" outlineLevel="0" collapsed="false">
      <c r="A409" s="101" t="n">
        <v>45961</v>
      </c>
      <c r="B409" s="102" t="n">
        <f aca="false">YEAR(A409)</f>
        <v>2025</v>
      </c>
      <c r="C409" s="102" t="n">
        <f aca="false">MONTH(A409)</f>
        <v>10</v>
      </c>
      <c r="D409" s="68" t="str">
        <f aca="false">"Q"&amp;ROUNDUP(C409/3,0)</f>
        <v>Q4</v>
      </c>
      <c r="E409" s="100" t="s">
        <v>293</v>
      </c>
      <c r="F409" s="100" t="s">
        <v>254</v>
      </c>
      <c r="G409" s="96" t="n">
        <v>2868</v>
      </c>
      <c r="H409" s="96" t="n">
        <v>2004</v>
      </c>
      <c r="I409" s="40" t="n">
        <f aca="false">G409-H409</f>
        <v>864</v>
      </c>
      <c r="J409" s="68" t="str">
        <f aca="false">"S"&amp;TEXT(A409,"yyyymm")&amp;"-"&amp;UPPER(LEFT(E409,3))&amp;"-"&amp;UPPER(LEFT(F409,3))</f>
        <v>S202510-MIN-HOU</v>
      </c>
    </row>
    <row r="410" customFormat="false" ht="15" hidden="false" customHeight="false" outlineLevel="0" collapsed="false">
      <c r="A410" s="101" t="n">
        <v>45961</v>
      </c>
      <c r="B410" s="102" t="n">
        <f aca="false">YEAR(A410)</f>
        <v>2025</v>
      </c>
      <c r="C410" s="102" t="n">
        <f aca="false">MONTH(A410)</f>
        <v>10</v>
      </c>
      <c r="D410" s="68" t="str">
        <f aca="false">"Q"&amp;ROUNDUP(C410/3,0)</f>
        <v>Q4</v>
      </c>
      <c r="E410" s="100" t="s">
        <v>291</v>
      </c>
      <c r="F410" s="100" t="s">
        <v>255</v>
      </c>
      <c r="G410" s="96" t="n">
        <v>6184</v>
      </c>
      <c r="H410" s="96" t="n">
        <v>5007</v>
      </c>
      <c r="I410" s="40" t="n">
        <f aca="false">G410-H410</f>
        <v>1177</v>
      </c>
      <c r="J410" s="68" t="str">
        <f aca="false">"S"&amp;TEXT(A410,"yyyymm")&amp;"-"&amp;UPPER(LEFT(E410,3))&amp;"-"&amp;UPPER(LEFT(F410,3))</f>
        <v>S202510-LUZ-FRE</v>
      </c>
    </row>
    <row r="411" customFormat="false" ht="15" hidden="false" customHeight="false" outlineLevel="0" collapsed="false">
      <c r="A411" s="101" t="n">
        <v>45961</v>
      </c>
      <c r="B411" s="102" t="n">
        <f aca="false">YEAR(A411)</f>
        <v>2025</v>
      </c>
      <c r="C411" s="102" t="n">
        <f aca="false">MONTH(A411)</f>
        <v>10</v>
      </c>
      <c r="D411" s="68" t="str">
        <f aca="false">"Q"&amp;ROUNDUP(C411/3,0)</f>
        <v>Q4</v>
      </c>
      <c r="E411" s="100" t="s">
        <v>292</v>
      </c>
      <c r="F411" s="100" t="s">
        <v>255</v>
      </c>
      <c r="G411" s="96" t="n">
        <v>2451</v>
      </c>
      <c r="H411" s="96" t="n">
        <v>1974</v>
      </c>
      <c r="I411" s="40" t="n">
        <f aca="false">G411-H411</f>
        <v>477</v>
      </c>
      <c r="J411" s="68" t="str">
        <f aca="false">"S"&amp;TEXT(A411,"yyyymm")&amp;"-"&amp;UPPER(LEFT(E411,3))&amp;"-"&amp;UPPER(LEFT(F411,3))</f>
        <v>S202510-VIS-FRE</v>
      </c>
    </row>
    <row r="412" customFormat="false" ht="15" hidden="false" customHeight="false" outlineLevel="0" collapsed="false">
      <c r="A412" s="101" t="n">
        <v>45961</v>
      </c>
      <c r="B412" s="102" t="n">
        <f aca="false">YEAR(A412)</f>
        <v>2025</v>
      </c>
      <c r="C412" s="102" t="n">
        <f aca="false">MONTH(A412)</f>
        <v>10</v>
      </c>
      <c r="D412" s="68" t="str">
        <f aca="false">"Q"&amp;ROUNDUP(C412/3,0)</f>
        <v>Q4</v>
      </c>
      <c r="E412" s="100" t="s">
        <v>293</v>
      </c>
      <c r="F412" s="100" t="s">
        <v>255</v>
      </c>
      <c r="G412" s="96" t="n">
        <v>2150</v>
      </c>
      <c r="H412" s="96" t="n">
        <v>1733</v>
      </c>
      <c r="I412" s="40" t="n">
        <f aca="false">G412-H412</f>
        <v>417</v>
      </c>
      <c r="J412" s="68" t="str">
        <f aca="false">"S"&amp;TEXT(A412,"yyyymm")&amp;"-"&amp;UPPER(LEFT(E412,3))&amp;"-"&amp;UPPER(LEFT(F412,3))</f>
        <v>S202510-MIN-FRE</v>
      </c>
    </row>
    <row r="413" customFormat="false" ht="15" hidden="false" customHeight="false" outlineLevel="0" collapsed="false">
      <c r="A413" s="101" t="n">
        <v>45991</v>
      </c>
      <c r="B413" s="102" t="n">
        <f aca="false">YEAR(A413)</f>
        <v>2025</v>
      </c>
      <c r="C413" s="102" t="n">
        <f aca="false">MONTH(A413)</f>
        <v>11</v>
      </c>
      <c r="D413" s="68" t="str">
        <f aca="false">"Q"&amp;ROUNDUP(C413/3,0)</f>
        <v>Q4</v>
      </c>
      <c r="E413" s="100" t="s">
        <v>291</v>
      </c>
      <c r="F413" s="100" t="s">
        <v>252</v>
      </c>
      <c r="G413" s="96" t="n">
        <v>19748</v>
      </c>
      <c r="H413" s="96" t="n">
        <v>14754</v>
      </c>
      <c r="I413" s="40" t="n">
        <f aca="false">G413-H413</f>
        <v>4994</v>
      </c>
      <c r="J413" s="68" t="str">
        <f aca="false">"S"&amp;TEXT(A413,"yyyymm")&amp;"-"&amp;UPPER(LEFT(E413,3))&amp;"-"&amp;UPPER(LEFT(F413,3))</f>
        <v>S202511-LUZ-PAC</v>
      </c>
    </row>
    <row r="414" customFormat="false" ht="15" hidden="false" customHeight="false" outlineLevel="0" collapsed="false">
      <c r="A414" s="101" t="n">
        <v>45991</v>
      </c>
      <c r="B414" s="102" t="n">
        <f aca="false">YEAR(A414)</f>
        <v>2025</v>
      </c>
      <c r="C414" s="102" t="n">
        <f aca="false">MONTH(A414)</f>
        <v>11</v>
      </c>
      <c r="D414" s="68" t="str">
        <f aca="false">"Q"&amp;ROUNDUP(C414/3,0)</f>
        <v>Q4</v>
      </c>
      <c r="E414" s="100" t="s">
        <v>292</v>
      </c>
      <c r="F414" s="100" t="s">
        <v>252</v>
      </c>
      <c r="G414" s="96" t="n">
        <v>7761</v>
      </c>
      <c r="H414" s="96" t="n">
        <v>5825</v>
      </c>
      <c r="I414" s="40" t="n">
        <f aca="false">G414-H414</f>
        <v>1936</v>
      </c>
      <c r="J414" s="68" t="str">
        <f aca="false">"S"&amp;TEXT(A414,"yyyymm")&amp;"-"&amp;UPPER(LEFT(E414,3))&amp;"-"&amp;UPPER(LEFT(F414,3))</f>
        <v>S202511-VIS-PAC</v>
      </c>
    </row>
    <row r="415" customFormat="false" ht="15" hidden="false" customHeight="false" outlineLevel="0" collapsed="false">
      <c r="A415" s="101" t="n">
        <v>45991</v>
      </c>
      <c r="B415" s="102" t="n">
        <f aca="false">YEAR(A415)</f>
        <v>2025</v>
      </c>
      <c r="C415" s="102" t="n">
        <f aca="false">MONTH(A415)</f>
        <v>11</v>
      </c>
      <c r="D415" s="68" t="str">
        <f aca="false">"Q"&amp;ROUNDUP(C415/3,0)</f>
        <v>Q4</v>
      </c>
      <c r="E415" s="100" t="s">
        <v>293</v>
      </c>
      <c r="F415" s="100" t="s">
        <v>252</v>
      </c>
      <c r="G415" s="96" t="n">
        <v>6859</v>
      </c>
      <c r="H415" s="96" t="n">
        <v>5134</v>
      </c>
      <c r="I415" s="40" t="n">
        <f aca="false">G415-H415</f>
        <v>1725</v>
      </c>
      <c r="J415" s="68" t="str">
        <f aca="false">"S"&amp;TEXT(A415,"yyyymm")&amp;"-"&amp;UPPER(LEFT(E415,3))&amp;"-"&amp;UPPER(LEFT(F415,3))</f>
        <v>S202511-MIN-PAC</v>
      </c>
    </row>
    <row r="416" customFormat="false" ht="15" hidden="false" customHeight="false" outlineLevel="0" collapsed="false">
      <c r="A416" s="101" t="n">
        <v>45991</v>
      </c>
      <c r="B416" s="102" t="n">
        <f aca="false">YEAR(A416)</f>
        <v>2025</v>
      </c>
      <c r="C416" s="102" t="n">
        <f aca="false">MONTH(A416)</f>
        <v>11</v>
      </c>
      <c r="D416" s="68" t="str">
        <f aca="false">"Q"&amp;ROUNDUP(C416/3,0)</f>
        <v>Q4</v>
      </c>
      <c r="E416" s="100" t="s">
        <v>291</v>
      </c>
      <c r="F416" s="100" t="s">
        <v>253</v>
      </c>
      <c r="G416" s="96" t="n">
        <v>14353</v>
      </c>
      <c r="H416" s="96" t="n">
        <v>10496</v>
      </c>
      <c r="I416" s="40" t="n">
        <f aca="false">G416-H416</f>
        <v>3857</v>
      </c>
      <c r="J416" s="68" t="str">
        <f aca="false">"S"&amp;TEXT(A416,"yyyymm")&amp;"-"&amp;UPPER(LEFT(E416,3))&amp;"-"&amp;UPPER(LEFT(F416,3))</f>
        <v>S202511-LUZ-BEV</v>
      </c>
    </row>
    <row r="417" customFormat="false" ht="15" hidden="false" customHeight="false" outlineLevel="0" collapsed="false">
      <c r="A417" s="101" t="n">
        <v>45991</v>
      </c>
      <c r="B417" s="102" t="n">
        <f aca="false">YEAR(A417)</f>
        <v>2025</v>
      </c>
      <c r="C417" s="102" t="n">
        <f aca="false">MONTH(A417)</f>
        <v>11</v>
      </c>
      <c r="D417" s="68" t="str">
        <f aca="false">"Q"&amp;ROUNDUP(C417/3,0)</f>
        <v>Q4</v>
      </c>
      <c r="E417" s="100" t="s">
        <v>292</v>
      </c>
      <c r="F417" s="100" t="s">
        <v>253</v>
      </c>
      <c r="G417" s="96" t="n">
        <v>5753</v>
      </c>
      <c r="H417" s="96" t="n">
        <v>4179</v>
      </c>
      <c r="I417" s="40" t="n">
        <f aca="false">G417-H417</f>
        <v>1574</v>
      </c>
      <c r="J417" s="68" t="str">
        <f aca="false">"S"&amp;TEXT(A417,"yyyymm")&amp;"-"&amp;UPPER(LEFT(E417,3))&amp;"-"&amp;UPPER(LEFT(F417,3))</f>
        <v>S202511-VIS-BEV</v>
      </c>
    </row>
    <row r="418" customFormat="false" ht="15" hidden="false" customHeight="false" outlineLevel="0" collapsed="false">
      <c r="A418" s="101" t="n">
        <v>45991</v>
      </c>
      <c r="B418" s="102" t="n">
        <f aca="false">YEAR(A418)</f>
        <v>2025</v>
      </c>
      <c r="C418" s="102" t="n">
        <f aca="false">MONTH(A418)</f>
        <v>11</v>
      </c>
      <c r="D418" s="68" t="str">
        <f aca="false">"Q"&amp;ROUNDUP(C418/3,0)</f>
        <v>Q4</v>
      </c>
      <c r="E418" s="100" t="s">
        <v>293</v>
      </c>
      <c r="F418" s="100" t="s">
        <v>253</v>
      </c>
      <c r="G418" s="96" t="n">
        <v>5056</v>
      </c>
      <c r="H418" s="96" t="n">
        <v>3702</v>
      </c>
      <c r="I418" s="40" t="n">
        <f aca="false">G418-H418</f>
        <v>1354</v>
      </c>
      <c r="J418" s="68" t="str">
        <f aca="false">"S"&amp;TEXT(A418,"yyyymm")&amp;"-"&amp;UPPER(LEFT(E418,3))&amp;"-"&amp;UPPER(LEFT(F418,3))</f>
        <v>S202511-MIN-BEV</v>
      </c>
    </row>
    <row r="419" customFormat="false" ht="15" hidden="false" customHeight="false" outlineLevel="0" collapsed="false">
      <c r="A419" s="101" t="n">
        <v>45991</v>
      </c>
      <c r="B419" s="102" t="n">
        <f aca="false">YEAR(A419)</f>
        <v>2025</v>
      </c>
      <c r="C419" s="102" t="n">
        <f aca="false">MONTH(A419)</f>
        <v>11</v>
      </c>
      <c r="D419" s="68" t="str">
        <f aca="false">"Q"&amp;ROUNDUP(C419/3,0)</f>
        <v>Q4</v>
      </c>
      <c r="E419" s="100" t="s">
        <v>291</v>
      </c>
      <c r="F419" s="100" t="s">
        <v>254</v>
      </c>
      <c r="G419" s="96" t="n">
        <v>8526</v>
      </c>
      <c r="H419" s="96" t="n">
        <v>6000</v>
      </c>
      <c r="I419" s="40" t="n">
        <f aca="false">G419-H419</f>
        <v>2526</v>
      </c>
      <c r="J419" s="68" t="str">
        <f aca="false">"S"&amp;TEXT(A419,"yyyymm")&amp;"-"&amp;UPPER(LEFT(E419,3))&amp;"-"&amp;UPPER(LEFT(F419,3))</f>
        <v>S202511-LUZ-HOU</v>
      </c>
    </row>
    <row r="420" customFormat="false" ht="15" hidden="false" customHeight="false" outlineLevel="0" collapsed="false">
      <c r="A420" s="101" t="n">
        <v>45991</v>
      </c>
      <c r="B420" s="102" t="n">
        <f aca="false">YEAR(A420)</f>
        <v>2025</v>
      </c>
      <c r="C420" s="102" t="n">
        <f aca="false">MONTH(A420)</f>
        <v>11</v>
      </c>
      <c r="D420" s="68" t="str">
        <f aca="false">"Q"&amp;ROUNDUP(C420/3,0)</f>
        <v>Q4</v>
      </c>
      <c r="E420" s="100" t="s">
        <v>292</v>
      </c>
      <c r="F420" s="100" t="s">
        <v>254</v>
      </c>
      <c r="G420" s="96" t="n">
        <v>3595</v>
      </c>
      <c r="H420" s="96" t="n">
        <v>2525</v>
      </c>
      <c r="I420" s="40" t="n">
        <f aca="false">G420-H420</f>
        <v>1070</v>
      </c>
      <c r="J420" s="68" t="str">
        <f aca="false">"S"&amp;TEXT(A420,"yyyymm")&amp;"-"&amp;UPPER(LEFT(E420,3))&amp;"-"&amp;UPPER(LEFT(F420,3))</f>
        <v>S202511-VIS-HOU</v>
      </c>
    </row>
    <row r="421" customFormat="false" ht="15" hidden="false" customHeight="false" outlineLevel="0" collapsed="false">
      <c r="A421" s="101" t="n">
        <v>45991</v>
      </c>
      <c r="B421" s="102" t="n">
        <f aca="false">YEAR(A421)</f>
        <v>2025</v>
      </c>
      <c r="C421" s="102" t="n">
        <f aca="false">MONTH(A421)</f>
        <v>11</v>
      </c>
      <c r="D421" s="68" t="str">
        <f aca="false">"Q"&amp;ROUNDUP(C421/3,0)</f>
        <v>Q4</v>
      </c>
      <c r="E421" s="100" t="s">
        <v>293</v>
      </c>
      <c r="F421" s="100" t="s">
        <v>254</v>
      </c>
      <c r="G421" s="96" t="n">
        <v>3119</v>
      </c>
      <c r="H421" s="96" t="n">
        <v>2183</v>
      </c>
      <c r="I421" s="40" t="n">
        <f aca="false">G421-H421</f>
        <v>936</v>
      </c>
      <c r="J421" s="68" t="str">
        <f aca="false">"S"&amp;TEXT(A421,"yyyymm")&amp;"-"&amp;UPPER(LEFT(E421,3))&amp;"-"&amp;UPPER(LEFT(F421,3))</f>
        <v>S202511-MIN-HOU</v>
      </c>
    </row>
    <row r="422" customFormat="false" ht="15" hidden="false" customHeight="false" outlineLevel="0" collapsed="false">
      <c r="A422" s="101" t="n">
        <v>45991</v>
      </c>
      <c r="B422" s="102" t="n">
        <f aca="false">YEAR(A422)</f>
        <v>2025</v>
      </c>
      <c r="C422" s="102" t="n">
        <f aca="false">MONTH(A422)</f>
        <v>11</v>
      </c>
      <c r="D422" s="68" t="str">
        <f aca="false">"Q"&amp;ROUNDUP(C422/3,0)</f>
        <v>Q4</v>
      </c>
      <c r="E422" s="100" t="s">
        <v>291</v>
      </c>
      <c r="F422" s="100" t="s">
        <v>255</v>
      </c>
      <c r="G422" s="96" t="n">
        <v>6364</v>
      </c>
      <c r="H422" s="96" t="n">
        <v>5166</v>
      </c>
      <c r="I422" s="40" t="n">
        <f aca="false">G422-H422</f>
        <v>1198</v>
      </c>
      <c r="J422" s="68" t="str">
        <f aca="false">"S"&amp;TEXT(A422,"yyyymm")&amp;"-"&amp;UPPER(LEFT(E422,3))&amp;"-"&amp;UPPER(LEFT(F422,3))</f>
        <v>S202511-LUZ-FRE</v>
      </c>
    </row>
    <row r="423" customFormat="false" ht="15" hidden="false" customHeight="false" outlineLevel="0" collapsed="false">
      <c r="A423" s="101" t="n">
        <v>45991</v>
      </c>
      <c r="B423" s="102" t="n">
        <f aca="false">YEAR(A423)</f>
        <v>2025</v>
      </c>
      <c r="C423" s="102" t="n">
        <f aca="false">MONTH(A423)</f>
        <v>11</v>
      </c>
      <c r="D423" s="68" t="str">
        <f aca="false">"Q"&amp;ROUNDUP(C423/3,0)</f>
        <v>Q4</v>
      </c>
      <c r="E423" s="100" t="s">
        <v>292</v>
      </c>
      <c r="F423" s="100" t="s">
        <v>255</v>
      </c>
      <c r="G423" s="96" t="n">
        <v>2511</v>
      </c>
      <c r="H423" s="96" t="n">
        <v>2034</v>
      </c>
      <c r="I423" s="40" t="n">
        <f aca="false">G423-H423</f>
        <v>477</v>
      </c>
      <c r="J423" s="68" t="str">
        <f aca="false">"S"&amp;TEXT(A423,"yyyymm")&amp;"-"&amp;UPPER(LEFT(E423,3))&amp;"-"&amp;UPPER(LEFT(F423,3))</f>
        <v>S202511-VIS-FRE</v>
      </c>
    </row>
    <row r="424" customFormat="false" ht="15" hidden="false" customHeight="false" outlineLevel="0" collapsed="false">
      <c r="A424" s="101" t="n">
        <v>45991</v>
      </c>
      <c r="B424" s="102" t="n">
        <f aca="false">YEAR(A424)</f>
        <v>2025</v>
      </c>
      <c r="C424" s="102" t="n">
        <f aca="false">MONTH(A424)</f>
        <v>11</v>
      </c>
      <c r="D424" s="68" t="str">
        <f aca="false">"Q"&amp;ROUNDUP(C424/3,0)</f>
        <v>Q4</v>
      </c>
      <c r="E424" s="100" t="s">
        <v>293</v>
      </c>
      <c r="F424" s="100" t="s">
        <v>255</v>
      </c>
      <c r="G424" s="96" t="n">
        <v>2156</v>
      </c>
      <c r="H424" s="96" t="n">
        <v>1736</v>
      </c>
      <c r="I424" s="40" t="n">
        <f aca="false">G424-H424</f>
        <v>420</v>
      </c>
      <c r="J424" s="68" t="str">
        <f aca="false">"S"&amp;TEXT(A424,"yyyymm")&amp;"-"&amp;UPPER(LEFT(E424,3))&amp;"-"&amp;UPPER(LEFT(F424,3))</f>
        <v>S202511-MIN-FRE</v>
      </c>
    </row>
    <row r="425" customFormat="false" ht="15" hidden="false" customHeight="false" outlineLevel="0" collapsed="false">
      <c r="A425" s="101" t="n">
        <v>46022</v>
      </c>
      <c r="B425" s="102" t="n">
        <f aca="false">YEAR(A425)</f>
        <v>2025</v>
      </c>
      <c r="C425" s="102" t="n">
        <f aca="false">MONTH(A425)</f>
        <v>12</v>
      </c>
      <c r="D425" s="68" t="str">
        <f aca="false">"Q"&amp;ROUNDUP(C425/3,0)</f>
        <v>Q4</v>
      </c>
      <c r="E425" s="100" t="s">
        <v>291</v>
      </c>
      <c r="F425" s="100" t="s">
        <v>252</v>
      </c>
      <c r="G425" s="96" t="n">
        <v>21359</v>
      </c>
      <c r="H425" s="96" t="n">
        <v>16109</v>
      </c>
      <c r="I425" s="40" t="n">
        <f aca="false">G425-H425</f>
        <v>5250</v>
      </c>
      <c r="J425" s="68" t="str">
        <f aca="false">"S"&amp;TEXT(A425,"yyyymm")&amp;"-"&amp;UPPER(LEFT(E425,3))&amp;"-"&amp;UPPER(LEFT(F425,3))</f>
        <v>S202512-LUZ-PAC</v>
      </c>
    </row>
    <row r="426" customFormat="false" ht="15" hidden="false" customHeight="false" outlineLevel="0" collapsed="false">
      <c r="A426" s="101" t="n">
        <v>46022</v>
      </c>
      <c r="B426" s="102" t="n">
        <f aca="false">YEAR(A426)</f>
        <v>2025</v>
      </c>
      <c r="C426" s="102" t="n">
        <f aca="false">MONTH(A426)</f>
        <v>12</v>
      </c>
      <c r="D426" s="68" t="str">
        <f aca="false">"Q"&amp;ROUNDUP(C426/3,0)</f>
        <v>Q4</v>
      </c>
      <c r="E426" s="100" t="s">
        <v>292</v>
      </c>
      <c r="F426" s="100" t="s">
        <v>252</v>
      </c>
      <c r="G426" s="96" t="n">
        <v>8680</v>
      </c>
      <c r="H426" s="96" t="n">
        <v>6504</v>
      </c>
      <c r="I426" s="40" t="n">
        <f aca="false">G426-H426</f>
        <v>2176</v>
      </c>
      <c r="J426" s="68" t="str">
        <f aca="false">"S"&amp;TEXT(A426,"yyyymm")&amp;"-"&amp;UPPER(LEFT(E426,3))&amp;"-"&amp;UPPER(LEFT(F426,3))</f>
        <v>S202512-VIS-PAC</v>
      </c>
    </row>
    <row r="427" customFormat="false" ht="15" hidden="false" customHeight="false" outlineLevel="0" collapsed="false">
      <c r="A427" s="101" t="n">
        <v>46022</v>
      </c>
      <c r="B427" s="102" t="n">
        <f aca="false">YEAR(A427)</f>
        <v>2025</v>
      </c>
      <c r="C427" s="102" t="n">
        <f aca="false">MONTH(A427)</f>
        <v>12</v>
      </c>
      <c r="D427" s="68" t="str">
        <f aca="false">"Q"&amp;ROUNDUP(C427/3,0)</f>
        <v>Q4</v>
      </c>
      <c r="E427" s="100" t="s">
        <v>293</v>
      </c>
      <c r="F427" s="100" t="s">
        <v>252</v>
      </c>
      <c r="G427" s="96" t="n">
        <v>7579</v>
      </c>
      <c r="H427" s="96" t="n">
        <v>5685</v>
      </c>
      <c r="I427" s="40" t="n">
        <f aca="false">G427-H427</f>
        <v>1894</v>
      </c>
      <c r="J427" s="68" t="str">
        <f aca="false">"S"&amp;TEXT(A427,"yyyymm")&amp;"-"&amp;UPPER(LEFT(E427,3))&amp;"-"&amp;UPPER(LEFT(F427,3))</f>
        <v>S202512-MIN-PAC</v>
      </c>
    </row>
    <row r="428" customFormat="false" ht="15" hidden="false" customHeight="false" outlineLevel="0" collapsed="false">
      <c r="A428" s="101" t="n">
        <v>46022</v>
      </c>
      <c r="B428" s="102" t="n">
        <f aca="false">YEAR(A428)</f>
        <v>2025</v>
      </c>
      <c r="C428" s="102" t="n">
        <f aca="false">MONTH(A428)</f>
        <v>12</v>
      </c>
      <c r="D428" s="68" t="str">
        <f aca="false">"Q"&amp;ROUNDUP(C428/3,0)</f>
        <v>Q4</v>
      </c>
      <c r="E428" s="100" t="s">
        <v>291</v>
      </c>
      <c r="F428" s="100" t="s">
        <v>253</v>
      </c>
      <c r="G428" s="96" t="n">
        <v>15875</v>
      </c>
      <c r="H428" s="96" t="n">
        <v>11622</v>
      </c>
      <c r="I428" s="40" t="n">
        <f aca="false">G428-H428</f>
        <v>4253</v>
      </c>
      <c r="J428" s="68" t="str">
        <f aca="false">"S"&amp;TEXT(A428,"yyyymm")&amp;"-"&amp;UPPER(LEFT(E428,3))&amp;"-"&amp;UPPER(LEFT(F428,3))</f>
        <v>S202512-LUZ-BEV</v>
      </c>
    </row>
    <row r="429" customFormat="false" ht="15" hidden="false" customHeight="false" outlineLevel="0" collapsed="false">
      <c r="A429" s="101" t="n">
        <v>46022</v>
      </c>
      <c r="B429" s="102" t="n">
        <f aca="false">YEAR(A429)</f>
        <v>2025</v>
      </c>
      <c r="C429" s="102" t="n">
        <f aca="false">MONTH(A429)</f>
        <v>12</v>
      </c>
      <c r="D429" s="68" t="str">
        <f aca="false">"Q"&amp;ROUNDUP(C429/3,0)</f>
        <v>Q4</v>
      </c>
      <c r="E429" s="100" t="s">
        <v>292</v>
      </c>
      <c r="F429" s="100" t="s">
        <v>253</v>
      </c>
      <c r="G429" s="96" t="n">
        <v>6497</v>
      </c>
      <c r="H429" s="96" t="n">
        <v>4751</v>
      </c>
      <c r="I429" s="40" t="n">
        <f aca="false">G429-H429</f>
        <v>1746</v>
      </c>
      <c r="J429" s="68" t="str">
        <f aca="false">"S"&amp;TEXT(A429,"yyyymm")&amp;"-"&amp;UPPER(LEFT(E429,3))&amp;"-"&amp;UPPER(LEFT(F429,3))</f>
        <v>S202512-VIS-BEV</v>
      </c>
    </row>
    <row r="430" customFormat="false" ht="15" hidden="false" customHeight="false" outlineLevel="0" collapsed="false">
      <c r="A430" s="101" t="n">
        <v>46022</v>
      </c>
      <c r="B430" s="102" t="n">
        <f aca="false">YEAR(A430)</f>
        <v>2025</v>
      </c>
      <c r="C430" s="102" t="n">
        <f aca="false">MONTH(A430)</f>
        <v>12</v>
      </c>
      <c r="D430" s="68" t="str">
        <f aca="false">"Q"&amp;ROUNDUP(C430/3,0)</f>
        <v>Q4</v>
      </c>
      <c r="E430" s="100" t="s">
        <v>293</v>
      </c>
      <c r="F430" s="100" t="s">
        <v>253</v>
      </c>
      <c r="G430" s="96" t="n">
        <v>5530</v>
      </c>
      <c r="H430" s="96" t="n">
        <v>4031</v>
      </c>
      <c r="I430" s="40" t="n">
        <f aca="false">G430-H430</f>
        <v>1499</v>
      </c>
      <c r="J430" s="68" t="str">
        <f aca="false">"S"&amp;TEXT(A430,"yyyymm")&amp;"-"&amp;UPPER(LEFT(E430,3))&amp;"-"&amp;UPPER(LEFT(F430,3))</f>
        <v>S202512-MIN-BEV</v>
      </c>
    </row>
    <row r="431" customFormat="false" ht="15" hidden="false" customHeight="false" outlineLevel="0" collapsed="false">
      <c r="A431" s="101" t="n">
        <v>46022</v>
      </c>
      <c r="B431" s="102" t="n">
        <f aca="false">YEAR(A431)</f>
        <v>2025</v>
      </c>
      <c r="C431" s="102" t="n">
        <f aca="false">MONTH(A431)</f>
        <v>12</v>
      </c>
      <c r="D431" s="68" t="str">
        <f aca="false">"Q"&amp;ROUNDUP(C431/3,0)</f>
        <v>Q4</v>
      </c>
      <c r="E431" s="100" t="s">
        <v>291</v>
      </c>
      <c r="F431" s="100" t="s">
        <v>254</v>
      </c>
      <c r="G431" s="96" t="n">
        <v>9452</v>
      </c>
      <c r="H431" s="96" t="n">
        <v>6601</v>
      </c>
      <c r="I431" s="40" t="n">
        <f aca="false">G431-H431</f>
        <v>2851</v>
      </c>
      <c r="J431" s="68" t="str">
        <f aca="false">"S"&amp;TEXT(A431,"yyyymm")&amp;"-"&amp;UPPER(LEFT(E431,3))&amp;"-"&amp;UPPER(LEFT(F431,3))</f>
        <v>S202512-LUZ-HOU</v>
      </c>
    </row>
    <row r="432" customFormat="false" ht="15" hidden="false" customHeight="false" outlineLevel="0" collapsed="false">
      <c r="A432" s="101" t="n">
        <v>46022</v>
      </c>
      <c r="B432" s="102" t="n">
        <f aca="false">YEAR(A432)</f>
        <v>2025</v>
      </c>
      <c r="C432" s="102" t="n">
        <f aca="false">MONTH(A432)</f>
        <v>12</v>
      </c>
      <c r="D432" s="68" t="str">
        <f aca="false">"Q"&amp;ROUNDUP(C432/3,0)</f>
        <v>Q4</v>
      </c>
      <c r="E432" s="100" t="s">
        <v>292</v>
      </c>
      <c r="F432" s="100" t="s">
        <v>254</v>
      </c>
      <c r="G432" s="96" t="n">
        <v>3914</v>
      </c>
      <c r="H432" s="96" t="n">
        <v>2746</v>
      </c>
      <c r="I432" s="40" t="n">
        <f aca="false">G432-H432</f>
        <v>1168</v>
      </c>
      <c r="J432" s="68" t="str">
        <f aca="false">"S"&amp;TEXT(A432,"yyyymm")&amp;"-"&amp;UPPER(LEFT(E432,3))&amp;"-"&amp;UPPER(LEFT(F432,3))</f>
        <v>S202512-VIS-HOU</v>
      </c>
    </row>
    <row r="433" customFormat="false" ht="15" hidden="false" customHeight="false" outlineLevel="0" collapsed="false">
      <c r="A433" s="101" t="n">
        <v>46022</v>
      </c>
      <c r="B433" s="102" t="n">
        <f aca="false">YEAR(A433)</f>
        <v>2025</v>
      </c>
      <c r="C433" s="102" t="n">
        <f aca="false">MONTH(A433)</f>
        <v>12</v>
      </c>
      <c r="D433" s="68" t="str">
        <f aca="false">"Q"&amp;ROUNDUP(C433/3,0)</f>
        <v>Q4</v>
      </c>
      <c r="E433" s="100" t="s">
        <v>293</v>
      </c>
      <c r="F433" s="100" t="s">
        <v>254</v>
      </c>
      <c r="G433" s="96" t="n">
        <v>3382</v>
      </c>
      <c r="H433" s="96" t="n">
        <v>2362</v>
      </c>
      <c r="I433" s="40" t="n">
        <f aca="false">G433-H433</f>
        <v>1020</v>
      </c>
      <c r="J433" s="68" t="str">
        <f aca="false">"S"&amp;TEXT(A433,"yyyymm")&amp;"-"&amp;UPPER(LEFT(E433,3))&amp;"-"&amp;UPPER(LEFT(F433,3))</f>
        <v>S202512-MIN-HOU</v>
      </c>
    </row>
    <row r="434" customFormat="false" ht="15" hidden="false" customHeight="false" outlineLevel="0" collapsed="false">
      <c r="A434" s="101" t="n">
        <v>46022</v>
      </c>
      <c r="B434" s="102" t="n">
        <f aca="false">YEAR(A434)</f>
        <v>2025</v>
      </c>
      <c r="C434" s="102" t="n">
        <f aca="false">MONTH(A434)</f>
        <v>12</v>
      </c>
      <c r="D434" s="68" t="str">
        <f aca="false">"Q"&amp;ROUNDUP(C434/3,0)</f>
        <v>Q4</v>
      </c>
      <c r="E434" s="100" t="s">
        <v>291</v>
      </c>
      <c r="F434" s="100" t="s">
        <v>255</v>
      </c>
      <c r="G434" s="96" t="n">
        <v>6634</v>
      </c>
      <c r="H434" s="96" t="n">
        <v>5404</v>
      </c>
      <c r="I434" s="40" t="n">
        <f aca="false">G434-H434</f>
        <v>1230</v>
      </c>
      <c r="J434" s="68" t="str">
        <f aca="false">"S"&amp;TEXT(A434,"yyyymm")&amp;"-"&amp;UPPER(LEFT(E434,3))&amp;"-"&amp;UPPER(LEFT(F434,3))</f>
        <v>S202512-LUZ-FRE</v>
      </c>
    </row>
    <row r="435" customFormat="false" ht="15" hidden="false" customHeight="false" outlineLevel="0" collapsed="false">
      <c r="A435" s="101" t="n">
        <v>46022</v>
      </c>
      <c r="B435" s="102" t="n">
        <f aca="false">YEAR(A435)</f>
        <v>2025</v>
      </c>
      <c r="C435" s="102" t="n">
        <f aca="false">MONTH(A435)</f>
        <v>12</v>
      </c>
      <c r="D435" s="68" t="str">
        <f aca="false">"Q"&amp;ROUNDUP(C435/3,0)</f>
        <v>Q4</v>
      </c>
      <c r="E435" s="100" t="s">
        <v>292</v>
      </c>
      <c r="F435" s="100" t="s">
        <v>255</v>
      </c>
      <c r="G435" s="96" t="n">
        <v>2647</v>
      </c>
      <c r="H435" s="96" t="n">
        <v>2150</v>
      </c>
      <c r="I435" s="40" t="n">
        <f aca="false">G435-H435</f>
        <v>497</v>
      </c>
      <c r="J435" s="68" t="str">
        <f aca="false">"S"&amp;TEXT(A435,"yyyymm")&amp;"-"&amp;UPPER(LEFT(E435,3))&amp;"-"&amp;UPPER(LEFT(F435,3))</f>
        <v>S202512-VIS-FRE</v>
      </c>
    </row>
    <row r="436" customFormat="false" ht="15" hidden="false" customHeight="false" outlineLevel="0" collapsed="false">
      <c r="A436" s="101" t="n">
        <v>46022</v>
      </c>
      <c r="B436" s="102" t="n">
        <f aca="false">YEAR(A436)</f>
        <v>2025</v>
      </c>
      <c r="C436" s="102" t="n">
        <f aca="false">MONTH(A436)</f>
        <v>12</v>
      </c>
      <c r="D436" s="68" t="str">
        <f aca="false">"Q"&amp;ROUNDUP(C436/3,0)</f>
        <v>Q4</v>
      </c>
      <c r="E436" s="100" t="s">
        <v>293</v>
      </c>
      <c r="F436" s="100" t="s">
        <v>255</v>
      </c>
      <c r="G436" s="96" t="n">
        <v>2353</v>
      </c>
      <c r="H436" s="96" t="n">
        <v>1908</v>
      </c>
      <c r="I436" s="40" t="n">
        <f aca="false">G436-H436</f>
        <v>445</v>
      </c>
      <c r="J436" s="68" t="str">
        <f aca="false">"S"&amp;TEXT(A436,"yyyymm")&amp;"-"&amp;UPPER(LEFT(E436,3))&amp;"-"&amp;UPPER(LEFT(F436,3))</f>
        <v>S202512-MIN-FRE</v>
      </c>
    </row>
  </sheetData>
  <autoFilter ref="A4:J43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A1:H4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8"/>
    <col collapsed="false" customWidth="true" hidden="false" outlineLevel="0" max="4" min="4" style="0" width="36"/>
    <col collapsed="false" customWidth="true" hidden="false" outlineLevel="0" max="5" min="5" style="0" width="26"/>
    <col collapsed="false" customWidth="true" hidden="false" outlineLevel="0" max="6" min="6" style="0" width="12"/>
    <col collapsed="false" customWidth="true" hidden="false" outlineLevel="0" max="7" min="7" style="0" width="14"/>
    <col collapsed="false" customWidth="true" hidden="false" outlineLevel="0" max="8" min="8" style="0" width="18"/>
  </cols>
  <sheetData>
    <row r="1" customFormat="false" ht="24" hidden="false" customHeight="true" outlineLevel="0" collapsed="false">
      <c r="B1" s="17" t="s">
        <v>661</v>
      </c>
    </row>
    <row r="2" customFormat="false" ht="15" hidden="false" customHeight="false" outlineLevel="0" collapsed="false">
      <c r="B2" s="18" t="s">
        <v>662</v>
      </c>
    </row>
    <row r="3" customFormat="false" ht="15" hidden="false" customHeight="false" outlineLevel="0" collapsed="false">
      <c r="B3" s="19" t="str">
        <f aca="false">HYPERLINK("#Cover!A1","◄ Back to Cover")</f>
        <v>◄ Back to Cover</v>
      </c>
      <c r="F3" s="28" t="s">
        <v>658</v>
      </c>
      <c r="G3" s="37" t="n">
        <f aca="false">SUBTOTAL(109,G5:G472)</f>
        <v>482562</v>
      </c>
    </row>
    <row r="4" customFormat="false" ht="24" hidden="false" customHeight="true" outlineLevel="0" collapsed="false">
      <c r="A4" s="49" t="s">
        <v>415</v>
      </c>
      <c r="B4" s="36" t="s">
        <v>659</v>
      </c>
      <c r="C4" s="36" t="s">
        <v>414</v>
      </c>
      <c r="D4" s="36" t="s">
        <v>450</v>
      </c>
      <c r="E4" s="36" t="s">
        <v>649</v>
      </c>
      <c r="F4" s="36" t="s">
        <v>452</v>
      </c>
      <c r="G4" s="36" t="s">
        <v>663</v>
      </c>
      <c r="H4" s="36" t="s">
        <v>660</v>
      </c>
    </row>
    <row r="5" customFormat="false" ht="15" hidden="false" customHeight="false" outlineLevel="0" collapsed="false">
      <c r="A5" s="101" t="n">
        <v>44957</v>
      </c>
      <c r="B5" s="102" t="n">
        <f aca="false">YEAR(A5)</f>
        <v>2023</v>
      </c>
      <c r="C5" s="102" t="n">
        <f aca="false">MONTH(A5)</f>
        <v>1</v>
      </c>
      <c r="D5" s="100" t="s">
        <v>297</v>
      </c>
      <c r="E5" s="68" t="str">
        <f aca="false">VLOOKUP(D5,Map_Table,3,FALSE())</f>
        <v>Selling &amp; Distribution</v>
      </c>
      <c r="F5" s="68" t="str">
        <f aca="false">VLOOKUP(D5,Map_Table,4,FALSE())</f>
        <v>Variable</v>
      </c>
      <c r="G5" s="96" t="n">
        <v>981</v>
      </c>
      <c r="H5" s="68" t="str">
        <f aca="false">"E"&amp;TEXT(A5,"yyyymm")&amp;"-"&amp;TEXT(VLOOKUP(D5,Map_Table,2,FALSE()),"0")</f>
        <v>E202301-6101</v>
      </c>
    </row>
    <row r="6" customFormat="false" ht="15" hidden="false" customHeight="false" outlineLevel="0" collapsed="false">
      <c r="A6" s="101" t="n">
        <v>44957</v>
      </c>
      <c r="B6" s="102" t="n">
        <f aca="false">YEAR(A6)</f>
        <v>2023</v>
      </c>
      <c r="C6" s="102" t="n">
        <f aca="false">MONTH(A6)</f>
        <v>1</v>
      </c>
      <c r="D6" s="100" t="s">
        <v>298</v>
      </c>
      <c r="E6" s="68" t="str">
        <f aca="false">VLOOKUP(D6,Map_Table,3,FALSE())</f>
        <v>Selling &amp; Distribution</v>
      </c>
      <c r="F6" s="68" t="str">
        <f aca="false">VLOOKUP(D6,Map_Table,4,FALSE())</f>
        <v>Variable</v>
      </c>
      <c r="G6" s="96" t="n">
        <v>559</v>
      </c>
      <c r="H6" s="68" t="str">
        <f aca="false">"E"&amp;TEXT(A6,"yyyymm")&amp;"-"&amp;TEXT(VLOOKUP(D6,Map_Table,2,FALSE()),"0")</f>
        <v>E202301-6102</v>
      </c>
    </row>
    <row r="7" customFormat="false" ht="15" hidden="false" customHeight="false" outlineLevel="0" collapsed="false">
      <c r="A7" s="101" t="n">
        <v>44957</v>
      </c>
      <c r="B7" s="102" t="n">
        <f aca="false">YEAR(A7)</f>
        <v>2023</v>
      </c>
      <c r="C7" s="102" t="n">
        <f aca="false">MONTH(A7)</f>
        <v>1</v>
      </c>
      <c r="D7" s="100" t="s">
        <v>299</v>
      </c>
      <c r="E7" s="68" t="str">
        <f aca="false">VLOOKUP(D7,Map_Table,3,FALSE())</f>
        <v>Selling &amp; Distribution</v>
      </c>
      <c r="F7" s="68" t="str">
        <f aca="false">VLOOKUP(D7,Map_Table,4,FALSE())</f>
        <v>Variable</v>
      </c>
      <c r="G7" s="96" t="n">
        <v>1534</v>
      </c>
      <c r="H7" s="68" t="str">
        <f aca="false">"E"&amp;TEXT(A7,"yyyymm")&amp;"-"&amp;TEXT(VLOOKUP(D7,Map_Table,2,FALSE()),"0")</f>
        <v>E202301-6103</v>
      </c>
    </row>
    <row r="8" customFormat="false" ht="15" hidden="false" customHeight="false" outlineLevel="0" collapsed="false">
      <c r="A8" s="101" t="n">
        <v>44957</v>
      </c>
      <c r="B8" s="102" t="n">
        <f aca="false">YEAR(A8)</f>
        <v>2023</v>
      </c>
      <c r="C8" s="102" t="n">
        <f aca="false">MONTH(A8)</f>
        <v>1</v>
      </c>
      <c r="D8" s="100" t="s">
        <v>300</v>
      </c>
      <c r="E8" s="68" t="str">
        <f aca="false">VLOOKUP(D8,Map_Table,3,FALSE())</f>
        <v>Selling &amp; Distribution</v>
      </c>
      <c r="F8" s="68" t="str">
        <f aca="false">VLOOKUP(D8,Map_Table,4,FALSE())</f>
        <v>Fixed</v>
      </c>
      <c r="G8" s="96" t="n">
        <v>1908</v>
      </c>
      <c r="H8" s="68" t="str">
        <f aca="false">"E"&amp;TEXT(A8,"yyyymm")&amp;"-"&amp;TEXT(VLOOKUP(D8,Map_Table,2,FALSE()),"0")</f>
        <v>E202301-6104</v>
      </c>
    </row>
    <row r="9" customFormat="false" ht="15" hidden="false" customHeight="false" outlineLevel="0" collapsed="false">
      <c r="A9" s="101" t="n">
        <v>44957</v>
      </c>
      <c r="B9" s="102" t="n">
        <f aca="false">YEAR(A9)</f>
        <v>2023</v>
      </c>
      <c r="C9" s="102" t="n">
        <f aca="false">MONTH(A9)</f>
        <v>1</v>
      </c>
      <c r="D9" s="100" t="s">
        <v>301</v>
      </c>
      <c r="E9" s="68" t="str">
        <f aca="false">VLOOKUP(D9,Map_Table,3,FALSE())</f>
        <v>Selling &amp; Distribution</v>
      </c>
      <c r="F9" s="68" t="str">
        <f aca="false">VLOOKUP(D9,Map_Table,4,FALSE())</f>
        <v>Fixed</v>
      </c>
      <c r="G9" s="96" t="n">
        <v>2500</v>
      </c>
      <c r="H9" s="68" t="str">
        <f aca="false">"E"&amp;TEXT(A9,"yyyymm")&amp;"-"&amp;TEXT(VLOOKUP(D9,Map_Table,2,FALSE()),"0")</f>
        <v>E202301-6105</v>
      </c>
    </row>
    <row r="10" customFormat="false" ht="15" hidden="false" customHeight="false" outlineLevel="0" collapsed="false">
      <c r="A10" s="101" t="n">
        <v>44957</v>
      </c>
      <c r="B10" s="102" t="n">
        <f aca="false">YEAR(A10)</f>
        <v>2023</v>
      </c>
      <c r="C10" s="102" t="n">
        <f aca="false">MONTH(A10)</f>
        <v>1</v>
      </c>
      <c r="D10" s="100" t="s">
        <v>302</v>
      </c>
      <c r="E10" s="68" t="str">
        <f aca="false">VLOOKUP(D10,Map_Table,3,FALSE())</f>
        <v>General &amp; Administrative</v>
      </c>
      <c r="F10" s="68" t="str">
        <f aca="false">VLOOKUP(D10,Map_Table,4,FALSE())</f>
        <v>Fixed</v>
      </c>
      <c r="G10" s="96" t="n">
        <v>2315</v>
      </c>
      <c r="H10" s="68" t="str">
        <f aca="false">"E"&amp;TEXT(A10,"yyyymm")&amp;"-"&amp;TEXT(VLOOKUP(D10,Map_Table,2,FALSE()),"0")</f>
        <v>E202301-6201</v>
      </c>
    </row>
    <row r="11" customFormat="false" ht="15" hidden="false" customHeight="false" outlineLevel="0" collapsed="false">
      <c r="A11" s="101" t="n">
        <v>44957</v>
      </c>
      <c r="B11" s="102" t="n">
        <f aca="false">YEAR(A11)</f>
        <v>2023</v>
      </c>
      <c r="C11" s="102" t="n">
        <f aca="false">MONTH(A11)</f>
        <v>1</v>
      </c>
      <c r="D11" s="100" t="s">
        <v>303</v>
      </c>
      <c r="E11" s="68" t="str">
        <f aca="false">VLOOKUP(D11,Map_Table,3,FALSE())</f>
        <v>General &amp; Administrative</v>
      </c>
      <c r="F11" s="68" t="str">
        <f aca="false">VLOOKUP(D11,Map_Table,4,FALSE())</f>
        <v>Fixed</v>
      </c>
      <c r="G11" s="96" t="n">
        <v>610</v>
      </c>
      <c r="H11" s="68" t="str">
        <f aca="false">"E"&amp;TEXT(A11,"yyyymm")&amp;"-"&amp;TEXT(VLOOKUP(D11,Map_Table,2,FALSE()),"0")</f>
        <v>E202301-6202</v>
      </c>
    </row>
    <row r="12" customFormat="false" ht="15" hidden="false" customHeight="false" outlineLevel="0" collapsed="false">
      <c r="A12" s="101" t="n">
        <v>44957</v>
      </c>
      <c r="B12" s="102" t="n">
        <f aca="false">YEAR(A12)</f>
        <v>2023</v>
      </c>
      <c r="C12" s="102" t="n">
        <f aca="false">MONTH(A12)</f>
        <v>1</v>
      </c>
      <c r="D12" s="100" t="s">
        <v>304</v>
      </c>
      <c r="E12" s="68" t="str">
        <f aca="false">VLOOKUP(D12,Map_Table,3,FALSE())</f>
        <v>General &amp; Administrative</v>
      </c>
      <c r="F12" s="68" t="str">
        <f aca="false">VLOOKUP(D12,Map_Table,4,FALSE())</f>
        <v>Fixed</v>
      </c>
      <c r="G12" s="96" t="n">
        <v>296</v>
      </c>
      <c r="H12" s="68" t="str">
        <f aca="false">"E"&amp;TEXT(A12,"yyyymm")&amp;"-"&amp;TEXT(VLOOKUP(D12,Map_Table,2,FALSE()),"0")</f>
        <v>E202301-6203</v>
      </c>
    </row>
    <row r="13" customFormat="false" ht="15" hidden="false" customHeight="false" outlineLevel="0" collapsed="false">
      <c r="A13" s="101" t="n">
        <v>44957</v>
      </c>
      <c r="B13" s="102" t="n">
        <f aca="false">YEAR(A13)</f>
        <v>2023</v>
      </c>
      <c r="C13" s="102" t="n">
        <f aca="false">MONTH(A13)</f>
        <v>1</v>
      </c>
      <c r="D13" s="100" t="s">
        <v>305</v>
      </c>
      <c r="E13" s="68" t="str">
        <f aca="false">VLOOKUP(D13,Map_Table,3,FALSE())</f>
        <v>General &amp; Administrative</v>
      </c>
      <c r="F13" s="68" t="str">
        <f aca="false">VLOOKUP(D13,Map_Table,4,FALSE())</f>
        <v>Fixed</v>
      </c>
      <c r="G13" s="96" t="n">
        <v>522</v>
      </c>
      <c r="H13" s="68" t="str">
        <f aca="false">"E"&amp;TEXT(A13,"yyyymm")&amp;"-"&amp;TEXT(VLOOKUP(D13,Map_Table,2,FALSE()),"0")</f>
        <v>E202301-6204</v>
      </c>
    </row>
    <row r="14" customFormat="false" ht="15" hidden="false" customHeight="false" outlineLevel="0" collapsed="false">
      <c r="A14" s="101" t="n">
        <v>44957</v>
      </c>
      <c r="B14" s="102" t="n">
        <f aca="false">YEAR(A14)</f>
        <v>2023</v>
      </c>
      <c r="C14" s="102" t="n">
        <f aca="false">MONTH(A14)</f>
        <v>1</v>
      </c>
      <c r="D14" s="100" t="s">
        <v>306</v>
      </c>
      <c r="E14" s="68" t="str">
        <f aca="false">VLOOKUP(D14,Map_Table,3,FALSE())</f>
        <v>General &amp; Administrative</v>
      </c>
      <c r="F14" s="68" t="str">
        <f aca="false">VLOOKUP(D14,Map_Table,4,FALSE())</f>
        <v>Fixed</v>
      </c>
      <c r="G14" s="96" t="n">
        <v>204</v>
      </c>
      <c r="H14" s="68" t="str">
        <f aca="false">"E"&amp;TEXT(A14,"yyyymm")&amp;"-"&amp;TEXT(VLOOKUP(D14,Map_Table,2,FALSE()),"0")</f>
        <v>E202301-6205</v>
      </c>
    </row>
    <row r="15" customFormat="false" ht="15" hidden="false" customHeight="false" outlineLevel="0" collapsed="false">
      <c r="A15" s="101" t="n">
        <v>44957</v>
      </c>
      <c r="B15" s="102" t="n">
        <f aca="false">YEAR(A15)</f>
        <v>2023</v>
      </c>
      <c r="C15" s="102" t="n">
        <f aca="false">MONTH(A15)</f>
        <v>1</v>
      </c>
      <c r="D15" s="100" t="s">
        <v>307</v>
      </c>
      <c r="E15" s="68" t="str">
        <f aca="false">VLOOKUP(D15,Map_Table,3,FALSE())</f>
        <v>General &amp; Administrative</v>
      </c>
      <c r="F15" s="68" t="str">
        <f aca="false">VLOOKUP(D15,Map_Table,4,FALSE())</f>
        <v>Fixed</v>
      </c>
      <c r="G15" s="96" t="n">
        <v>416</v>
      </c>
      <c r="H15" s="68" t="str">
        <f aca="false">"E"&amp;TEXT(A15,"yyyymm")&amp;"-"&amp;TEXT(VLOOKUP(D15,Map_Table,2,FALSE()),"0")</f>
        <v>E202301-6206</v>
      </c>
    </row>
    <row r="16" customFormat="false" ht="15" hidden="false" customHeight="false" outlineLevel="0" collapsed="false">
      <c r="A16" s="101" t="n">
        <v>44957</v>
      </c>
      <c r="B16" s="102" t="n">
        <f aca="false">YEAR(A16)</f>
        <v>2023</v>
      </c>
      <c r="C16" s="102" t="n">
        <f aca="false">MONTH(A16)</f>
        <v>1</v>
      </c>
      <c r="D16" s="100" t="s">
        <v>308</v>
      </c>
      <c r="E16" s="68" t="str">
        <f aca="false">VLOOKUP(D16,Map_Table,3,FALSE())</f>
        <v>General &amp; Administrative</v>
      </c>
      <c r="F16" s="68" t="str">
        <f aca="false">VLOOKUP(D16,Map_Table,4,FALSE())</f>
        <v>Fixed</v>
      </c>
      <c r="G16" s="96" t="n">
        <v>339</v>
      </c>
      <c r="H16" s="68" t="str">
        <f aca="false">"E"&amp;TEXT(A16,"yyyymm")&amp;"-"&amp;TEXT(VLOOKUP(D16,Map_Table,2,FALSE()),"0")</f>
        <v>E202301-6207</v>
      </c>
    </row>
    <row r="17" customFormat="false" ht="15" hidden="false" customHeight="false" outlineLevel="0" collapsed="false">
      <c r="A17" s="101" t="n">
        <v>44957</v>
      </c>
      <c r="B17" s="102" t="n">
        <f aca="false">YEAR(A17)</f>
        <v>2023</v>
      </c>
      <c r="C17" s="102" t="n">
        <f aca="false">MONTH(A17)</f>
        <v>1</v>
      </c>
      <c r="D17" s="100" t="s">
        <v>309</v>
      </c>
      <c r="E17" s="68" t="str">
        <f aca="false">VLOOKUP(D17,Map_Table,3,FALSE())</f>
        <v>General &amp; Administrative</v>
      </c>
      <c r="F17" s="68" t="str">
        <f aca="false">VLOOKUP(D17,Map_Table,4,FALSE())</f>
        <v>Variable</v>
      </c>
      <c r="G17" s="96" t="n">
        <v>92</v>
      </c>
      <c r="H17" s="68" t="str">
        <f aca="false">"E"&amp;TEXT(A17,"yyyymm")&amp;"-"&amp;TEXT(VLOOKUP(D17,Map_Table,2,FALSE()),"0")</f>
        <v>E202301-6208</v>
      </c>
    </row>
    <row r="18" customFormat="false" ht="15" hidden="false" customHeight="false" outlineLevel="0" collapsed="false">
      <c r="A18" s="101" t="n">
        <v>44985</v>
      </c>
      <c r="B18" s="102" t="n">
        <f aca="false">YEAR(A18)</f>
        <v>2023</v>
      </c>
      <c r="C18" s="102" t="n">
        <f aca="false">MONTH(A18)</f>
        <v>2</v>
      </c>
      <c r="D18" s="100" t="s">
        <v>297</v>
      </c>
      <c r="E18" s="68" t="str">
        <f aca="false">VLOOKUP(D18,Map_Table,3,FALSE())</f>
        <v>Selling &amp; Distribution</v>
      </c>
      <c r="F18" s="68" t="str">
        <f aca="false">VLOOKUP(D18,Map_Table,4,FALSE())</f>
        <v>Variable</v>
      </c>
      <c r="G18" s="96" t="n">
        <v>958</v>
      </c>
      <c r="H18" s="68" t="str">
        <f aca="false">"E"&amp;TEXT(A18,"yyyymm")&amp;"-"&amp;TEXT(VLOOKUP(D18,Map_Table,2,FALSE()),"0")</f>
        <v>E202302-6101</v>
      </c>
    </row>
    <row r="19" customFormat="false" ht="15" hidden="false" customHeight="false" outlineLevel="0" collapsed="false">
      <c r="A19" s="101" t="n">
        <v>44985</v>
      </c>
      <c r="B19" s="102" t="n">
        <f aca="false">YEAR(A19)</f>
        <v>2023</v>
      </c>
      <c r="C19" s="102" t="n">
        <f aca="false">MONTH(A19)</f>
        <v>2</v>
      </c>
      <c r="D19" s="100" t="s">
        <v>298</v>
      </c>
      <c r="E19" s="68" t="str">
        <f aca="false">VLOOKUP(D19,Map_Table,3,FALSE())</f>
        <v>Selling &amp; Distribution</v>
      </c>
      <c r="F19" s="68" t="str">
        <f aca="false">VLOOKUP(D19,Map_Table,4,FALSE())</f>
        <v>Variable</v>
      </c>
      <c r="G19" s="96" t="n">
        <v>555</v>
      </c>
      <c r="H19" s="68" t="str">
        <f aca="false">"E"&amp;TEXT(A19,"yyyymm")&amp;"-"&amp;TEXT(VLOOKUP(D19,Map_Table,2,FALSE()),"0")</f>
        <v>E202302-6102</v>
      </c>
    </row>
    <row r="20" customFormat="false" ht="15" hidden="false" customHeight="false" outlineLevel="0" collapsed="false">
      <c r="A20" s="101" t="n">
        <v>44985</v>
      </c>
      <c r="B20" s="102" t="n">
        <f aca="false">YEAR(A20)</f>
        <v>2023</v>
      </c>
      <c r="C20" s="102" t="n">
        <f aca="false">MONTH(A20)</f>
        <v>2</v>
      </c>
      <c r="D20" s="100" t="s">
        <v>299</v>
      </c>
      <c r="E20" s="68" t="str">
        <f aca="false">VLOOKUP(D20,Map_Table,3,FALSE())</f>
        <v>Selling &amp; Distribution</v>
      </c>
      <c r="F20" s="68" t="str">
        <f aca="false">VLOOKUP(D20,Map_Table,4,FALSE())</f>
        <v>Variable</v>
      </c>
      <c r="G20" s="96" t="n">
        <v>1424</v>
      </c>
      <c r="H20" s="68" t="str">
        <f aca="false">"E"&amp;TEXT(A20,"yyyymm")&amp;"-"&amp;TEXT(VLOOKUP(D20,Map_Table,2,FALSE()),"0")</f>
        <v>E202302-6103</v>
      </c>
    </row>
    <row r="21" customFormat="false" ht="15" hidden="false" customHeight="false" outlineLevel="0" collapsed="false">
      <c r="A21" s="101" t="n">
        <v>44985</v>
      </c>
      <c r="B21" s="102" t="n">
        <f aca="false">YEAR(A21)</f>
        <v>2023</v>
      </c>
      <c r="C21" s="102" t="n">
        <f aca="false">MONTH(A21)</f>
        <v>2</v>
      </c>
      <c r="D21" s="100" t="s">
        <v>300</v>
      </c>
      <c r="E21" s="68" t="str">
        <f aca="false">VLOOKUP(D21,Map_Table,3,FALSE())</f>
        <v>Selling &amp; Distribution</v>
      </c>
      <c r="F21" s="68" t="str">
        <f aca="false">VLOOKUP(D21,Map_Table,4,FALSE())</f>
        <v>Fixed</v>
      </c>
      <c r="G21" s="96" t="n">
        <v>1907</v>
      </c>
      <c r="H21" s="68" t="str">
        <f aca="false">"E"&amp;TEXT(A21,"yyyymm")&amp;"-"&amp;TEXT(VLOOKUP(D21,Map_Table,2,FALSE()),"0")</f>
        <v>E202302-6104</v>
      </c>
    </row>
    <row r="22" customFormat="false" ht="15" hidden="false" customHeight="false" outlineLevel="0" collapsed="false">
      <c r="A22" s="101" t="n">
        <v>44985</v>
      </c>
      <c r="B22" s="102" t="n">
        <f aca="false">YEAR(A22)</f>
        <v>2023</v>
      </c>
      <c r="C22" s="102" t="n">
        <f aca="false">MONTH(A22)</f>
        <v>2</v>
      </c>
      <c r="D22" s="100" t="s">
        <v>301</v>
      </c>
      <c r="E22" s="68" t="str">
        <f aca="false">VLOOKUP(D22,Map_Table,3,FALSE())</f>
        <v>Selling &amp; Distribution</v>
      </c>
      <c r="F22" s="68" t="str">
        <f aca="false">VLOOKUP(D22,Map_Table,4,FALSE())</f>
        <v>Fixed</v>
      </c>
      <c r="G22" s="96" t="n">
        <v>2460</v>
      </c>
      <c r="H22" s="68" t="str">
        <f aca="false">"E"&amp;TEXT(A22,"yyyymm")&amp;"-"&amp;TEXT(VLOOKUP(D22,Map_Table,2,FALSE()),"0")</f>
        <v>E202302-6105</v>
      </c>
    </row>
    <row r="23" customFormat="false" ht="15" hidden="false" customHeight="false" outlineLevel="0" collapsed="false">
      <c r="A23" s="101" t="n">
        <v>44985</v>
      </c>
      <c r="B23" s="102" t="n">
        <f aca="false">YEAR(A23)</f>
        <v>2023</v>
      </c>
      <c r="C23" s="102" t="n">
        <f aca="false">MONTH(A23)</f>
        <v>2</v>
      </c>
      <c r="D23" s="100" t="s">
        <v>302</v>
      </c>
      <c r="E23" s="68" t="str">
        <f aca="false">VLOOKUP(D23,Map_Table,3,FALSE())</f>
        <v>General &amp; Administrative</v>
      </c>
      <c r="F23" s="68" t="str">
        <f aca="false">VLOOKUP(D23,Map_Table,4,FALSE())</f>
        <v>Fixed</v>
      </c>
      <c r="G23" s="96" t="n">
        <v>2331</v>
      </c>
      <c r="H23" s="68" t="str">
        <f aca="false">"E"&amp;TEXT(A23,"yyyymm")&amp;"-"&amp;TEXT(VLOOKUP(D23,Map_Table,2,FALSE()),"0")</f>
        <v>E202302-6201</v>
      </c>
    </row>
    <row r="24" customFormat="false" ht="15" hidden="false" customHeight="false" outlineLevel="0" collapsed="false">
      <c r="A24" s="101" t="n">
        <v>44985</v>
      </c>
      <c r="B24" s="102" t="n">
        <f aca="false">YEAR(A24)</f>
        <v>2023</v>
      </c>
      <c r="C24" s="102" t="n">
        <f aca="false">MONTH(A24)</f>
        <v>2</v>
      </c>
      <c r="D24" s="100" t="s">
        <v>303</v>
      </c>
      <c r="E24" s="68" t="str">
        <f aca="false">VLOOKUP(D24,Map_Table,3,FALSE())</f>
        <v>General &amp; Administrative</v>
      </c>
      <c r="F24" s="68" t="str">
        <f aca="false">VLOOKUP(D24,Map_Table,4,FALSE())</f>
        <v>Fixed</v>
      </c>
      <c r="G24" s="96" t="n">
        <v>619</v>
      </c>
      <c r="H24" s="68" t="str">
        <f aca="false">"E"&amp;TEXT(A24,"yyyymm")&amp;"-"&amp;TEXT(VLOOKUP(D24,Map_Table,2,FALSE()),"0")</f>
        <v>E202302-6202</v>
      </c>
    </row>
    <row r="25" customFormat="false" ht="15" hidden="false" customHeight="false" outlineLevel="0" collapsed="false">
      <c r="A25" s="101" t="n">
        <v>44985</v>
      </c>
      <c r="B25" s="102" t="n">
        <f aca="false">YEAR(A25)</f>
        <v>2023</v>
      </c>
      <c r="C25" s="102" t="n">
        <f aca="false">MONTH(A25)</f>
        <v>2</v>
      </c>
      <c r="D25" s="100" t="s">
        <v>304</v>
      </c>
      <c r="E25" s="68" t="str">
        <f aca="false">VLOOKUP(D25,Map_Table,3,FALSE())</f>
        <v>General &amp; Administrative</v>
      </c>
      <c r="F25" s="68" t="str">
        <f aca="false">VLOOKUP(D25,Map_Table,4,FALSE())</f>
        <v>Fixed</v>
      </c>
      <c r="G25" s="96" t="n">
        <v>295</v>
      </c>
      <c r="H25" s="68" t="str">
        <f aca="false">"E"&amp;TEXT(A25,"yyyymm")&amp;"-"&amp;TEXT(VLOOKUP(D25,Map_Table,2,FALSE()),"0")</f>
        <v>E202302-6203</v>
      </c>
    </row>
    <row r="26" customFormat="false" ht="15" hidden="false" customHeight="false" outlineLevel="0" collapsed="false">
      <c r="A26" s="101" t="n">
        <v>44985</v>
      </c>
      <c r="B26" s="102" t="n">
        <f aca="false">YEAR(A26)</f>
        <v>2023</v>
      </c>
      <c r="C26" s="102" t="n">
        <f aca="false">MONTH(A26)</f>
        <v>2</v>
      </c>
      <c r="D26" s="100" t="s">
        <v>305</v>
      </c>
      <c r="E26" s="68" t="str">
        <f aca="false">VLOOKUP(D26,Map_Table,3,FALSE())</f>
        <v>General &amp; Administrative</v>
      </c>
      <c r="F26" s="68" t="str">
        <f aca="false">VLOOKUP(D26,Map_Table,4,FALSE())</f>
        <v>Fixed</v>
      </c>
      <c r="G26" s="96" t="n">
        <v>518</v>
      </c>
      <c r="H26" s="68" t="str">
        <f aca="false">"E"&amp;TEXT(A26,"yyyymm")&amp;"-"&amp;TEXT(VLOOKUP(D26,Map_Table,2,FALSE()),"0")</f>
        <v>E202302-6204</v>
      </c>
    </row>
    <row r="27" customFormat="false" ht="15" hidden="false" customHeight="false" outlineLevel="0" collapsed="false">
      <c r="A27" s="101" t="n">
        <v>44985</v>
      </c>
      <c r="B27" s="102" t="n">
        <f aca="false">YEAR(A27)</f>
        <v>2023</v>
      </c>
      <c r="C27" s="102" t="n">
        <f aca="false">MONTH(A27)</f>
        <v>2</v>
      </c>
      <c r="D27" s="100" t="s">
        <v>306</v>
      </c>
      <c r="E27" s="68" t="str">
        <f aca="false">VLOOKUP(D27,Map_Table,3,FALSE())</f>
        <v>General &amp; Administrative</v>
      </c>
      <c r="F27" s="68" t="str">
        <f aca="false">VLOOKUP(D27,Map_Table,4,FALSE())</f>
        <v>Fixed</v>
      </c>
      <c r="G27" s="96" t="n">
        <v>222</v>
      </c>
      <c r="H27" s="68" t="str">
        <f aca="false">"E"&amp;TEXT(A27,"yyyymm")&amp;"-"&amp;TEXT(VLOOKUP(D27,Map_Table,2,FALSE()),"0")</f>
        <v>E202302-6205</v>
      </c>
    </row>
    <row r="28" customFormat="false" ht="15" hidden="false" customHeight="false" outlineLevel="0" collapsed="false">
      <c r="A28" s="101" t="n">
        <v>44985</v>
      </c>
      <c r="B28" s="102" t="n">
        <f aca="false">YEAR(A28)</f>
        <v>2023</v>
      </c>
      <c r="C28" s="102" t="n">
        <f aca="false">MONTH(A28)</f>
        <v>2</v>
      </c>
      <c r="D28" s="100" t="s">
        <v>307</v>
      </c>
      <c r="E28" s="68" t="str">
        <f aca="false">VLOOKUP(D28,Map_Table,3,FALSE())</f>
        <v>General &amp; Administrative</v>
      </c>
      <c r="F28" s="68" t="str">
        <f aca="false">VLOOKUP(D28,Map_Table,4,FALSE())</f>
        <v>Fixed</v>
      </c>
      <c r="G28" s="96" t="n">
        <v>424</v>
      </c>
      <c r="H28" s="68" t="str">
        <f aca="false">"E"&amp;TEXT(A28,"yyyymm")&amp;"-"&amp;TEXT(VLOOKUP(D28,Map_Table,2,FALSE()),"0")</f>
        <v>E202302-6206</v>
      </c>
    </row>
    <row r="29" customFormat="false" ht="15" hidden="false" customHeight="false" outlineLevel="0" collapsed="false">
      <c r="A29" s="101" t="n">
        <v>44985</v>
      </c>
      <c r="B29" s="102" t="n">
        <f aca="false">YEAR(A29)</f>
        <v>2023</v>
      </c>
      <c r="C29" s="102" t="n">
        <f aca="false">MONTH(A29)</f>
        <v>2</v>
      </c>
      <c r="D29" s="100" t="s">
        <v>308</v>
      </c>
      <c r="E29" s="68" t="str">
        <f aca="false">VLOOKUP(D29,Map_Table,3,FALSE())</f>
        <v>General &amp; Administrative</v>
      </c>
      <c r="F29" s="68" t="str">
        <f aca="false">VLOOKUP(D29,Map_Table,4,FALSE())</f>
        <v>Fixed</v>
      </c>
      <c r="G29" s="96" t="n">
        <v>344</v>
      </c>
      <c r="H29" s="68" t="str">
        <f aca="false">"E"&amp;TEXT(A29,"yyyymm")&amp;"-"&amp;TEXT(VLOOKUP(D29,Map_Table,2,FALSE()),"0")</f>
        <v>E202302-6207</v>
      </c>
    </row>
    <row r="30" customFormat="false" ht="15" hidden="false" customHeight="false" outlineLevel="0" collapsed="false">
      <c r="A30" s="101" t="n">
        <v>44985</v>
      </c>
      <c r="B30" s="102" t="n">
        <f aca="false">YEAR(A30)</f>
        <v>2023</v>
      </c>
      <c r="C30" s="102" t="n">
        <f aca="false">MONTH(A30)</f>
        <v>2</v>
      </c>
      <c r="D30" s="100" t="s">
        <v>309</v>
      </c>
      <c r="E30" s="68" t="str">
        <f aca="false">VLOOKUP(D30,Map_Table,3,FALSE())</f>
        <v>General &amp; Administrative</v>
      </c>
      <c r="F30" s="68" t="str">
        <f aca="false">VLOOKUP(D30,Map_Table,4,FALSE())</f>
        <v>Variable</v>
      </c>
      <c r="G30" s="96" t="n">
        <v>90</v>
      </c>
      <c r="H30" s="68" t="str">
        <f aca="false">"E"&amp;TEXT(A30,"yyyymm")&amp;"-"&amp;TEXT(VLOOKUP(D30,Map_Table,2,FALSE()),"0")</f>
        <v>E202302-6208</v>
      </c>
    </row>
    <row r="31" customFormat="false" ht="15" hidden="false" customHeight="false" outlineLevel="0" collapsed="false">
      <c r="A31" s="101" t="n">
        <v>45016</v>
      </c>
      <c r="B31" s="102" t="n">
        <f aca="false">YEAR(A31)</f>
        <v>2023</v>
      </c>
      <c r="C31" s="102" t="n">
        <f aca="false">MONTH(A31)</f>
        <v>3</v>
      </c>
      <c r="D31" s="100" t="s">
        <v>297</v>
      </c>
      <c r="E31" s="68" t="str">
        <f aca="false">VLOOKUP(D31,Map_Table,3,FALSE())</f>
        <v>Selling &amp; Distribution</v>
      </c>
      <c r="F31" s="68" t="str">
        <f aca="false">VLOOKUP(D31,Map_Table,4,FALSE())</f>
        <v>Variable</v>
      </c>
      <c r="G31" s="96" t="n">
        <v>1071</v>
      </c>
      <c r="H31" s="68" t="str">
        <f aca="false">"E"&amp;TEXT(A31,"yyyymm")&amp;"-"&amp;TEXT(VLOOKUP(D31,Map_Table,2,FALSE()),"0")</f>
        <v>E202303-6101</v>
      </c>
    </row>
    <row r="32" customFormat="false" ht="15" hidden="false" customHeight="false" outlineLevel="0" collapsed="false">
      <c r="A32" s="101" t="n">
        <v>45016</v>
      </c>
      <c r="B32" s="102" t="n">
        <f aca="false">YEAR(A32)</f>
        <v>2023</v>
      </c>
      <c r="C32" s="102" t="n">
        <f aca="false">MONTH(A32)</f>
        <v>3</v>
      </c>
      <c r="D32" s="100" t="s">
        <v>298</v>
      </c>
      <c r="E32" s="68" t="str">
        <f aca="false">VLOOKUP(D32,Map_Table,3,FALSE())</f>
        <v>Selling &amp; Distribution</v>
      </c>
      <c r="F32" s="68" t="str">
        <f aca="false">VLOOKUP(D32,Map_Table,4,FALSE())</f>
        <v>Variable</v>
      </c>
      <c r="G32" s="96" t="n">
        <v>590</v>
      </c>
      <c r="H32" s="68" t="str">
        <f aca="false">"E"&amp;TEXT(A32,"yyyymm")&amp;"-"&amp;TEXT(VLOOKUP(D32,Map_Table,2,FALSE()),"0")</f>
        <v>E202303-6102</v>
      </c>
    </row>
    <row r="33" customFormat="false" ht="15" hidden="false" customHeight="false" outlineLevel="0" collapsed="false">
      <c r="A33" s="101" t="n">
        <v>45016</v>
      </c>
      <c r="B33" s="102" t="n">
        <f aca="false">YEAR(A33)</f>
        <v>2023</v>
      </c>
      <c r="C33" s="102" t="n">
        <f aca="false">MONTH(A33)</f>
        <v>3</v>
      </c>
      <c r="D33" s="100" t="s">
        <v>299</v>
      </c>
      <c r="E33" s="68" t="str">
        <f aca="false">VLOOKUP(D33,Map_Table,3,FALSE())</f>
        <v>Selling &amp; Distribution</v>
      </c>
      <c r="F33" s="68" t="str">
        <f aca="false">VLOOKUP(D33,Map_Table,4,FALSE())</f>
        <v>Variable</v>
      </c>
      <c r="G33" s="96" t="n">
        <v>1564</v>
      </c>
      <c r="H33" s="68" t="str">
        <f aca="false">"E"&amp;TEXT(A33,"yyyymm")&amp;"-"&amp;TEXT(VLOOKUP(D33,Map_Table,2,FALSE()),"0")</f>
        <v>E202303-6103</v>
      </c>
    </row>
    <row r="34" customFormat="false" ht="15" hidden="false" customHeight="false" outlineLevel="0" collapsed="false">
      <c r="A34" s="101" t="n">
        <v>45016</v>
      </c>
      <c r="B34" s="102" t="n">
        <f aca="false">YEAR(A34)</f>
        <v>2023</v>
      </c>
      <c r="C34" s="102" t="n">
        <f aca="false">MONTH(A34)</f>
        <v>3</v>
      </c>
      <c r="D34" s="100" t="s">
        <v>300</v>
      </c>
      <c r="E34" s="68" t="str">
        <f aca="false">VLOOKUP(D34,Map_Table,3,FALSE())</f>
        <v>Selling &amp; Distribution</v>
      </c>
      <c r="F34" s="68" t="str">
        <f aca="false">VLOOKUP(D34,Map_Table,4,FALSE())</f>
        <v>Fixed</v>
      </c>
      <c r="G34" s="96" t="n">
        <v>1886</v>
      </c>
      <c r="H34" s="68" t="str">
        <f aca="false">"E"&amp;TEXT(A34,"yyyymm")&amp;"-"&amp;TEXT(VLOOKUP(D34,Map_Table,2,FALSE()),"0")</f>
        <v>E202303-6104</v>
      </c>
    </row>
    <row r="35" customFormat="false" ht="15" hidden="false" customHeight="false" outlineLevel="0" collapsed="false">
      <c r="A35" s="101" t="n">
        <v>45016</v>
      </c>
      <c r="B35" s="102" t="n">
        <f aca="false">YEAR(A35)</f>
        <v>2023</v>
      </c>
      <c r="C35" s="102" t="n">
        <f aca="false">MONTH(A35)</f>
        <v>3</v>
      </c>
      <c r="D35" s="100" t="s">
        <v>301</v>
      </c>
      <c r="E35" s="68" t="str">
        <f aca="false">VLOOKUP(D35,Map_Table,3,FALSE())</f>
        <v>Selling &amp; Distribution</v>
      </c>
      <c r="F35" s="68" t="str">
        <f aca="false">VLOOKUP(D35,Map_Table,4,FALSE())</f>
        <v>Fixed</v>
      </c>
      <c r="G35" s="96" t="n">
        <v>2467</v>
      </c>
      <c r="H35" s="68" t="str">
        <f aca="false">"E"&amp;TEXT(A35,"yyyymm")&amp;"-"&amp;TEXT(VLOOKUP(D35,Map_Table,2,FALSE()),"0")</f>
        <v>E202303-6105</v>
      </c>
    </row>
    <row r="36" customFormat="false" ht="15" hidden="false" customHeight="false" outlineLevel="0" collapsed="false">
      <c r="A36" s="101" t="n">
        <v>45016</v>
      </c>
      <c r="B36" s="102" t="n">
        <f aca="false">YEAR(A36)</f>
        <v>2023</v>
      </c>
      <c r="C36" s="102" t="n">
        <f aca="false">MONTH(A36)</f>
        <v>3</v>
      </c>
      <c r="D36" s="100" t="s">
        <v>302</v>
      </c>
      <c r="E36" s="68" t="str">
        <f aca="false">VLOOKUP(D36,Map_Table,3,FALSE())</f>
        <v>General &amp; Administrative</v>
      </c>
      <c r="F36" s="68" t="str">
        <f aca="false">VLOOKUP(D36,Map_Table,4,FALSE())</f>
        <v>Fixed</v>
      </c>
      <c r="G36" s="96" t="n">
        <v>2310</v>
      </c>
      <c r="H36" s="68" t="str">
        <f aca="false">"E"&amp;TEXT(A36,"yyyymm")&amp;"-"&amp;TEXT(VLOOKUP(D36,Map_Table,2,FALSE()),"0")</f>
        <v>E202303-6201</v>
      </c>
    </row>
    <row r="37" customFormat="false" ht="15" hidden="false" customHeight="false" outlineLevel="0" collapsed="false">
      <c r="A37" s="101" t="n">
        <v>45016</v>
      </c>
      <c r="B37" s="102" t="n">
        <f aca="false">YEAR(A37)</f>
        <v>2023</v>
      </c>
      <c r="C37" s="102" t="n">
        <f aca="false">MONTH(A37)</f>
        <v>3</v>
      </c>
      <c r="D37" s="100" t="s">
        <v>303</v>
      </c>
      <c r="E37" s="68" t="str">
        <f aca="false">VLOOKUP(D37,Map_Table,3,FALSE())</f>
        <v>General &amp; Administrative</v>
      </c>
      <c r="F37" s="68" t="str">
        <f aca="false">VLOOKUP(D37,Map_Table,4,FALSE())</f>
        <v>Fixed</v>
      </c>
      <c r="G37" s="96" t="n">
        <v>608</v>
      </c>
      <c r="H37" s="68" t="str">
        <f aca="false">"E"&amp;TEXT(A37,"yyyymm")&amp;"-"&amp;TEXT(VLOOKUP(D37,Map_Table,2,FALSE()),"0")</f>
        <v>E202303-6202</v>
      </c>
    </row>
    <row r="38" customFormat="false" ht="15" hidden="false" customHeight="false" outlineLevel="0" collapsed="false">
      <c r="A38" s="101" t="n">
        <v>45016</v>
      </c>
      <c r="B38" s="102" t="n">
        <f aca="false">YEAR(A38)</f>
        <v>2023</v>
      </c>
      <c r="C38" s="102" t="n">
        <f aca="false">MONTH(A38)</f>
        <v>3</v>
      </c>
      <c r="D38" s="100" t="s">
        <v>304</v>
      </c>
      <c r="E38" s="68" t="str">
        <f aca="false">VLOOKUP(D38,Map_Table,3,FALSE())</f>
        <v>General &amp; Administrative</v>
      </c>
      <c r="F38" s="68" t="str">
        <f aca="false">VLOOKUP(D38,Map_Table,4,FALSE())</f>
        <v>Fixed</v>
      </c>
      <c r="G38" s="96" t="n">
        <v>771</v>
      </c>
      <c r="H38" s="68" t="str">
        <f aca="false">"E"&amp;TEXT(A38,"yyyymm")&amp;"-"&amp;TEXT(VLOOKUP(D38,Map_Table,2,FALSE()),"0")</f>
        <v>E202303-6203</v>
      </c>
    </row>
    <row r="39" customFormat="false" ht="15" hidden="false" customHeight="false" outlineLevel="0" collapsed="false">
      <c r="A39" s="101" t="n">
        <v>45016</v>
      </c>
      <c r="B39" s="102" t="n">
        <f aca="false">YEAR(A39)</f>
        <v>2023</v>
      </c>
      <c r="C39" s="102" t="n">
        <f aca="false">MONTH(A39)</f>
        <v>3</v>
      </c>
      <c r="D39" s="100" t="s">
        <v>305</v>
      </c>
      <c r="E39" s="68" t="str">
        <f aca="false">VLOOKUP(D39,Map_Table,3,FALSE())</f>
        <v>General &amp; Administrative</v>
      </c>
      <c r="F39" s="68" t="str">
        <f aca="false">VLOOKUP(D39,Map_Table,4,FALSE())</f>
        <v>Fixed</v>
      </c>
      <c r="G39" s="96" t="n">
        <v>524</v>
      </c>
      <c r="H39" s="68" t="str">
        <f aca="false">"E"&amp;TEXT(A39,"yyyymm")&amp;"-"&amp;TEXT(VLOOKUP(D39,Map_Table,2,FALSE()),"0")</f>
        <v>E202303-6204</v>
      </c>
    </row>
    <row r="40" customFormat="false" ht="15" hidden="false" customHeight="false" outlineLevel="0" collapsed="false">
      <c r="A40" s="101" t="n">
        <v>45016</v>
      </c>
      <c r="B40" s="102" t="n">
        <f aca="false">YEAR(A40)</f>
        <v>2023</v>
      </c>
      <c r="C40" s="102" t="n">
        <f aca="false">MONTH(A40)</f>
        <v>3</v>
      </c>
      <c r="D40" s="100" t="s">
        <v>306</v>
      </c>
      <c r="E40" s="68" t="str">
        <f aca="false">VLOOKUP(D40,Map_Table,3,FALSE())</f>
        <v>General &amp; Administrative</v>
      </c>
      <c r="F40" s="68" t="str">
        <f aca="false">VLOOKUP(D40,Map_Table,4,FALSE())</f>
        <v>Fixed</v>
      </c>
      <c r="G40" s="96" t="n">
        <v>225</v>
      </c>
      <c r="H40" s="68" t="str">
        <f aca="false">"E"&amp;TEXT(A40,"yyyymm")&amp;"-"&amp;TEXT(VLOOKUP(D40,Map_Table,2,FALSE()),"0")</f>
        <v>E202303-6205</v>
      </c>
    </row>
    <row r="41" customFormat="false" ht="15" hidden="false" customHeight="false" outlineLevel="0" collapsed="false">
      <c r="A41" s="101" t="n">
        <v>45016</v>
      </c>
      <c r="B41" s="102" t="n">
        <f aca="false">YEAR(A41)</f>
        <v>2023</v>
      </c>
      <c r="C41" s="102" t="n">
        <f aca="false">MONTH(A41)</f>
        <v>3</v>
      </c>
      <c r="D41" s="100" t="s">
        <v>307</v>
      </c>
      <c r="E41" s="68" t="str">
        <f aca="false">VLOOKUP(D41,Map_Table,3,FALSE())</f>
        <v>General &amp; Administrative</v>
      </c>
      <c r="F41" s="68" t="str">
        <f aca="false">VLOOKUP(D41,Map_Table,4,FALSE())</f>
        <v>Fixed</v>
      </c>
      <c r="G41" s="96" t="n">
        <v>418</v>
      </c>
      <c r="H41" s="68" t="str">
        <f aca="false">"E"&amp;TEXT(A41,"yyyymm")&amp;"-"&amp;TEXT(VLOOKUP(D41,Map_Table,2,FALSE()),"0")</f>
        <v>E202303-6206</v>
      </c>
    </row>
    <row r="42" customFormat="false" ht="15" hidden="false" customHeight="false" outlineLevel="0" collapsed="false">
      <c r="A42" s="101" t="n">
        <v>45016</v>
      </c>
      <c r="B42" s="102" t="n">
        <f aca="false">YEAR(A42)</f>
        <v>2023</v>
      </c>
      <c r="C42" s="102" t="n">
        <f aca="false">MONTH(A42)</f>
        <v>3</v>
      </c>
      <c r="D42" s="100" t="s">
        <v>308</v>
      </c>
      <c r="E42" s="68" t="str">
        <f aca="false">VLOOKUP(D42,Map_Table,3,FALSE())</f>
        <v>General &amp; Administrative</v>
      </c>
      <c r="F42" s="68" t="str">
        <f aca="false">VLOOKUP(D42,Map_Table,4,FALSE())</f>
        <v>Fixed</v>
      </c>
      <c r="G42" s="96" t="n">
        <v>345</v>
      </c>
      <c r="H42" s="68" t="str">
        <f aca="false">"E"&amp;TEXT(A42,"yyyymm")&amp;"-"&amp;TEXT(VLOOKUP(D42,Map_Table,2,FALSE()),"0")</f>
        <v>E202303-6207</v>
      </c>
    </row>
    <row r="43" customFormat="false" ht="15" hidden="false" customHeight="false" outlineLevel="0" collapsed="false">
      <c r="A43" s="101" t="n">
        <v>45016</v>
      </c>
      <c r="B43" s="102" t="n">
        <f aca="false">YEAR(A43)</f>
        <v>2023</v>
      </c>
      <c r="C43" s="102" t="n">
        <f aca="false">MONTH(A43)</f>
        <v>3</v>
      </c>
      <c r="D43" s="100" t="s">
        <v>309</v>
      </c>
      <c r="E43" s="68" t="str">
        <f aca="false">VLOOKUP(D43,Map_Table,3,FALSE())</f>
        <v>General &amp; Administrative</v>
      </c>
      <c r="F43" s="68" t="str">
        <f aca="false">VLOOKUP(D43,Map_Table,4,FALSE())</f>
        <v>Variable</v>
      </c>
      <c r="G43" s="96" t="n">
        <v>100</v>
      </c>
      <c r="H43" s="68" t="str">
        <f aca="false">"E"&amp;TEXT(A43,"yyyymm")&amp;"-"&amp;TEXT(VLOOKUP(D43,Map_Table,2,FALSE()),"0")</f>
        <v>E202303-6208</v>
      </c>
    </row>
    <row r="44" customFormat="false" ht="15" hidden="false" customHeight="false" outlineLevel="0" collapsed="false">
      <c r="A44" s="101" t="n">
        <v>45046</v>
      </c>
      <c r="B44" s="102" t="n">
        <f aca="false">YEAR(A44)</f>
        <v>2023</v>
      </c>
      <c r="C44" s="102" t="n">
        <f aca="false">MONTH(A44)</f>
        <v>4</v>
      </c>
      <c r="D44" s="100" t="s">
        <v>297</v>
      </c>
      <c r="E44" s="68" t="str">
        <f aca="false">VLOOKUP(D44,Map_Table,3,FALSE())</f>
        <v>Selling &amp; Distribution</v>
      </c>
      <c r="F44" s="68" t="str">
        <f aca="false">VLOOKUP(D44,Map_Table,4,FALSE())</f>
        <v>Variable</v>
      </c>
      <c r="G44" s="96" t="n">
        <v>1043</v>
      </c>
      <c r="H44" s="68" t="str">
        <f aca="false">"E"&amp;TEXT(A44,"yyyymm")&amp;"-"&amp;TEXT(VLOOKUP(D44,Map_Table,2,FALSE()),"0")</f>
        <v>E202304-6101</v>
      </c>
    </row>
    <row r="45" customFormat="false" ht="15" hidden="false" customHeight="false" outlineLevel="0" collapsed="false">
      <c r="A45" s="101" t="n">
        <v>45046</v>
      </c>
      <c r="B45" s="102" t="n">
        <f aca="false">YEAR(A45)</f>
        <v>2023</v>
      </c>
      <c r="C45" s="102" t="n">
        <f aca="false">MONTH(A45)</f>
        <v>4</v>
      </c>
      <c r="D45" s="100" t="s">
        <v>298</v>
      </c>
      <c r="E45" s="68" t="str">
        <f aca="false">VLOOKUP(D45,Map_Table,3,FALSE())</f>
        <v>Selling &amp; Distribution</v>
      </c>
      <c r="F45" s="68" t="str">
        <f aca="false">VLOOKUP(D45,Map_Table,4,FALSE())</f>
        <v>Variable</v>
      </c>
      <c r="G45" s="96" t="n">
        <v>584</v>
      </c>
      <c r="H45" s="68" t="str">
        <f aca="false">"E"&amp;TEXT(A45,"yyyymm")&amp;"-"&amp;TEXT(VLOOKUP(D45,Map_Table,2,FALSE()),"0")</f>
        <v>E202304-6102</v>
      </c>
    </row>
    <row r="46" customFormat="false" ht="15" hidden="false" customHeight="false" outlineLevel="0" collapsed="false">
      <c r="A46" s="101" t="n">
        <v>45046</v>
      </c>
      <c r="B46" s="102" t="n">
        <f aca="false">YEAR(A46)</f>
        <v>2023</v>
      </c>
      <c r="C46" s="102" t="n">
        <f aca="false">MONTH(A46)</f>
        <v>4</v>
      </c>
      <c r="D46" s="100" t="s">
        <v>299</v>
      </c>
      <c r="E46" s="68" t="str">
        <f aca="false">VLOOKUP(D46,Map_Table,3,FALSE())</f>
        <v>Selling &amp; Distribution</v>
      </c>
      <c r="F46" s="68" t="str">
        <f aca="false">VLOOKUP(D46,Map_Table,4,FALSE())</f>
        <v>Variable</v>
      </c>
      <c r="G46" s="96" t="n">
        <v>1586</v>
      </c>
      <c r="H46" s="68" t="str">
        <f aca="false">"E"&amp;TEXT(A46,"yyyymm")&amp;"-"&amp;TEXT(VLOOKUP(D46,Map_Table,2,FALSE()),"0")</f>
        <v>E202304-6103</v>
      </c>
    </row>
    <row r="47" customFormat="false" ht="15" hidden="false" customHeight="false" outlineLevel="0" collapsed="false">
      <c r="A47" s="101" t="n">
        <v>45046</v>
      </c>
      <c r="B47" s="102" t="n">
        <f aca="false">YEAR(A47)</f>
        <v>2023</v>
      </c>
      <c r="C47" s="102" t="n">
        <f aca="false">MONTH(A47)</f>
        <v>4</v>
      </c>
      <c r="D47" s="100" t="s">
        <v>300</v>
      </c>
      <c r="E47" s="68" t="str">
        <f aca="false">VLOOKUP(D47,Map_Table,3,FALSE())</f>
        <v>Selling &amp; Distribution</v>
      </c>
      <c r="F47" s="68" t="str">
        <f aca="false">VLOOKUP(D47,Map_Table,4,FALSE())</f>
        <v>Fixed</v>
      </c>
      <c r="G47" s="96" t="n">
        <v>1908</v>
      </c>
      <c r="H47" s="68" t="str">
        <f aca="false">"E"&amp;TEXT(A47,"yyyymm")&amp;"-"&amp;TEXT(VLOOKUP(D47,Map_Table,2,FALSE()),"0")</f>
        <v>E202304-6104</v>
      </c>
    </row>
    <row r="48" customFormat="false" ht="15" hidden="false" customHeight="false" outlineLevel="0" collapsed="false">
      <c r="A48" s="101" t="n">
        <v>45046</v>
      </c>
      <c r="B48" s="102" t="n">
        <f aca="false">YEAR(A48)</f>
        <v>2023</v>
      </c>
      <c r="C48" s="102" t="n">
        <f aca="false">MONTH(A48)</f>
        <v>4</v>
      </c>
      <c r="D48" s="100" t="s">
        <v>301</v>
      </c>
      <c r="E48" s="68" t="str">
        <f aca="false">VLOOKUP(D48,Map_Table,3,FALSE())</f>
        <v>Selling &amp; Distribution</v>
      </c>
      <c r="F48" s="68" t="str">
        <f aca="false">VLOOKUP(D48,Map_Table,4,FALSE())</f>
        <v>Fixed</v>
      </c>
      <c r="G48" s="96" t="n">
        <v>2514</v>
      </c>
      <c r="H48" s="68" t="str">
        <f aca="false">"E"&amp;TEXT(A48,"yyyymm")&amp;"-"&amp;TEXT(VLOOKUP(D48,Map_Table,2,FALSE()),"0")</f>
        <v>E202304-6105</v>
      </c>
    </row>
    <row r="49" customFormat="false" ht="15" hidden="false" customHeight="false" outlineLevel="0" collapsed="false">
      <c r="A49" s="101" t="n">
        <v>45046</v>
      </c>
      <c r="B49" s="102" t="n">
        <f aca="false">YEAR(A49)</f>
        <v>2023</v>
      </c>
      <c r="C49" s="102" t="n">
        <f aca="false">MONTH(A49)</f>
        <v>4</v>
      </c>
      <c r="D49" s="100" t="s">
        <v>302</v>
      </c>
      <c r="E49" s="68" t="str">
        <f aca="false">VLOOKUP(D49,Map_Table,3,FALSE())</f>
        <v>General &amp; Administrative</v>
      </c>
      <c r="F49" s="68" t="str">
        <f aca="false">VLOOKUP(D49,Map_Table,4,FALSE())</f>
        <v>Fixed</v>
      </c>
      <c r="G49" s="96" t="n">
        <v>2290</v>
      </c>
      <c r="H49" s="68" t="str">
        <f aca="false">"E"&amp;TEXT(A49,"yyyymm")&amp;"-"&amp;TEXT(VLOOKUP(D49,Map_Table,2,FALSE()),"0")</f>
        <v>E202304-6201</v>
      </c>
    </row>
    <row r="50" customFormat="false" ht="15" hidden="false" customHeight="false" outlineLevel="0" collapsed="false">
      <c r="A50" s="101" t="n">
        <v>45046</v>
      </c>
      <c r="B50" s="102" t="n">
        <f aca="false">YEAR(A50)</f>
        <v>2023</v>
      </c>
      <c r="C50" s="102" t="n">
        <f aca="false">MONTH(A50)</f>
        <v>4</v>
      </c>
      <c r="D50" s="100" t="s">
        <v>303</v>
      </c>
      <c r="E50" s="68" t="str">
        <f aca="false">VLOOKUP(D50,Map_Table,3,FALSE())</f>
        <v>General &amp; Administrative</v>
      </c>
      <c r="F50" s="68" t="str">
        <f aca="false">VLOOKUP(D50,Map_Table,4,FALSE())</f>
        <v>Fixed</v>
      </c>
      <c r="G50" s="96" t="n">
        <v>623</v>
      </c>
      <c r="H50" s="68" t="str">
        <f aca="false">"E"&amp;TEXT(A50,"yyyymm")&amp;"-"&amp;TEXT(VLOOKUP(D50,Map_Table,2,FALSE()),"0")</f>
        <v>E202304-6202</v>
      </c>
    </row>
    <row r="51" customFormat="false" ht="15" hidden="false" customHeight="false" outlineLevel="0" collapsed="false">
      <c r="A51" s="101" t="n">
        <v>45046</v>
      </c>
      <c r="B51" s="102" t="n">
        <f aca="false">YEAR(A51)</f>
        <v>2023</v>
      </c>
      <c r="C51" s="102" t="n">
        <f aca="false">MONTH(A51)</f>
        <v>4</v>
      </c>
      <c r="D51" s="100" t="s">
        <v>304</v>
      </c>
      <c r="E51" s="68" t="str">
        <f aca="false">VLOOKUP(D51,Map_Table,3,FALSE())</f>
        <v>General &amp; Administrative</v>
      </c>
      <c r="F51" s="68" t="str">
        <f aca="false">VLOOKUP(D51,Map_Table,4,FALSE())</f>
        <v>Fixed</v>
      </c>
      <c r="G51" s="96" t="n">
        <v>298</v>
      </c>
      <c r="H51" s="68" t="str">
        <f aca="false">"E"&amp;TEXT(A51,"yyyymm")&amp;"-"&amp;TEXT(VLOOKUP(D51,Map_Table,2,FALSE()),"0")</f>
        <v>E202304-6203</v>
      </c>
    </row>
    <row r="52" customFormat="false" ht="15" hidden="false" customHeight="false" outlineLevel="0" collapsed="false">
      <c r="A52" s="101" t="n">
        <v>45046</v>
      </c>
      <c r="B52" s="102" t="n">
        <f aca="false">YEAR(A52)</f>
        <v>2023</v>
      </c>
      <c r="C52" s="102" t="n">
        <f aca="false">MONTH(A52)</f>
        <v>4</v>
      </c>
      <c r="D52" s="100" t="s">
        <v>305</v>
      </c>
      <c r="E52" s="68" t="str">
        <f aca="false">VLOOKUP(D52,Map_Table,3,FALSE())</f>
        <v>General &amp; Administrative</v>
      </c>
      <c r="F52" s="68" t="str">
        <f aca="false">VLOOKUP(D52,Map_Table,4,FALSE())</f>
        <v>Fixed</v>
      </c>
      <c r="G52" s="96" t="n">
        <v>521</v>
      </c>
      <c r="H52" s="68" t="str">
        <f aca="false">"E"&amp;TEXT(A52,"yyyymm")&amp;"-"&amp;TEXT(VLOOKUP(D52,Map_Table,2,FALSE()),"0")</f>
        <v>E202304-6204</v>
      </c>
    </row>
    <row r="53" customFormat="false" ht="15" hidden="false" customHeight="false" outlineLevel="0" collapsed="false">
      <c r="A53" s="101" t="n">
        <v>45046</v>
      </c>
      <c r="B53" s="102" t="n">
        <f aca="false">YEAR(A53)</f>
        <v>2023</v>
      </c>
      <c r="C53" s="102" t="n">
        <f aca="false">MONTH(A53)</f>
        <v>4</v>
      </c>
      <c r="D53" s="100" t="s">
        <v>306</v>
      </c>
      <c r="E53" s="68" t="str">
        <f aca="false">VLOOKUP(D53,Map_Table,3,FALSE())</f>
        <v>General &amp; Administrative</v>
      </c>
      <c r="F53" s="68" t="str">
        <f aca="false">VLOOKUP(D53,Map_Table,4,FALSE())</f>
        <v>Fixed</v>
      </c>
      <c r="G53" s="96" t="n">
        <v>224</v>
      </c>
      <c r="H53" s="68" t="str">
        <f aca="false">"E"&amp;TEXT(A53,"yyyymm")&amp;"-"&amp;TEXT(VLOOKUP(D53,Map_Table,2,FALSE()),"0")</f>
        <v>E202304-6205</v>
      </c>
    </row>
    <row r="54" customFormat="false" ht="15" hidden="false" customHeight="false" outlineLevel="0" collapsed="false">
      <c r="A54" s="101" t="n">
        <v>45046</v>
      </c>
      <c r="B54" s="102" t="n">
        <f aca="false">YEAR(A54)</f>
        <v>2023</v>
      </c>
      <c r="C54" s="102" t="n">
        <f aca="false">MONTH(A54)</f>
        <v>4</v>
      </c>
      <c r="D54" s="100" t="s">
        <v>307</v>
      </c>
      <c r="E54" s="68" t="str">
        <f aca="false">VLOOKUP(D54,Map_Table,3,FALSE())</f>
        <v>General &amp; Administrative</v>
      </c>
      <c r="F54" s="68" t="str">
        <f aca="false">VLOOKUP(D54,Map_Table,4,FALSE())</f>
        <v>Fixed</v>
      </c>
      <c r="G54" s="96" t="n">
        <v>417</v>
      </c>
      <c r="H54" s="68" t="str">
        <f aca="false">"E"&amp;TEXT(A54,"yyyymm")&amp;"-"&amp;TEXT(VLOOKUP(D54,Map_Table,2,FALSE()),"0")</f>
        <v>E202304-6206</v>
      </c>
    </row>
    <row r="55" customFormat="false" ht="15" hidden="false" customHeight="false" outlineLevel="0" collapsed="false">
      <c r="A55" s="101" t="n">
        <v>45046</v>
      </c>
      <c r="B55" s="102" t="n">
        <f aca="false">YEAR(A55)</f>
        <v>2023</v>
      </c>
      <c r="C55" s="102" t="n">
        <f aca="false">MONTH(A55)</f>
        <v>4</v>
      </c>
      <c r="D55" s="100" t="s">
        <v>308</v>
      </c>
      <c r="E55" s="68" t="str">
        <f aca="false">VLOOKUP(D55,Map_Table,3,FALSE())</f>
        <v>General &amp; Administrative</v>
      </c>
      <c r="F55" s="68" t="str">
        <f aca="false">VLOOKUP(D55,Map_Table,4,FALSE())</f>
        <v>Fixed</v>
      </c>
      <c r="G55" s="96" t="n">
        <v>346</v>
      </c>
      <c r="H55" s="68" t="str">
        <f aca="false">"E"&amp;TEXT(A55,"yyyymm")&amp;"-"&amp;TEXT(VLOOKUP(D55,Map_Table,2,FALSE()),"0")</f>
        <v>E202304-6207</v>
      </c>
    </row>
    <row r="56" customFormat="false" ht="15" hidden="false" customHeight="false" outlineLevel="0" collapsed="false">
      <c r="A56" s="101" t="n">
        <v>45046</v>
      </c>
      <c r="B56" s="102" t="n">
        <f aca="false">YEAR(A56)</f>
        <v>2023</v>
      </c>
      <c r="C56" s="102" t="n">
        <f aca="false">MONTH(A56)</f>
        <v>4</v>
      </c>
      <c r="D56" s="100" t="s">
        <v>309</v>
      </c>
      <c r="E56" s="68" t="str">
        <f aca="false">VLOOKUP(D56,Map_Table,3,FALSE())</f>
        <v>General &amp; Administrative</v>
      </c>
      <c r="F56" s="68" t="str">
        <f aca="false">VLOOKUP(D56,Map_Table,4,FALSE())</f>
        <v>Variable</v>
      </c>
      <c r="G56" s="96" t="n">
        <v>98</v>
      </c>
      <c r="H56" s="68" t="str">
        <f aca="false">"E"&amp;TEXT(A56,"yyyymm")&amp;"-"&amp;TEXT(VLOOKUP(D56,Map_Table,2,FALSE()),"0")</f>
        <v>E202304-6208</v>
      </c>
    </row>
    <row r="57" customFormat="false" ht="15" hidden="false" customHeight="false" outlineLevel="0" collapsed="false">
      <c r="A57" s="101" t="n">
        <v>45077</v>
      </c>
      <c r="B57" s="102" t="n">
        <f aca="false">YEAR(A57)</f>
        <v>2023</v>
      </c>
      <c r="C57" s="102" t="n">
        <f aca="false">MONTH(A57)</f>
        <v>5</v>
      </c>
      <c r="D57" s="100" t="s">
        <v>297</v>
      </c>
      <c r="E57" s="68" t="str">
        <f aca="false">VLOOKUP(D57,Map_Table,3,FALSE())</f>
        <v>Selling &amp; Distribution</v>
      </c>
      <c r="F57" s="68" t="str">
        <f aca="false">VLOOKUP(D57,Map_Table,4,FALSE())</f>
        <v>Variable</v>
      </c>
      <c r="G57" s="96" t="n">
        <v>1098</v>
      </c>
      <c r="H57" s="68" t="str">
        <f aca="false">"E"&amp;TEXT(A57,"yyyymm")&amp;"-"&amp;TEXT(VLOOKUP(D57,Map_Table,2,FALSE()),"0")</f>
        <v>E202305-6101</v>
      </c>
    </row>
    <row r="58" customFormat="false" ht="15" hidden="false" customHeight="false" outlineLevel="0" collapsed="false">
      <c r="A58" s="101" t="n">
        <v>45077</v>
      </c>
      <c r="B58" s="102" t="n">
        <f aca="false">YEAR(A58)</f>
        <v>2023</v>
      </c>
      <c r="C58" s="102" t="n">
        <f aca="false">MONTH(A58)</f>
        <v>5</v>
      </c>
      <c r="D58" s="100" t="s">
        <v>298</v>
      </c>
      <c r="E58" s="68" t="str">
        <f aca="false">VLOOKUP(D58,Map_Table,3,FALSE())</f>
        <v>Selling &amp; Distribution</v>
      </c>
      <c r="F58" s="68" t="str">
        <f aca="false">VLOOKUP(D58,Map_Table,4,FALSE())</f>
        <v>Variable</v>
      </c>
      <c r="G58" s="96" t="n">
        <v>600</v>
      </c>
      <c r="H58" s="68" t="str">
        <f aca="false">"E"&amp;TEXT(A58,"yyyymm")&amp;"-"&amp;TEXT(VLOOKUP(D58,Map_Table,2,FALSE()),"0")</f>
        <v>E202305-6102</v>
      </c>
    </row>
    <row r="59" customFormat="false" ht="15" hidden="false" customHeight="false" outlineLevel="0" collapsed="false">
      <c r="A59" s="101" t="n">
        <v>45077</v>
      </c>
      <c r="B59" s="102" t="n">
        <f aca="false">YEAR(A59)</f>
        <v>2023</v>
      </c>
      <c r="C59" s="102" t="n">
        <f aca="false">MONTH(A59)</f>
        <v>5</v>
      </c>
      <c r="D59" s="100" t="s">
        <v>299</v>
      </c>
      <c r="E59" s="68" t="str">
        <f aca="false">VLOOKUP(D59,Map_Table,3,FALSE())</f>
        <v>Selling &amp; Distribution</v>
      </c>
      <c r="F59" s="68" t="str">
        <f aca="false">VLOOKUP(D59,Map_Table,4,FALSE())</f>
        <v>Variable</v>
      </c>
      <c r="G59" s="96" t="n">
        <v>1658</v>
      </c>
      <c r="H59" s="68" t="str">
        <f aca="false">"E"&amp;TEXT(A59,"yyyymm")&amp;"-"&amp;TEXT(VLOOKUP(D59,Map_Table,2,FALSE()),"0")</f>
        <v>E202305-6103</v>
      </c>
    </row>
    <row r="60" customFormat="false" ht="15" hidden="false" customHeight="false" outlineLevel="0" collapsed="false">
      <c r="A60" s="101" t="n">
        <v>45077</v>
      </c>
      <c r="B60" s="102" t="n">
        <f aca="false">YEAR(A60)</f>
        <v>2023</v>
      </c>
      <c r="C60" s="102" t="n">
        <f aca="false">MONTH(A60)</f>
        <v>5</v>
      </c>
      <c r="D60" s="100" t="s">
        <v>300</v>
      </c>
      <c r="E60" s="68" t="str">
        <f aca="false">VLOOKUP(D60,Map_Table,3,FALSE())</f>
        <v>Selling &amp; Distribution</v>
      </c>
      <c r="F60" s="68" t="str">
        <f aca="false">VLOOKUP(D60,Map_Table,4,FALSE())</f>
        <v>Fixed</v>
      </c>
      <c r="G60" s="96" t="n">
        <v>1877</v>
      </c>
      <c r="H60" s="68" t="str">
        <f aca="false">"E"&amp;TEXT(A60,"yyyymm")&amp;"-"&amp;TEXT(VLOOKUP(D60,Map_Table,2,FALSE()),"0")</f>
        <v>E202305-6104</v>
      </c>
    </row>
    <row r="61" customFormat="false" ht="15" hidden="false" customHeight="false" outlineLevel="0" collapsed="false">
      <c r="A61" s="101" t="n">
        <v>45077</v>
      </c>
      <c r="B61" s="102" t="n">
        <f aca="false">YEAR(A61)</f>
        <v>2023</v>
      </c>
      <c r="C61" s="102" t="n">
        <f aca="false">MONTH(A61)</f>
        <v>5</v>
      </c>
      <c r="D61" s="100" t="s">
        <v>301</v>
      </c>
      <c r="E61" s="68" t="str">
        <f aca="false">VLOOKUP(D61,Map_Table,3,FALSE())</f>
        <v>Selling &amp; Distribution</v>
      </c>
      <c r="F61" s="68" t="str">
        <f aca="false">VLOOKUP(D61,Map_Table,4,FALSE())</f>
        <v>Fixed</v>
      </c>
      <c r="G61" s="96" t="n">
        <v>2467</v>
      </c>
      <c r="H61" s="68" t="str">
        <f aca="false">"E"&amp;TEXT(A61,"yyyymm")&amp;"-"&amp;TEXT(VLOOKUP(D61,Map_Table,2,FALSE()),"0")</f>
        <v>E202305-6105</v>
      </c>
    </row>
    <row r="62" customFormat="false" ht="15" hidden="false" customHeight="false" outlineLevel="0" collapsed="false">
      <c r="A62" s="101" t="n">
        <v>45077</v>
      </c>
      <c r="B62" s="102" t="n">
        <f aca="false">YEAR(A62)</f>
        <v>2023</v>
      </c>
      <c r="C62" s="102" t="n">
        <f aca="false">MONTH(A62)</f>
        <v>5</v>
      </c>
      <c r="D62" s="100" t="s">
        <v>302</v>
      </c>
      <c r="E62" s="68" t="str">
        <f aca="false">VLOOKUP(D62,Map_Table,3,FALSE())</f>
        <v>General &amp; Administrative</v>
      </c>
      <c r="F62" s="68" t="str">
        <f aca="false">VLOOKUP(D62,Map_Table,4,FALSE())</f>
        <v>Fixed</v>
      </c>
      <c r="G62" s="96" t="n">
        <v>2294</v>
      </c>
      <c r="H62" s="68" t="str">
        <f aca="false">"E"&amp;TEXT(A62,"yyyymm")&amp;"-"&amp;TEXT(VLOOKUP(D62,Map_Table,2,FALSE()),"0")</f>
        <v>E202305-6201</v>
      </c>
    </row>
    <row r="63" customFormat="false" ht="15" hidden="false" customHeight="false" outlineLevel="0" collapsed="false">
      <c r="A63" s="101" t="n">
        <v>45077</v>
      </c>
      <c r="B63" s="102" t="n">
        <f aca="false">YEAR(A63)</f>
        <v>2023</v>
      </c>
      <c r="C63" s="102" t="n">
        <f aca="false">MONTH(A63)</f>
        <v>5</v>
      </c>
      <c r="D63" s="100" t="s">
        <v>303</v>
      </c>
      <c r="E63" s="68" t="str">
        <f aca="false">VLOOKUP(D63,Map_Table,3,FALSE())</f>
        <v>General &amp; Administrative</v>
      </c>
      <c r="F63" s="68" t="str">
        <f aca="false">VLOOKUP(D63,Map_Table,4,FALSE())</f>
        <v>Fixed</v>
      </c>
      <c r="G63" s="96" t="n">
        <v>622</v>
      </c>
      <c r="H63" s="68" t="str">
        <f aca="false">"E"&amp;TEXT(A63,"yyyymm")&amp;"-"&amp;TEXT(VLOOKUP(D63,Map_Table,2,FALSE()),"0")</f>
        <v>E202305-6202</v>
      </c>
    </row>
    <row r="64" customFormat="false" ht="15" hidden="false" customHeight="false" outlineLevel="0" collapsed="false">
      <c r="A64" s="101" t="n">
        <v>45077</v>
      </c>
      <c r="B64" s="102" t="n">
        <f aca="false">YEAR(A64)</f>
        <v>2023</v>
      </c>
      <c r="C64" s="102" t="n">
        <f aca="false">MONTH(A64)</f>
        <v>5</v>
      </c>
      <c r="D64" s="100" t="s">
        <v>304</v>
      </c>
      <c r="E64" s="68" t="str">
        <f aca="false">VLOOKUP(D64,Map_Table,3,FALSE())</f>
        <v>General &amp; Administrative</v>
      </c>
      <c r="F64" s="68" t="str">
        <f aca="false">VLOOKUP(D64,Map_Table,4,FALSE())</f>
        <v>Fixed</v>
      </c>
      <c r="G64" s="96" t="n">
        <v>299</v>
      </c>
      <c r="H64" s="68" t="str">
        <f aca="false">"E"&amp;TEXT(A64,"yyyymm")&amp;"-"&amp;TEXT(VLOOKUP(D64,Map_Table,2,FALSE()),"0")</f>
        <v>E202305-6203</v>
      </c>
    </row>
    <row r="65" customFormat="false" ht="15" hidden="false" customHeight="false" outlineLevel="0" collapsed="false">
      <c r="A65" s="101" t="n">
        <v>45077</v>
      </c>
      <c r="B65" s="102" t="n">
        <f aca="false">YEAR(A65)</f>
        <v>2023</v>
      </c>
      <c r="C65" s="102" t="n">
        <f aca="false">MONTH(A65)</f>
        <v>5</v>
      </c>
      <c r="D65" s="100" t="s">
        <v>305</v>
      </c>
      <c r="E65" s="68" t="str">
        <f aca="false">VLOOKUP(D65,Map_Table,3,FALSE())</f>
        <v>General &amp; Administrative</v>
      </c>
      <c r="F65" s="68" t="str">
        <f aca="false">VLOOKUP(D65,Map_Table,4,FALSE())</f>
        <v>Fixed</v>
      </c>
      <c r="G65" s="96" t="n">
        <v>517</v>
      </c>
      <c r="H65" s="68" t="str">
        <f aca="false">"E"&amp;TEXT(A65,"yyyymm")&amp;"-"&amp;TEXT(VLOOKUP(D65,Map_Table,2,FALSE()),"0")</f>
        <v>E202305-6204</v>
      </c>
    </row>
    <row r="66" customFormat="false" ht="15" hidden="false" customHeight="false" outlineLevel="0" collapsed="false">
      <c r="A66" s="101" t="n">
        <v>45077</v>
      </c>
      <c r="B66" s="102" t="n">
        <f aca="false">YEAR(A66)</f>
        <v>2023</v>
      </c>
      <c r="C66" s="102" t="n">
        <f aca="false">MONTH(A66)</f>
        <v>5</v>
      </c>
      <c r="D66" s="100" t="s">
        <v>306</v>
      </c>
      <c r="E66" s="68" t="str">
        <f aca="false">VLOOKUP(D66,Map_Table,3,FALSE())</f>
        <v>General &amp; Administrative</v>
      </c>
      <c r="F66" s="68" t="str">
        <f aca="false">VLOOKUP(D66,Map_Table,4,FALSE())</f>
        <v>Fixed</v>
      </c>
      <c r="G66" s="96" t="n">
        <v>188</v>
      </c>
      <c r="H66" s="68" t="str">
        <f aca="false">"E"&amp;TEXT(A66,"yyyymm")&amp;"-"&amp;TEXT(VLOOKUP(D66,Map_Table,2,FALSE()),"0")</f>
        <v>E202305-6205</v>
      </c>
    </row>
    <row r="67" customFormat="false" ht="15" hidden="false" customHeight="false" outlineLevel="0" collapsed="false">
      <c r="A67" s="101" t="n">
        <v>45077</v>
      </c>
      <c r="B67" s="102" t="n">
        <f aca="false">YEAR(A67)</f>
        <v>2023</v>
      </c>
      <c r="C67" s="102" t="n">
        <f aca="false">MONTH(A67)</f>
        <v>5</v>
      </c>
      <c r="D67" s="100" t="s">
        <v>307</v>
      </c>
      <c r="E67" s="68" t="str">
        <f aca="false">VLOOKUP(D67,Map_Table,3,FALSE())</f>
        <v>General &amp; Administrative</v>
      </c>
      <c r="F67" s="68" t="str">
        <f aca="false">VLOOKUP(D67,Map_Table,4,FALSE())</f>
        <v>Fixed</v>
      </c>
      <c r="G67" s="96" t="n">
        <v>417</v>
      </c>
      <c r="H67" s="68" t="str">
        <f aca="false">"E"&amp;TEXT(A67,"yyyymm")&amp;"-"&amp;TEXT(VLOOKUP(D67,Map_Table,2,FALSE()),"0")</f>
        <v>E202305-6206</v>
      </c>
    </row>
    <row r="68" customFormat="false" ht="15" hidden="false" customHeight="false" outlineLevel="0" collapsed="false">
      <c r="A68" s="101" t="n">
        <v>45077</v>
      </c>
      <c r="B68" s="102" t="n">
        <f aca="false">YEAR(A68)</f>
        <v>2023</v>
      </c>
      <c r="C68" s="102" t="n">
        <f aca="false">MONTH(A68)</f>
        <v>5</v>
      </c>
      <c r="D68" s="100" t="s">
        <v>308</v>
      </c>
      <c r="E68" s="68" t="str">
        <f aca="false">VLOOKUP(D68,Map_Table,3,FALSE())</f>
        <v>General &amp; Administrative</v>
      </c>
      <c r="F68" s="68" t="str">
        <f aca="false">VLOOKUP(D68,Map_Table,4,FALSE())</f>
        <v>Fixed</v>
      </c>
      <c r="G68" s="96" t="n">
        <v>334</v>
      </c>
      <c r="H68" s="68" t="str">
        <f aca="false">"E"&amp;TEXT(A68,"yyyymm")&amp;"-"&amp;TEXT(VLOOKUP(D68,Map_Table,2,FALSE()),"0")</f>
        <v>E202305-6207</v>
      </c>
    </row>
    <row r="69" customFormat="false" ht="15" hidden="false" customHeight="false" outlineLevel="0" collapsed="false">
      <c r="A69" s="101" t="n">
        <v>45077</v>
      </c>
      <c r="B69" s="102" t="n">
        <f aca="false">YEAR(A69)</f>
        <v>2023</v>
      </c>
      <c r="C69" s="102" t="n">
        <f aca="false">MONTH(A69)</f>
        <v>5</v>
      </c>
      <c r="D69" s="100" t="s">
        <v>309</v>
      </c>
      <c r="E69" s="68" t="str">
        <f aca="false">VLOOKUP(D69,Map_Table,3,FALSE())</f>
        <v>General &amp; Administrative</v>
      </c>
      <c r="F69" s="68" t="str">
        <f aca="false">VLOOKUP(D69,Map_Table,4,FALSE())</f>
        <v>Variable</v>
      </c>
      <c r="G69" s="96" t="n">
        <v>104</v>
      </c>
      <c r="H69" s="68" t="str">
        <f aca="false">"E"&amp;TEXT(A69,"yyyymm")&amp;"-"&amp;TEXT(VLOOKUP(D69,Map_Table,2,FALSE()),"0")</f>
        <v>E202305-6208</v>
      </c>
    </row>
    <row r="70" customFormat="false" ht="15" hidden="false" customHeight="false" outlineLevel="0" collapsed="false">
      <c r="A70" s="101" t="n">
        <v>45107</v>
      </c>
      <c r="B70" s="102" t="n">
        <f aca="false">YEAR(A70)</f>
        <v>2023</v>
      </c>
      <c r="C70" s="102" t="n">
        <f aca="false">MONTH(A70)</f>
        <v>6</v>
      </c>
      <c r="D70" s="100" t="s">
        <v>297</v>
      </c>
      <c r="E70" s="68" t="str">
        <f aca="false">VLOOKUP(D70,Map_Table,3,FALSE())</f>
        <v>Selling &amp; Distribution</v>
      </c>
      <c r="F70" s="68" t="str">
        <f aca="false">VLOOKUP(D70,Map_Table,4,FALSE())</f>
        <v>Variable</v>
      </c>
      <c r="G70" s="96" t="n">
        <v>1072</v>
      </c>
      <c r="H70" s="68" t="str">
        <f aca="false">"E"&amp;TEXT(A70,"yyyymm")&amp;"-"&amp;TEXT(VLOOKUP(D70,Map_Table,2,FALSE()),"0")</f>
        <v>E202306-6101</v>
      </c>
    </row>
    <row r="71" customFormat="false" ht="15" hidden="false" customHeight="false" outlineLevel="0" collapsed="false">
      <c r="A71" s="101" t="n">
        <v>45107</v>
      </c>
      <c r="B71" s="102" t="n">
        <f aca="false">YEAR(A71)</f>
        <v>2023</v>
      </c>
      <c r="C71" s="102" t="n">
        <f aca="false">MONTH(A71)</f>
        <v>6</v>
      </c>
      <c r="D71" s="100" t="s">
        <v>298</v>
      </c>
      <c r="E71" s="68" t="str">
        <f aca="false">VLOOKUP(D71,Map_Table,3,FALSE())</f>
        <v>Selling &amp; Distribution</v>
      </c>
      <c r="F71" s="68" t="str">
        <f aca="false">VLOOKUP(D71,Map_Table,4,FALSE())</f>
        <v>Variable</v>
      </c>
      <c r="G71" s="96" t="n">
        <v>601</v>
      </c>
      <c r="H71" s="68" t="str">
        <f aca="false">"E"&amp;TEXT(A71,"yyyymm")&amp;"-"&amp;TEXT(VLOOKUP(D71,Map_Table,2,FALSE()),"0")</f>
        <v>E202306-6102</v>
      </c>
    </row>
    <row r="72" customFormat="false" ht="15" hidden="false" customHeight="false" outlineLevel="0" collapsed="false">
      <c r="A72" s="101" t="n">
        <v>45107</v>
      </c>
      <c r="B72" s="102" t="n">
        <f aca="false">YEAR(A72)</f>
        <v>2023</v>
      </c>
      <c r="C72" s="102" t="n">
        <f aca="false">MONTH(A72)</f>
        <v>6</v>
      </c>
      <c r="D72" s="100" t="s">
        <v>299</v>
      </c>
      <c r="E72" s="68" t="str">
        <f aca="false">VLOOKUP(D72,Map_Table,3,FALSE())</f>
        <v>Selling &amp; Distribution</v>
      </c>
      <c r="F72" s="68" t="str">
        <f aca="false">VLOOKUP(D72,Map_Table,4,FALSE())</f>
        <v>Variable</v>
      </c>
      <c r="G72" s="96" t="n">
        <v>1615</v>
      </c>
      <c r="H72" s="68" t="str">
        <f aca="false">"E"&amp;TEXT(A72,"yyyymm")&amp;"-"&amp;TEXT(VLOOKUP(D72,Map_Table,2,FALSE()),"0")</f>
        <v>E202306-6103</v>
      </c>
    </row>
    <row r="73" customFormat="false" ht="15" hidden="false" customHeight="false" outlineLevel="0" collapsed="false">
      <c r="A73" s="101" t="n">
        <v>45107</v>
      </c>
      <c r="B73" s="102" t="n">
        <f aca="false">YEAR(A73)</f>
        <v>2023</v>
      </c>
      <c r="C73" s="102" t="n">
        <f aca="false">MONTH(A73)</f>
        <v>6</v>
      </c>
      <c r="D73" s="100" t="s">
        <v>300</v>
      </c>
      <c r="E73" s="68" t="str">
        <f aca="false">VLOOKUP(D73,Map_Table,3,FALSE())</f>
        <v>Selling &amp; Distribution</v>
      </c>
      <c r="F73" s="68" t="str">
        <f aca="false">VLOOKUP(D73,Map_Table,4,FALSE())</f>
        <v>Fixed</v>
      </c>
      <c r="G73" s="96" t="n">
        <v>1937</v>
      </c>
      <c r="H73" s="68" t="str">
        <f aca="false">"E"&amp;TEXT(A73,"yyyymm")&amp;"-"&amp;TEXT(VLOOKUP(D73,Map_Table,2,FALSE()),"0")</f>
        <v>E202306-6104</v>
      </c>
    </row>
    <row r="74" customFormat="false" ht="15" hidden="false" customHeight="false" outlineLevel="0" collapsed="false">
      <c r="A74" s="101" t="n">
        <v>45107</v>
      </c>
      <c r="B74" s="102" t="n">
        <f aca="false">YEAR(A74)</f>
        <v>2023</v>
      </c>
      <c r="C74" s="102" t="n">
        <f aca="false">MONTH(A74)</f>
        <v>6</v>
      </c>
      <c r="D74" s="100" t="s">
        <v>301</v>
      </c>
      <c r="E74" s="68" t="str">
        <f aca="false">VLOOKUP(D74,Map_Table,3,FALSE())</f>
        <v>Selling &amp; Distribution</v>
      </c>
      <c r="F74" s="68" t="str">
        <f aca="false">VLOOKUP(D74,Map_Table,4,FALSE())</f>
        <v>Fixed</v>
      </c>
      <c r="G74" s="96" t="n">
        <v>2513</v>
      </c>
      <c r="H74" s="68" t="str">
        <f aca="false">"E"&amp;TEXT(A74,"yyyymm")&amp;"-"&amp;TEXT(VLOOKUP(D74,Map_Table,2,FALSE()),"0")</f>
        <v>E202306-6105</v>
      </c>
    </row>
    <row r="75" customFormat="false" ht="15" hidden="false" customHeight="false" outlineLevel="0" collapsed="false">
      <c r="A75" s="101" t="n">
        <v>45107</v>
      </c>
      <c r="B75" s="102" t="n">
        <f aca="false">YEAR(A75)</f>
        <v>2023</v>
      </c>
      <c r="C75" s="102" t="n">
        <f aca="false">MONTH(A75)</f>
        <v>6</v>
      </c>
      <c r="D75" s="100" t="s">
        <v>302</v>
      </c>
      <c r="E75" s="68" t="str">
        <f aca="false">VLOOKUP(D75,Map_Table,3,FALSE())</f>
        <v>General &amp; Administrative</v>
      </c>
      <c r="F75" s="68" t="str">
        <f aca="false">VLOOKUP(D75,Map_Table,4,FALSE())</f>
        <v>Fixed</v>
      </c>
      <c r="G75" s="96" t="n">
        <v>2303</v>
      </c>
      <c r="H75" s="68" t="str">
        <f aca="false">"E"&amp;TEXT(A75,"yyyymm")&amp;"-"&amp;TEXT(VLOOKUP(D75,Map_Table,2,FALSE()),"0")</f>
        <v>E202306-6201</v>
      </c>
    </row>
    <row r="76" customFormat="false" ht="15" hidden="false" customHeight="false" outlineLevel="0" collapsed="false">
      <c r="A76" s="101" t="n">
        <v>45107</v>
      </c>
      <c r="B76" s="102" t="n">
        <f aca="false">YEAR(A76)</f>
        <v>2023</v>
      </c>
      <c r="C76" s="102" t="n">
        <f aca="false">MONTH(A76)</f>
        <v>6</v>
      </c>
      <c r="D76" s="100" t="s">
        <v>303</v>
      </c>
      <c r="E76" s="68" t="str">
        <f aca="false">VLOOKUP(D76,Map_Table,3,FALSE())</f>
        <v>General &amp; Administrative</v>
      </c>
      <c r="F76" s="68" t="str">
        <f aca="false">VLOOKUP(D76,Map_Table,4,FALSE())</f>
        <v>Fixed</v>
      </c>
      <c r="G76" s="96" t="n">
        <v>628</v>
      </c>
      <c r="H76" s="68" t="str">
        <f aca="false">"E"&amp;TEXT(A76,"yyyymm")&amp;"-"&amp;TEXT(VLOOKUP(D76,Map_Table,2,FALSE()),"0")</f>
        <v>E202306-6202</v>
      </c>
    </row>
    <row r="77" customFormat="false" ht="15" hidden="false" customHeight="false" outlineLevel="0" collapsed="false">
      <c r="A77" s="101" t="n">
        <v>45107</v>
      </c>
      <c r="B77" s="102" t="n">
        <f aca="false">YEAR(A77)</f>
        <v>2023</v>
      </c>
      <c r="C77" s="102" t="n">
        <f aca="false">MONTH(A77)</f>
        <v>6</v>
      </c>
      <c r="D77" s="100" t="s">
        <v>304</v>
      </c>
      <c r="E77" s="68" t="str">
        <f aca="false">VLOOKUP(D77,Map_Table,3,FALSE())</f>
        <v>General &amp; Administrative</v>
      </c>
      <c r="F77" s="68" t="str">
        <f aca="false">VLOOKUP(D77,Map_Table,4,FALSE())</f>
        <v>Fixed</v>
      </c>
      <c r="G77" s="96" t="n">
        <v>305</v>
      </c>
      <c r="H77" s="68" t="str">
        <f aca="false">"E"&amp;TEXT(A77,"yyyymm")&amp;"-"&amp;TEXT(VLOOKUP(D77,Map_Table,2,FALSE()),"0")</f>
        <v>E202306-6203</v>
      </c>
    </row>
    <row r="78" customFormat="false" ht="15" hidden="false" customHeight="false" outlineLevel="0" collapsed="false">
      <c r="A78" s="101" t="n">
        <v>45107</v>
      </c>
      <c r="B78" s="102" t="n">
        <f aca="false">YEAR(A78)</f>
        <v>2023</v>
      </c>
      <c r="C78" s="102" t="n">
        <f aca="false">MONTH(A78)</f>
        <v>6</v>
      </c>
      <c r="D78" s="100" t="s">
        <v>305</v>
      </c>
      <c r="E78" s="68" t="str">
        <f aca="false">VLOOKUP(D78,Map_Table,3,FALSE())</f>
        <v>General &amp; Administrative</v>
      </c>
      <c r="F78" s="68" t="str">
        <f aca="false">VLOOKUP(D78,Map_Table,4,FALSE())</f>
        <v>Fixed</v>
      </c>
      <c r="G78" s="96" t="n">
        <v>516</v>
      </c>
      <c r="H78" s="68" t="str">
        <f aca="false">"E"&amp;TEXT(A78,"yyyymm")&amp;"-"&amp;TEXT(VLOOKUP(D78,Map_Table,2,FALSE()),"0")</f>
        <v>E202306-6204</v>
      </c>
    </row>
    <row r="79" customFormat="false" ht="15" hidden="false" customHeight="false" outlineLevel="0" collapsed="false">
      <c r="A79" s="101" t="n">
        <v>45107</v>
      </c>
      <c r="B79" s="102" t="n">
        <f aca="false">YEAR(A79)</f>
        <v>2023</v>
      </c>
      <c r="C79" s="102" t="n">
        <f aca="false">MONTH(A79)</f>
        <v>6</v>
      </c>
      <c r="D79" s="100" t="s">
        <v>306</v>
      </c>
      <c r="E79" s="68" t="str">
        <f aca="false">VLOOKUP(D79,Map_Table,3,FALSE())</f>
        <v>General &amp; Administrative</v>
      </c>
      <c r="F79" s="68" t="str">
        <f aca="false">VLOOKUP(D79,Map_Table,4,FALSE())</f>
        <v>Fixed</v>
      </c>
      <c r="G79" s="96" t="n">
        <v>235</v>
      </c>
      <c r="H79" s="68" t="str">
        <f aca="false">"E"&amp;TEXT(A79,"yyyymm")&amp;"-"&amp;TEXT(VLOOKUP(D79,Map_Table,2,FALSE()),"0")</f>
        <v>E202306-6205</v>
      </c>
    </row>
    <row r="80" customFormat="false" ht="15" hidden="false" customHeight="false" outlineLevel="0" collapsed="false">
      <c r="A80" s="101" t="n">
        <v>45107</v>
      </c>
      <c r="B80" s="102" t="n">
        <f aca="false">YEAR(A80)</f>
        <v>2023</v>
      </c>
      <c r="C80" s="102" t="n">
        <f aca="false">MONTH(A80)</f>
        <v>6</v>
      </c>
      <c r="D80" s="100" t="s">
        <v>307</v>
      </c>
      <c r="E80" s="68" t="str">
        <f aca="false">VLOOKUP(D80,Map_Table,3,FALSE())</f>
        <v>General &amp; Administrative</v>
      </c>
      <c r="F80" s="68" t="str">
        <f aca="false">VLOOKUP(D80,Map_Table,4,FALSE())</f>
        <v>Fixed</v>
      </c>
      <c r="G80" s="96" t="n">
        <v>420</v>
      </c>
      <c r="H80" s="68" t="str">
        <f aca="false">"E"&amp;TEXT(A80,"yyyymm")&amp;"-"&amp;TEXT(VLOOKUP(D80,Map_Table,2,FALSE()),"0")</f>
        <v>E202306-6206</v>
      </c>
    </row>
    <row r="81" customFormat="false" ht="15" hidden="false" customHeight="false" outlineLevel="0" collapsed="false">
      <c r="A81" s="101" t="n">
        <v>45107</v>
      </c>
      <c r="B81" s="102" t="n">
        <f aca="false">YEAR(A81)</f>
        <v>2023</v>
      </c>
      <c r="C81" s="102" t="n">
        <f aca="false">MONTH(A81)</f>
        <v>6</v>
      </c>
      <c r="D81" s="100" t="s">
        <v>308</v>
      </c>
      <c r="E81" s="68" t="str">
        <f aca="false">VLOOKUP(D81,Map_Table,3,FALSE())</f>
        <v>General &amp; Administrative</v>
      </c>
      <c r="F81" s="68" t="str">
        <f aca="false">VLOOKUP(D81,Map_Table,4,FALSE())</f>
        <v>Fixed</v>
      </c>
      <c r="G81" s="96" t="n">
        <v>345</v>
      </c>
      <c r="H81" s="68" t="str">
        <f aca="false">"E"&amp;TEXT(A81,"yyyymm")&amp;"-"&amp;TEXT(VLOOKUP(D81,Map_Table,2,FALSE()),"0")</f>
        <v>E202306-6207</v>
      </c>
    </row>
    <row r="82" customFormat="false" ht="15" hidden="false" customHeight="false" outlineLevel="0" collapsed="false">
      <c r="A82" s="101" t="n">
        <v>45107</v>
      </c>
      <c r="B82" s="102" t="n">
        <f aca="false">YEAR(A82)</f>
        <v>2023</v>
      </c>
      <c r="C82" s="102" t="n">
        <f aca="false">MONTH(A82)</f>
        <v>6</v>
      </c>
      <c r="D82" s="100" t="s">
        <v>309</v>
      </c>
      <c r="E82" s="68" t="str">
        <f aca="false">VLOOKUP(D82,Map_Table,3,FALSE())</f>
        <v>General &amp; Administrative</v>
      </c>
      <c r="F82" s="68" t="str">
        <f aca="false">VLOOKUP(D82,Map_Table,4,FALSE())</f>
        <v>Variable</v>
      </c>
      <c r="G82" s="96" t="n">
        <v>101</v>
      </c>
      <c r="H82" s="68" t="str">
        <f aca="false">"E"&amp;TEXT(A82,"yyyymm")&amp;"-"&amp;TEXT(VLOOKUP(D82,Map_Table,2,FALSE()),"0")</f>
        <v>E202306-6208</v>
      </c>
    </row>
    <row r="83" customFormat="false" ht="15" hidden="false" customHeight="false" outlineLevel="0" collapsed="false">
      <c r="A83" s="101" t="n">
        <v>45138</v>
      </c>
      <c r="B83" s="102" t="n">
        <f aca="false">YEAR(A83)</f>
        <v>2023</v>
      </c>
      <c r="C83" s="102" t="n">
        <f aca="false">MONTH(A83)</f>
        <v>7</v>
      </c>
      <c r="D83" s="100" t="s">
        <v>297</v>
      </c>
      <c r="E83" s="68" t="str">
        <f aca="false">VLOOKUP(D83,Map_Table,3,FALSE())</f>
        <v>Selling &amp; Distribution</v>
      </c>
      <c r="F83" s="68" t="str">
        <f aca="false">VLOOKUP(D83,Map_Table,4,FALSE())</f>
        <v>Variable</v>
      </c>
      <c r="G83" s="96" t="n">
        <v>1080</v>
      </c>
      <c r="H83" s="68" t="str">
        <f aca="false">"E"&amp;TEXT(A83,"yyyymm")&amp;"-"&amp;TEXT(VLOOKUP(D83,Map_Table,2,FALSE()),"0")</f>
        <v>E202307-6101</v>
      </c>
    </row>
    <row r="84" customFormat="false" ht="15" hidden="false" customHeight="false" outlineLevel="0" collapsed="false">
      <c r="A84" s="101" t="n">
        <v>45138</v>
      </c>
      <c r="B84" s="102" t="n">
        <f aca="false">YEAR(A84)</f>
        <v>2023</v>
      </c>
      <c r="C84" s="102" t="n">
        <f aca="false">MONTH(A84)</f>
        <v>7</v>
      </c>
      <c r="D84" s="100" t="s">
        <v>298</v>
      </c>
      <c r="E84" s="68" t="str">
        <f aca="false">VLOOKUP(D84,Map_Table,3,FALSE())</f>
        <v>Selling &amp; Distribution</v>
      </c>
      <c r="F84" s="68" t="str">
        <f aca="false">VLOOKUP(D84,Map_Table,4,FALSE())</f>
        <v>Variable</v>
      </c>
      <c r="G84" s="96" t="n">
        <v>601</v>
      </c>
      <c r="H84" s="68" t="str">
        <f aca="false">"E"&amp;TEXT(A84,"yyyymm")&amp;"-"&amp;TEXT(VLOOKUP(D84,Map_Table,2,FALSE()),"0")</f>
        <v>E202307-6102</v>
      </c>
    </row>
    <row r="85" customFormat="false" ht="15" hidden="false" customHeight="false" outlineLevel="0" collapsed="false">
      <c r="A85" s="101" t="n">
        <v>45138</v>
      </c>
      <c r="B85" s="102" t="n">
        <f aca="false">YEAR(A85)</f>
        <v>2023</v>
      </c>
      <c r="C85" s="102" t="n">
        <f aca="false">MONTH(A85)</f>
        <v>7</v>
      </c>
      <c r="D85" s="100" t="s">
        <v>299</v>
      </c>
      <c r="E85" s="68" t="str">
        <f aca="false">VLOOKUP(D85,Map_Table,3,FALSE())</f>
        <v>Selling &amp; Distribution</v>
      </c>
      <c r="F85" s="68" t="str">
        <f aca="false">VLOOKUP(D85,Map_Table,4,FALSE())</f>
        <v>Variable</v>
      </c>
      <c r="G85" s="96" t="n">
        <v>1623</v>
      </c>
      <c r="H85" s="68" t="str">
        <f aca="false">"E"&amp;TEXT(A85,"yyyymm")&amp;"-"&amp;TEXT(VLOOKUP(D85,Map_Table,2,FALSE()),"0")</f>
        <v>E202307-6103</v>
      </c>
    </row>
    <row r="86" customFormat="false" ht="15" hidden="false" customHeight="false" outlineLevel="0" collapsed="false">
      <c r="A86" s="101" t="n">
        <v>45138</v>
      </c>
      <c r="B86" s="102" t="n">
        <f aca="false">YEAR(A86)</f>
        <v>2023</v>
      </c>
      <c r="C86" s="102" t="n">
        <f aca="false">MONTH(A86)</f>
        <v>7</v>
      </c>
      <c r="D86" s="100" t="s">
        <v>300</v>
      </c>
      <c r="E86" s="68" t="str">
        <f aca="false">VLOOKUP(D86,Map_Table,3,FALSE())</f>
        <v>Selling &amp; Distribution</v>
      </c>
      <c r="F86" s="68" t="str">
        <f aca="false">VLOOKUP(D86,Map_Table,4,FALSE())</f>
        <v>Fixed</v>
      </c>
      <c r="G86" s="96" t="n">
        <v>1895</v>
      </c>
      <c r="H86" s="68" t="str">
        <f aca="false">"E"&amp;TEXT(A86,"yyyymm")&amp;"-"&amp;TEXT(VLOOKUP(D86,Map_Table,2,FALSE()),"0")</f>
        <v>E202307-6104</v>
      </c>
    </row>
    <row r="87" customFormat="false" ht="15" hidden="false" customHeight="false" outlineLevel="0" collapsed="false">
      <c r="A87" s="101" t="n">
        <v>45138</v>
      </c>
      <c r="B87" s="102" t="n">
        <f aca="false">YEAR(A87)</f>
        <v>2023</v>
      </c>
      <c r="C87" s="102" t="n">
        <f aca="false">MONTH(A87)</f>
        <v>7</v>
      </c>
      <c r="D87" s="100" t="s">
        <v>301</v>
      </c>
      <c r="E87" s="68" t="str">
        <f aca="false">VLOOKUP(D87,Map_Table,3,FALSE())</f>
        <v>Selling &amp; Distribution</v>
      </c>
      <c r="F87" s="68" t="str">
        <f aca="false">VLOOKUP(D87,Map_Table,4,FALSE())</f>
        <v>Fixed</v>
      </c>
      <c r="G87" s="96" t="n">
        <v>2512</v>
      </c>
      <c r="H87" s="68" t="str">
        <f aca="false">"E"&amp;TEXT(A87,"yyyymm")&amp;"-"&amp;TEXT(VLOOKUP(D87,Map_Table,2,FALSE()),"0")</f>
        <v>E202307-6105</v>
      </c>
    </row>
    <row r="88" customFormat="false" ht="15" hidden="false" customHeight="false" outlineLevel="0" collapsed="false">
      <c r="A88" s="101" t="n">
        <v>45138</v>
      </c>
      <c r="B88" s="102" t="n">
        <f aca="false">YEAR(A88)</f>
        <v>2023</v>
      </c>
      <c r="C88" s="102" t="n">
        <f aca="false">MONTH(A88)</f>
        <v>7</v>
      </c>
      <c r="D88" s="100" t="s">
        <v>302</v>
      </c>
      <c r="E88" s="68" t="str">
        <f aca="false">VLOOKUP(D88,Map_Table,3,FALSE())</f>
        <v>General &amp; Administrative</v>
      </c>
      <c r="F88" s="68" t="str">
        <f aca="false">VLOOKUP(D88,Map_Table,4,FALSE())</f>
        <v>Fixed</v>
      </c>
      <c r="G88" s="96" t="n">
        <v>2338</v>
      </c>
      <c r="H88" s="68" t="str">
        <f aca="false">"E"&amp;TEXT(A88,"yyyymm")&amp;"-"&amp;TEXT(VLOOKUP(D88,Map_Table,2,FALSE()),"0")</f>
        <v>E202307-6201</v>
      </c>
    </row>
    <row r="89" customFormat="false" ht="15" hidden="false" customHeight="false" outlineLevel="0" collapsed="false">
      <c r="A89" s="101" t="n">
        <v>45138</v>
      </c>
      <c r="B89" s="102" t="n">
        <f aca="false">YEAR(A89)</f>
        <v>2023</v>
      </c>
      <c r="C89" s="102" t="n">
        <f aca="false">MONTH(A89)</f>
        <v>7</v>
      </c>
      <c r="D89" s="100" t="s">
        <v>303</v>
      </c>
      <c r="E89" s="68" t="str">
        <f aca="false">VLOOKUP(D89,Map_Table,3,FALSE())</f>
        <v>General &amp; Administrative</v>
      </c>
      <c r="F89" s="68" t="str">
        <f aca="false">VLOOKUP(D89,Map_Table,4,FALSE())</f>
        <v>Fixed</v>
      </c>
      <c r="G89" s="96" t="n">
        <v>629</v>
      </c>
      <c r="H89" s="68" t="str">
        <f aca="false">"E"&amp;TEXT(A89,"yyyymm")&amp;"-"&amp;TEXT(VLOOKUP(D89,Map_Table,2,FALSE()),"0")</f>
        <v>E202307-6202</v>
      </c>
    </row>
    <row r="90" customFormat="false" ht="15" hidden="false" customHeight="false" outlineLevel="0" collapsed="false">
      <c r="A90" s="101" t="n">
        <v>45138</v>
      </c>
      <c r="B90" s="102" t="n">
        <f aca="false">YEAR(A90)</f>
        <v>2023</v>
      </c>
      <c r="C90" s="102" t="n">
        <f aca="false">MONTH(A90)</f>
        <v>7</v>
      </c>
      <c r="D90" s="100" t="s">
        <v>304</v>
      </c>
      <c r="E90" s="68" t="str">
        <f aca="false">VLOOKUP(D90,Map_Table,3,FALSE())</f>
        <v>General &amp; Administrative</v>
      </c>
      <c r="F90" s="68" t="str">
        <f aca="false">VLOOKUP(D90,Map_Table,4,FALSE())</f>
        <v>Fixed</v>
      </c>
      <c r="G90" s="96" t="n">
        <v>304</v>
      </c>
      <c r="H90" s="68" t="str">
        <f aca="false">"E"&amp;TEXT(A90,"yyyymm")&amp;"-"&amp;TEXT(VLOOKUP(D90,Map_Table,2,FALSE()),"0")</f>
        <v>E202307-6203</v>
      </c>
    </row>
    <row r="91" customFormat="false" ht="15" hidden="false" customHeight="false" outlineLevel="0" collapsed="false">
      <c r="A91" s="101" t="n">
        <v>45138</v>
      </c>
      <c r="B91" s="102" t="n">
        <f aca="false">YEAR(A91)</f>
        <v>2023</v>
      </c>
      <c r="C91" s="102" t="n">
        <f aca="false">MONTH(A91)</f>
        <v>7</v>
      </c>
      <c r="D91" s="100" t="s">
        <v>305</v>
      </c>
      <c r="E91" s="68" t="str">
        <f aca="false">VLOOKUP(D91,Map_Table,3,FALSE())</f>
        <v>General &amp; Administrative</v>
      </c>
      <c r="F91" s="68" t="str">
        <f aca="false">VLOOKUP(D91,Map_Table,4,FALSE())</f>
        <v>Fixed</v>
      </c>
      <c r="G91" s="96" t="n">
        <v>521</v>
      </c>
      <c r="H91" s="68" t="str">
        <f aca="false">"E"&amp;TEXT(A91,"yyyymm")&amp;"-"&amp;TEXT(VLOOKUP(D91,Map_Table,2,FALSE()),"0")</f>
        <v>E202307-6204</v>
      </c>
    </row>
    <row r="92" customFormat="false" ht="15" hidden="false" customHeight="false" outlineLevel="0" collapsed="false">
      <c r="A92" s="101" t="n">
        <v>45138</v>
      </c>
      <c r="B92" s="102" t="n">
        <f aca="false">YEAR(A92)</f>
        <v>2023</v>
      </c>
      <c r="C92" s="102" t="n">
        <f aca="false">MONTH(A92)</f>
        <v>7</v>
      </c>
      <c r="D92" s="100" t="s">
        <v>306</v>
      </c>
      <c r="E92" s="68" t="str">
        <f aca="false">VLOOKUP(D92,Map_Table,3,FALSE())</f>
        <v>General &amp; Administrative</v>
      </c>
      <c r="F92" s="68" t="str">
        <f aca="false">VLOOKUP(D92,Map_Table,4,FALSE())</f>
        <v>Fixed</v>
      </c>
      <c r="G92" s="96" t="n">
        <v>227</v>
      </c>
      <c r="H92" s="68" t="str">
        <f aca="false">"E"&amp;TEXT(A92,"yyyymm")&amp;"-"&amp;TEXT(VLOOKUP(D92,Map_Table,2,FALSE()),"0")</f>
        <v>E202307-6205</v>
      </c>
    </row>
    <row r="93" customFormat="false" ht="15" hidden="false" customHeight="false" outlineLevel="0" collapsed="false">
      <c r="A93" s="101" t="n">
        <v>45138</v>
      </c>
      <c r="B93" s="102" t="n">
        <f aca="false">YEAR(A93)</f>
        <v>2023</v>
      </c>
      <c r="C93" s="102" t="n">
        <f aca="false">MONTH(A93)</f>
        <v>7</v>
      </c>
      <c r="D93" s="100" t="s">
        <v>307</v>
      </c>
      <c r="E93" s="68" t="str">
        <f aca="false">VLOOKUP(D93,Map_Table,3,FALSE())</f>
        <v>General &amp; Administrative</v>
      </c>
      <c r="F93" s="68" t="str">
        <f aca="false">VLOOKUP(D93,Map_Table,4,FALSE())</f>
        <v>Fixed</v>
      </c>
      <c r="G93" s="96" t="n">
        <v>426</v>
      </c>
      <c r="H93" s="68" t="str">
        <f aca="false">"E"&amp;TEXT(A93,"yyyymm")&amp;"-"&amp;TEXT(VLOOKUP(D93,Map_Table,2,FALSE()),"0")</f>
        <v>E202307-6206</v>
      </c>
    </row>
    <row r="94" customFormat="false" ht="15" hidden="false" customHeight="false" outlineLevel="0" collapsed="false">
      <c r="A94" s="101" t="n">
        <v>45138</v>
      </c>
      <c r="B94" s="102" t="n">
        <f aca="false">YEAR(A94)</f>
        <v>2023</v>
      </c>
      <c r="C94" s="102" t="n">
        <f aca="false">MONTH(A94)</f>
        <v>7</v>
      </c>
      <c r="D94" s="100" t="s">
        <v>308</v>
      </c>
      <c r="E94" s="68" t="str">
        <f aca="false">VLOOKUP(D94,Map_Table,3,FALSE())</f>
        <v>General &amp; Administrative</v>
      </c>
      <c r="F94" s="68" t="str">
        <f aca="false">VLOOKUP(D94,Map_Table,4,FALSE())</f>
        <v>Fixed</v>
      </c>
      <c r="G94" s="96" t="n">
        <v>334</v>
      </c>
      <c r="H94" s="68" t="str">
        <f aca="false">"E"&amp;TEXT(A94,"yyyymm")&amp;"-"&amp;TEXT(VLOOKUP(D94,Map_Table,2,FALSE()),"0")</f>
        <v>E202307-6207</v>
      </c>
    </row>
    <row r="95" customFormat="false" ht="15" hidden="false" customHeight="false" outlineLevel="0" collapsed="false">
      <c r="A95" s="101" t="n">
        <v>45138</v>
      </c>
      <c r="B95" s="102" t="n">
        <f aca="false">YEAR(A95)</f>
        <v>2023</v>
      </c>
      <c r="C95" s="102" t="n">
        <f aca="false">MONTH(A95)</f>
        <v>7</v>
      </c>
      <c r="D95" s="100" t="s">
        <v>309</v>
      </c>
      <c r="E95" s="68" t="str">
        <f aca="false">VLOOKUP(D95,Map_Table,3,FALSE())</f>
        <v>General &amp; Administrative</v>
      </c>
      <c r="F95" s="68" t="str">
        <f aca="false">VLOOKUP(D95,Map_Table,4,FALSE())</f>
        <v>Variable</v>
      </c>
      <c r="G95" s="96" t="n">
        <v>100</v>
      </c>
      <c r="H95" s="68" t="str">
        <f aca="false">"E"&amp;TEXT(A95,"yyyymm")&amp;"-"&amp;TEXT(VLOOKUP(D95,Map_Table,2,FALSE()),"0")</f>
        <v>E202307-6208</v>
      </c>
    </row>
    <row r="96" customFormat="false" ht="15" hidden="false" customHeight="false" outlineLevel="0" collapsed="false">
      <c r="A96" s="101" t="n">
        <v>45169</v>
      </c>
      <c r="B96" s="102" t="n">
        <f aca="false">YEAR(A96)</f>
        <v>2023</v>
      </c>
      <c r="C96" s="102" t="n">
        <f aca="false">MONTH(A96)</f>
        <v>8</v>
      </c>
      <c r="D96" s="100" t="s">
        <v>297</v>
      </c>
      <c r="E96" s="68" t="str">
        <f aca="false">VLOOKUP(D96,Map_Table,3,FALSE())</f>
        <v>Selling &amp; Distribution</v>
      </c>
      <c r="F96" s="68" t="str">
        <f aca="false">VLOOKUP(D96,Map_Table,4,FALSE())</f>
        <v>Variable</v>
      </c>
      <c r="G96" s="96" t="n">
        <v>1090</v>
      </c>
      <c r="H96" s="68" t="str">
        <f aca="false">"E"&amp;TEXT(A96,"yyyymm")&amp;"-"&amp;TEXT(VLOOKUP(D96,Map_Table,2,FALSE()),"0")</f>
        <v>E202308-6101</v>
      </c>
    </row>
    <row r="97" customFormat="false" ht="15" hidden="false" customHeight="false" outlineLevel="0" collapsed="false">
      <c r="A97" s="101" t="n">
        <v>45169</v>
      </c>
      <c r="B97" s="102" t="n">
        <f aca="false">YEAR(A97)</f>
        <v>2023</v>
      </c>
      <c r="C97" s="102" t="n">
        <f aca="false">MONTH(A97)</f>
        <v>8</v>
      </c>
      <c r="D97" s="100" t="s">
        <v>298</v>
      </c>
      <c r="E97" s="68" t="str">
        <f aca="false">VLOOKUP(D97,Map_Table,3,FALSE())</f>
        <v>Selling &amp; Distribution</v>
      </c>
      <c r="F97" s="68" t="str">
        <f aca="false">VLOOKUP(D97,Map_Table,4,FALSE())</f>
        <v>Variable</v>
      </c>
      <c r="G97" s="96" t="n">
        <v>630</v>
      </c>
      <c r="H97" s="68" t="str">
        <f aca="false">"E"&amp;TEXT(A97,"yyyymm")&amp;"-"&amp;TEXT(VLOOKUP(D97,Map_Table,2,FALSE()),"0")</f>
        <v>E202308-6102</v>
      </c>
    </row>
    <row r="98" customFormat="false" ht="15" hidden="false" customHeight="false" outlineLevel="0" collapsed="false">
      <c r="A98" s="101" t="n">
        <v>45169</v>
      </c>
      <c r="B98" s="102" t="n">
        <f aca="false">YEAR(A98)</f>
        <v>2023</v>
      </c>
      <c r="C98" s="102" t="n">
        <f aca="false">MONTH(A98)</f>
        <v>8</v>
      </c>
      <c r="D98" s="100" t="s">
        <v>299</v>
      </c>
      <c r="E98" s="68" t="str">
        <f aca="false">VLOOKUP(D98,Map_Table,3,FALSE())</f>
        <v>Selling &amp; Distribution</v>
      </c>
      <c r="F98" s="68" t="str">
        <f aca="false">VLOOKUP(D98,Map_Table,4,FALSE())</f>
        <v>Variable</v>
      </c>
      <c r="G98" s="96" t="n">
        <v>1665</v>
      </c>
      <c r="H98" s="68" t="str">
        <f aca="false">"E"&amp;TEXT(A98,"yyyymm")&amp;"-"&amp;TEXT(VLOOKUP(D98,Map_Table,2,FALSE()),"0")</f>
        <v>E202308-6103</v>
      </c>
    </row>
    <row r="99" customFormat="false" ht="15" hidden="false" customHeight="false" outlineLevel="0" collapsed="false">
      <c r="A99" s="101" t="n">
        <v>45169</v>
      </c>
      <c r="B99" s="102" t="n">
        <f aca="false">YEAR(A99)</f>
        <v>2023</v>
      </c>
      <c r="C99" s="102" t="n">
        <f aca="false">MONTH(A99)</f>
        <v>8</v>
      </c>
      <c r="D99" s="100" t="s">
        <v>300</v>
      </c>
      <c r="E99" s="68" t="str">
        <f aca="false">VLOOKUP(D99,Map_Table,3,FALSE())</f>
        <v>Selling &amp; Distribution</v>
      </c>
      <c r="F99" s="68" t="str">
        <f aca="false">VLOOKUP(D99,Map_Table,4,FALSE())</f>
        <v>Fixed</v>
      </c>
      <c r="G99" s="96" t="n">
        <v>1924</v>
      </c>
      <c r="H99" s="68" t="str">
        <f aca="false">"E"&amp;TEXT(A99,"yyyymm")&amp;"-"&amp;TEXT(VLOOKUP(D99,Map_Table,2,FALSE()),"0")</f>
        <v>E202308-6104</v>
      </c>
    </row>
    <row r="100" customFormat="false" ht="15" hidden="false" customHeight="false" outlineLevel="0" collapsed="false">
      <c r="A100" s="101" t="n">
        <v>45169</v>
      </c>
      <c r="B100" s="102" t="n">
        <f aca="false">YEAR(A100)</f>
        <v>2023</v>
      </c>
      <c r="C100" s="102" t="n">
        <f aca="false">MONTH(A100)</f>
        <v>8</v>
      </c>
      <c r="D100" s="100" t="s">
        <v>301</v>
      </c>
      <c r="E100" s="68" t="str">
        <f aca="false">VLOOKUP(D100,Map_Table,3,FALSE())</f>
        <v>Selling &amp; Distribution</v>
      </c>
      <c r="F100" s="68" t="str">
        <f aca="false">VLOOKUP(D100,Map_Table,4,FALSE())</f>
        <v>Fixed</v>
      </c>
      <c r="G100" s="96" t="n">
        <v>2494</v>
      </c>
      <c r="H100" s="68" t="str">
        <f aca="false">"E"&amp;TEXT(A100,"yyyymm")&amp;"-"&amp;TEXT(VLOOKUP(D100,Map_Table,2,FALSE()),"0")</f>
        <v>E202308-6105</v>
      </c>
    </row>
    <row r="101" customFormat="false" ht="15" hidden="false" customHeight="false" outlineLevel="0" collapsed="false">
      <c r="A101" s="101" t="n">
        <v>45169</v>
      </c>
      <c r="B101" s="102" t="n">
        <f aca="false">YEAR(A101)</f>
        <v>2023</v>
      </c>
      <c r="C101" s="102" t="n">
        <f aca="false">MONTH(A101)</f>
        <v>8</v>
      </c>
      <c r="D101" s="100" t="s">
        <v>302</v>
      </c>
      <c r="E101" s="68" t="str">
        <f aca="false">VLOOKUP(D101,Map_Table,3,FALSE())</f>
        <v>General &amp; Administrative</v>
      </c>
      <c r="F101" s="68" t="str">
        <f aca="false">VLOOKUP(D101,Map_Table,4,FALSE())</f>
        <v>Fixed</v>
      </c>
      <c r="G101" s="96" t="n">
        <v>2271</v>
      </c>
      <c r="H101" s="68" t="str">
        <f aca="false">"E"&amp;TEXT(A101,"yyyymm")&amp;"-"&amp;TEXT(VLOOKUP(D101,Map_Table,2,FALSE()),"0")</f>
        <v>E202308-6201</v>
      </c>
    </row>
    <row r="102" customFormat="false" ht="15" hidden="false" customHeight="false" outlineLevel="0" collapsed="false">
      <c r="A102" s="101" t="n">
        <v>45169</v>
      </c>
      <c r="B102" s="102" t="n">
        <f aca="false">YEAR(A102)</f>
        <v>2023</v>
      </c>
      <c r="C102" s="102" t="n">
        <f aca="false">MONTH(A102)</f>
        <v>8</v>
      </c>
      <c r="D102" s="100" t="s">
        <v>303</v>
      </c>
      <c r="E102" s="68" t="str">
        <f aca="false">VLOOKUP(D102,Map_Table,3,FALSE())</f>
        <v>General &amp; Administrative</v>
      </c>
      <c r="F102" s="68" t="str">
        <f aca="false">VLOOKUP(D102,Map_Table,4,FALSE())</f>
        <v>Fixed</v>
      </c>
      <c r="G102" s="96" t="n">
        <v>608</v>
      </c>
      <c r="H102" s="68" t="str">
        <f aca="false">"E"&amp;TEXT(A102,"yyyymm")&amp;"-"&amp;TEXT(VLOOKUP(D102,Map_Table,2,FALSE()),"0")</f>
        <v>E202308-6202</v>
      </c>
    </row>
    <row r="103" customFormat="false" ht="15" hidden="false" customHeight="false" outlineLevel="0" collapsed="false">
      <c r="A103" s="101" t="n">
        <v>45169</v>
      </c>
      <c r="B103" s="102" t="n">
        <f aca="false">YEAR(A103)</f>
        <v>2023</v>
      </c>
      <c r="C103" s="102" t="n">
        <f aca="false">MONTH(A103)</f>
        <v>8</v>
      </c>
      <c r="D103" s="100" t="s">
        <v>304</v>
      </c>
      <c r="E103" s="68" t="str">
        <f aca="false">VLOOKUP(D103,Map_Table,3,FALSE())</f>
        <v>General &amp; Administrative</v>
      </c>
      <c r="F103" s="68" t="str">
        <f aca="false">VLOOKUP(D103,Map_Table,4,FALSE())</f>
        <v>Fixed</v>
      </c>
      <c r="G103" s="96" t="n">
        <v>295</v>
      </c>
      <c r="H103" s="68" t="str">
        <f aca="false">"E"&amp;TEXT(A103,"yyyymm")&amp;"-"&amp;TEXT(VLOOKUP(D103,Map_Table,2,FALSE()),"0")</f>
        <v>E202308-6203</v>
      </c>
    </row>
    <row r="104" customFormat="false" ht="15" hidden="false" customHeight="false" outlineLevel="0" collapsed="false">
      <c r="A104" s="101" t="n">
        <v>45169</v>
      </c>
      <c r="B104" s="102" t="n">
        <f aca="false">YEAR(A104)</f>
        <v>2023</v>
      </c>
      <c r="C104" s="102" t="n">
        <f aca="false">MONTH(A104)</f>
        <v>8</v>
      </c>
      <c r="D104" s="100" t="s">
        <v>305</v>
      </c>
      <c r="E104" s="68" t="str">
        <f aca="false">VLOOKUP(D104,Map_Table,3,FALSE())</f>
        <v>General &amp; Administrative</v>
      </c>
      <c r="F104" s="68" t="str">
        <f aca="false">VLOOKUP(D104,Map_Table,4,FALSE())</f>
        <v>Fixed</v>
      </c>
      <c r="G104" s="96" t="n">
        <v>512</v>
      </c>
      <c r="H104" s="68" t="str">
        <f aca="false">"E"&amp;TEXT(A104,"yyyymm")&amp;"-"&amp;TEXT(VLOOKUP(D104,Map_Table,2,FALSE()),"0")</f>
        <v>E202308-6204</v>
      </c>
    </row>
    <row r="105" customFormat="false" ht="15" hidden="false" customHeight="false" outlineLevel="0" collapsed="false">
      <c r="A105" s="101" t="n">
        <v>45169</v>
      </c>
      <c r="B105" s="102" t="n">
        <f aca="false">YEAR(A105)</f>
        <v>2023</v>
      </c>
      <c r="C105" s="102" t="n">
        <f aca="false">MONTH(A105)</f>
        <v>8</v>
      </c>
      <c r="D105" s="100" t="s">
        <v>306</v>
      </c>
      <c r="E105" s="68" t="str">
        <f aca="false">VLOOKUP(D105,Map_Table,3,FALSE())</f>
        <v>General &amp; Administrative</v>
      </c>
      <c r="F105" s="68" t="str">
        <f aca="false">VLOOKUP(D105,Map_Table,4,FALSE())</f>
        <v>Fixed</v>
      </c>
      <c r="G105" s="96" t="n">
        <v>189</v>
      </c>
      <c r="H105" s="68" t="str">
        <f aca="false">"E"&amp;TEXT(A105,"yyyymm")&amp;"-"&amp;TEXT(VLOOKUP(D105,Map_Table,2,FALSE()),"0")</f>
        <v>E202308-6205</v>
      </c>
    </row>
    <row r="106" customFormat="false" ht="15" hidden="false" customHeight="false" outlineLevel="0" collapsed="false">
      <c r="A106" s="101" t="n">
        <v>45169</v>
      </c>
      <c r="B106" s="102" t="n">
        <f aca="false">YEAR(A106)</f>
        <v>2023</v>
      </c>
      <c r="C106" s="102" t="n">
        <f aca="false">MONTH(A106)</f>
        <v>8</v>
      </c>
      <c r="D106" s="100" t="s">
        <v>307</v>
      </c>
      <c r="E106" s="68" t="str">
        <f aca="false">VLOOKUP(D106,Map_Table,3,FALSE())</f>
        <v>General &amp; Administrative</v>
      </c>
      <c r="F106" s="68" t="str">
        <f aca="false">VLOOKUP(D106,Map_Table,4,FALSE())</f>
        <v>Fixed</v>
      </c>
      <c r="G106" s="96" t="n">
        <v>422</v>
      </c>
      <c r="H106" s="68" t="str">
        <f aca="false">"E"&amp;TEXT(A106,"yyyymm")&amp;"-"&amp;TEXT(VLOOKUP(D106,Map_Table,2,FALSE()),"0")</f>
        <v>E202308-6206</v>
      </c>
    </row>
    <row r="107" customFormat="false" ht="15" hidden="false" customHeight="false" outlineLevel="0" collapsed="false">
      <c r="A107" s="101" t="n">
        <v>45169</v>
      </c>
      <c r="B107" s="102" t="n">
        <f aca="false">YEAR(A107)</f>
        <v>2023</v>
      </c>
      <c r="C107" s="102" t="n">
        <f aca="false">MONTH(A107)</f>
        <v>8</v>
      </c>
      <c r="D107" s="100" t="s">
        <v>308</v>
      </c>
      <c r="E107" s="68" t="str">
        <f aca="false">VLOOKUP(D107,Map_Table,3,FALSE())</f>
        <v>General &amp; Administrative</v>
      </c>
      <c r="F107" s="68" t="str">
        <f aca="false">VLOOKUP(D107,Map_Table,4,FALSE())</f>
        <v>Fixed</v>
      </c>
      <c r="G107" s="96" t="n">
        <v>342</v>
      </c>
      <c r="H107" s="68" t="str">
        <f aca="false">"E"&amp;TEXT(A107,"yyyymm")&amp;"-"&amp;TEXT(VLOOKUP(D107,Map_Table,2,FALSE()),"0")</f>
        <v>E202308-6207</v>
      </c>
    </row>
    <row r="108" customFormat="false" ht="15" hidden="false" customHeight="false" outlineLevel="0" collapsed="false">
      <c r="A108" s="101" t="n">
        <v>45169</v>
      </c>
      <c r="B108" s="102" t="n">
        <f aca="false">YEAR(A108)</f>
        <v>2023</v>
      </c>
      <c r="C108" s="102" t="n">
        <f aca="false">MONTH(A108)</f>
        <v>8</v>
      </c>
      <c r="D108" s="100" t="s">
        <v>309</v>
      </c>
      <c r="E108" s="68" t="str">
        <f aca="false">VLOOKUP(D108,Map_Table,3,FALSE())</f>
        <v>General &amp; Administrative</v>
      </c>
      <c r="F108" s="68" t="str">
        <f aca="false">VLOOKUP(D108,Map_Table,4,FALSE())</f>
        <v>Variable</v>
      </c>
      <c r="G108" s="96" t="n">
        <v>107</v>
      </c>
      <c r="H108" s="68" t="str">
        <f aca="false">"E"&amp;TEXT(A108,"yyyymm")&amp;"-"&amp;TEXT(VLOOKUP(D108,Map_Table,2,FALSE()),"0")</f>
        <v>E202308-6208</v>
      </c>
    </row>
    <row r="109" customFormat="false" ht="15" hidden="false" customHeight="false" outlineLevel="0" collapsed="false">
      <c r="A109" s="101" t="n">
        <v>45199</v>
      </c>
      <c r="B109" s="102" t="n">
        <f aca="false">YEAR(A109)</f>
        <v>2023</v>
      </c>
      <c r="C109" s="102" t="n">
        <f aca="false">MONTH(A109)</f>
        <v>9</v>
      </c>
      <c r="D109" s="100" t="s">
        <v>297</v>
      </c>
      <c r="E109" s="68" t="str">
        <f aca="false">VLOOKUP(D109,Map_Table,3,FALSE())</f>
        <v>Selling &amp; Distribution</v>
      </c>
      <c r="F109" s="68" t="str">
        <f aca="false">VLOOKUP(D109,Map_Table,4,FALSE())</f>
        <v>Variable</v>
      </c>
      <c r="G109" s="96" t="n">
        <v>1106</v>
      </c>
      <c r="H109" s="68" t="str">
        <f aca="false">"E"&amp;TEXT(A109,"yyyymm")&amp;"-"&amp;TEXT(VLOOKUP(D109,Map_Table,2,FALSE()),"0")</f>
        <v>E202309-6101</v>
      </c>
    </row>
    <row r="110" customFormat="false" ht="15" hidden="false" customHeight="false" outlineLevel="0" collapsed="false">
      <c r="A110" s="101" t="n">
        <v>45199</v>
      </c>
      <c r="B110" s="102" t="n">
        <f aca="false">YEAR(A110)</f>
        <v>2023</v>
      </c>
      <c r="C110" s="102" t="n">
        <f aca="false">MONTH(A110)</f>
        <v>9</v>
      </c>
      <c r="D110" s="100" t="s">
        <v>298</v>
      </c>
      <c r="E110" s="68" t="str">
        <f aca="false">VLOOKUP(D110,Map_Table,3,FALSE())</f>
        <v>Selling &amp; Distribution</v>
      </c>
      <c r="F110" s="68" t="str">
        <f aca="false">VLOOKUP(D110,Map_Table,4,FALSE())</f>
        <v>Variable</v>
      </c>
      <c r="G110" s="96" t="n">
        <v>614</v>
      </c>
      <c r="H110" s="68" t="str">
        <f aca="false">"E"&amp;TEXT(A110,"yyyymm")&amp;"-"&amp;TEXT(VLOOKUP(D110,Map_Table,2,FALSE()),"0")</f>
        <v>E202309-6102</v>
      </c>
    </row>
    <row r="111" customFormat="false" ht="15" hidden="false" customHeight="false" outlineLevel="0" collapsed="false">
      <c r="A111" s="101" t="n">
        <v>45199</v>
      </c>
      <c r="B111" s="102" t="n">
        <f aca="false">YEAR(A111)</f>
        <v>2023</v>
      </c>
      <c r="C111" s="102" t="n">
        <f aca="false">MONTH(A111)</f>
        <v>9</v>
      </c>
      <c r="D111" s="100" t="s">
        <v>299</v>
      </c>
      <c r="E111" s="68" t="str">
        <f aca="false">VLOOKUP(D111,Map_Table,3,FALSE())</f>
        <v>Selling &amp; Distribution</v>
      </c>
      <c r="F111" s="68" t="str">
        <f aca="false">VLOOKUP(D111,Map_Table,4,FALSE())</f>
        <v>Variable</v>
      </c>
      <c r="G111" s="96" t="n">
        <v>1628</v>
      </c>
      <c r="H111" s="68" t="str">
        <f aca="false">"E"&amp;TEXT(A111,"yyyymm")&amp;"-"&amp;TEXT(VLOOKUP(D111,Map_Table,2,FALSE()),"0")</f>
        <v>E202309-6103</v>
      </c>
    </row>
    <row r="112" customFormat="false" ht="15" hidden="false" customHeight="false" outlineLevel="0" collapsed="false">
      <c r="A112" s="101" t="n">
        <v>45199</v>
      </c>
      <c r="B112" s="102" t="n">
        <f aca="false">YEAR(A112)</f>
        <v>2023</v>
      </c>
      <c r="C112" s="102" t="n">
        <f aca="false">MONTH(A112)</f>
        <v>9</v>
      </c>
      <c r="D112" s="100" t="s">
        <v>300</v>
      </c>
      <c r="E112" s="68" t="str">
        <f aca="false">VLOOKUP(D112,Map_Table,3,FALSE())</f>
        <v>Selling &amp; Distribution</v>
      </c>
      <c r="F112" s="68" t="str">
        <f aca="false">VLOOKUP(D112,Map_Table,4,FALSE())</f>
        <v>Fixed</v>
      </c>
      <c r="G112" s="96" t="n">
        <v>1930</v>
      </c>
      <c r="H112" s="68" t="str">
        <f aca="false">"E"&amp;TEXT(A112,"yyyymm")&amp;"-"&amp;TEXT(VLOOKUP(D112,Map_Table,2,FALSE()),"0")</f>
        <v>E202309-6104</v>
      </c>
    </row>
    <row r="113" customFormat="false" ht="15" hidden="false" customHeight="false" outlineLevel="0" collapsed="false">
      <c r="A113" s="101" t="n">
        <v>45199</v>
      </c>
      <c r="B113" s="102" t="n">
        <f aca="false">YEAR(A113)</f>
        <v>2023</v>
      </c>
      <c r="C113" s="102" t="n">
        <f aca="false">MONTH(A113)</f>
        <v>9</v>
      </c>
      <c r="D113" s="100" t="s">
        <v>301</v>
      </c>
      <c r="E113" s="68" t="str">
        <f aca="false">VLOOKUP(D113,Map_Table,3,FALSE())</f>
        <v>Selling &amp; Distribution</v>
      </c>
      <c r="F113" s="68" t="str">
        <f aca="false">VLOOKUP(D113,Map_Table,4,FALSE())</f>
        <v>Fixed</v>
      </c>
      <c r="G113" s="96" t="n">
        <v>2460</v>
      </c>
      <c r="H113" s="68" t="str">
        <f aca="false">"E"&amp;TEXT(A113,"yyyymm")&amp;"-"&amp;TEXT(VLOOKUP(D113,Map_Table,2,FALSE()),"0")</f>
        <v>E202309-6105</v>
      </c>
    </row>
    <row r="114" customFormat="false" ht="15" hidden="false" customHeight="false" outlineLevel="0" collapsed="false">
      <c r="A114" s="101" t="n">
        <v>45199</v>
      </c>
      <c r="B114" s="102" t="n">
        <f aca="false">YEAR(A114)</f>
        <v>2023</v>
      </c>
      <c r="C114" s="102" t="n">
        <f aca="false">MONTH(A114)</f>
        <v>9</v>
      </c>
      <c r="D114" s="100" t="s">
        <v>302</v>
      </c>
      <c r="E114" s="68" t="str">
        <f aca="false">VLOOKUP(D114,Map_Table,3,FALSE())</f>
        <v>General &amp; Administrative</v>
      </c>
      <c r="F114" s="68" t="str">
        <f aca="false">VLOOKUP(D114,Map_Table,4,FALSE())</f>
        <v>Fixed</v>
      </c>
      <c r="G114" s="96" t="n">
        <v>2260</v>
      </c>
      <c r="H114" s="68" t="str">
        <f aca="false">"E"&amp;TEXT(A114,"yyyymm")&amp;"-"&amp;TEXT(VLOOKUP(D114,Map_Table,2,FALSE()),"0")</f>
        <v>E202309-6201</v>
      </c>
    </row>
    <row r="115" customFormat="false" ht="15" hidden="false" customHeight="false" outlineLevel="0" collapsed="false">
      <c r="A115" s="101" t="n">
        <v>45199</v>
      </c>
      <c r="B115" s="102" t="n">
        <f aca="false">YEAR(A115)</f>
        <v>2023</v>
      </c>
      <c r="C115" s="102" t="n">
        <f aca="false">MONTH(A115)</f>
        <v>9</v>
      </c>
      <c r="D115" s="100" t="s">
        <v>303</v>
      </c>
      <c r="E115" s="68" t="str">
        <f aca="false">VLOOKUP(D115,Map_Table,3,FALSE())</f>
        <v>General &amp; Administrative</v>
      </c>
      <c r="F115" s="68" t="str">
        <f aca="false">VLOOKUP(D115,Map_Table,4,FALSE())</f>
        <v>Fixed</v>
      </c>
      <c r="G115" s="96" t="n">
        <v>616</v>
      </c>
      <c r="H115" s="68" t="str">
        <f aca="false">"E"&amp;TEXT(A115,"yyyymm")&amp;"-"&amp;TEXT(VLOOKUP(D115,Map_Table,2,FALSE()),"0")</f>
        <v>E202309-6202</v>
      </c>
    </row>
    <row r="116" customFormat="false" ht="15" hidden="false" customHeight="false" outlineLevel="0" collapsed="false">
      <c r="A116" s="101" t="n">
        <v>45199</v>
      </c>
      <c r="B116" s="102" t="n">
        <f aca="false">YEAR(A116)</f>
        <v>2023</v>
      </c>
      <c r="C116" s="102" t="n">
        <f aca="false">MONTH(A116)</f>
        <v>9</v>
      </c>
      <c r="D116" s="100" t="s">
        <v>304</v>
      </c>
      <c r="E116" s="68" t="str">
        <f aca="false">VLOOKUP(D116,Map_Table,3,FALSE())</f>
        <v>General &amp; Administrative</v>
      </c>
      <c r="F116" s="68" t="str">
        <f aca="false">VLOOKUP(D116,Map_Table,4,FALSE())</f>
        <v>Fixed</v>
      </c>
      <c r="G116" s="96" t="n">
        <v>296</v>
      </c>
      <c r="H116" s="68" t="str">
        <f aca="false">"E"&amp;TEXT(A116,"yyyymm")&amp;"-"&amp;TEXT(VLOOKUP(D116,Map_Table,2,FALSE()),"0")</f>
        <v>E202309-6203</v>
      </c>
    </row>
    <row r="117" customFormat="false" ht="15" hidden="false" customHeight="false" outlineLevel="0" collapsed="false">
      <c r="A117" s="101" t="n">
        <v>45199</v>
      </c>
      <c r="B117" s="102" t="n">
        <f aca="false">YEAR(A117)</f>
        <v>2023</v>
      </c>
      <c r="C117" s="102" t="n">
        <f aca="false">MONTH(A117)</f>
        <v>9</v>
      </c>
      <c r="D117" s="100" t="s">
        <v>305</v>
      </c>
      <c r="E117" s="68" t="str">
        <f aca="false">VLOOKUP(D117,Map_Table,3,FALSE())</f>
        <v>General &amp; Administrative</v>
      </c>
      <c r="F117" s="68" t="str">
        <f aca="false">VLOOKUP(D117,Map_Table,4,FALSE())</f>
        <v>Fixed</v>
      </c>
      <c r="G117" s="96" t="n">
        <v>523</v>
      </c>
      <c r="H117" s="68" t="str">
        <f aca="false">"E"&amp;TEXT(A117,"yyyymm")&amp;"-"&amp;TEXT(VLOOKUP(D117,Map_Table,2,FALSE()),"0")</f>
        <v>E202309-6204</v>
      </c>
    </row>
    <row r="118" customFormat="false" ht="15" hidden="false" customHeight="false" outlineLevel="0" collapsed="false">
      <c r="A118" s="101" t="n">
        <v>45199</v>
      </c>
      <c r="B118" s="102" t="n">
        <f aca="false">YEAR(A118)</f>
        <v>2023</v>
      </c>
      <c r="C118" s="102" t="n">
        <f aca="false">MONTH(A118)</f>
        <v>9</v>
      </c>
      <c r="D118" s="100" t="s">
        <v>306</v>
      </c>
      <c r="E118" s="68" t="str">
        <f aca="false">VLOOKUP(D118,Map_Table,3,FALSE())</f>
        <v>General &amp; Administrative</v>
      </c>
      <c r="F118" s="68" t="str">
        <f aca="false">VLOOKUP(D118,Map_Table,4,FALSE())</f>
        <v>Fixed</v>
      </c>
      <c r="G118" s="96" t="n">
        <v>187</v>
      </c>
      <c r="H118" s="68" t="str">
        <f aca="false">"E"&amp;TEXT(A118,"yyyymm")&amp;"-"&amp;TEXT(VLOOKUP(D118,Map_Table,2,FALSE()),"0")</f>
        <v>E202309-6205</v>
      </c>
    </row>
    <row r="119" customFormat="false" ht="15" hidden="false" customHeight="false" outlineLevel="0" collapsed="false">
      <c r="A119" s="101" t="n">
        <v>45199</v>
      </c>
      <c r="B119" s="102" t="n">
        <f aca="false">YEAR(A119)</f>
        <v>2023</v>
      </c>
      <c r="C119" s="102" t="n">
        <f aca="false">MONTH(A119)</f>
        <v>9</v>
      </c>
      <c r="D119" s="100" t="s">
        <v>307</v>
      </c>
      <c r="E119" s="68" t="str">
        <f aca="false">VLOOKUP(D119,Map_Table,3,FALSE())</f>
        <v>General &amp; Administrative</v>
      </c>
      <c r="F119" s="68" t="str">
        <f aca="false">VLOOKUP(D119,Map_Table,4,FALSE())</f>
        <v>Fixed</v>
      </c>
      <c r="G119" s="96" t="n">
        <v>425</v>
      </c>
      <c r="H119" s="68" t="str">
        <f aca="false">"E"&amp;TEXT(A119,"yyyymm")&amp;"-"&amp;TEXT(VLOOKUP(D119,Map_Table,2,FALSE()),"0")</f>
        <v>E202309-6206</v>
      </c>
    </row>
    <row r="120" customFormat="false" ht="15" hidden="false" customHeight="false" outlineLevel="0" collapsed="false">
      <c r="A120" s="101" t="n">
        <v>45199</v>
      </c>
      <c r="B120" s="102" t="n">
        <f aca="false">YEAR(A120)</f>
        <v>2023</v>
      </c>
      <c r="C120" s="102" t="n">
        <f aca="false">MONTH(A120)</f>
        <v>9</v>
      </c>
      <c r="D120" s="100" t="s">
        <v>308</v>
      </c>
      <c r="E120" s="68" t="str">
        <f aca="false">VLOOKUP(D120,Map_Table,3,FALSE())</f>
        <v>General &amp; Administrative</v>
      </c>
      <c r="F120" s="68" t="str">
        <f aca="false">VLOOKUP(D120,Map_Table,4,FALSE())</f>
        <v>Fixed</v>
      </c>
      <c r="G120" s="96" t="n">
        <v>345</v>
      </c>
      <c r="H120" s="68" t="str">
        <f aca="false">"E"&amp;TEXT(A120,"yyyymm")&amp;"-"&amp;TEXT(VLOOKUP(D120,Map_Table,2,FALSE()),"0")</f>
        <v>E202309-6207</v>
      </c>
    </row>
    <row r="121" customFormat="false" ht="15" hidden="false" customHeight="false" outlineLevel="0" collapsed="false">
      <c r="A121" s="101" t="n">
        <v>45199</v>
      </c>
      <c r="B121" s="102" t="n">
        <f aca="false">YEAR(A121)</f>
        <v>2023</v>
      </c>
      <c r="C121" s="102" t="n">
        <f aca="false">MONTH(A121)</f>
        <v>9</v>
      </c>
      <c r="D121" s="100" t="s">
        <v>309</v>
      </c>
      <c r="E121" s="68" t="str">
        <f aca="false">VLOOKUP(D121,Map_Table,3,FALSE())</f>
        <v>General &amp; Administrative</v>
      </c>
      <c r="F121" s="68" t="str">
        <f aca="false">VLOOKUP(D121,Map_Table,4,FALSE())</f>
        <v>Variable</v>
      </c>
      <c r="G121" s="96" t="n">
        <v>103</v>
      </c>
      <c r="H121" s="68" t="str">
        <f aca="false">"E"&amp;TEXT(A121,"yyyymm")&amp;"-"&amp;TEXT(VLOOKUP(D121,Map_Table,2,FALSE()),"0")</f>
        <v>E202309-6208</v>
      </c>
    </row>
    <row r="122" customFormat="false" ht="15" hidden="false" customHeight="false" outlineLevel="0" collapsed="false">
      <c r="A122" s="101" t="n">
        <v>45230</v>
      </c>
      <c r="B122" s="102" t="n">
        <f aca="false">YEAR(A122)</f>
        <v>2023</v>
      </c>
      <c r="C122" s="102" t="n">
        <f aca="false">MONTH(A122)</f>
        <v>10</v>
      </c>
      <c r="D122" s="100" t="s">
        <v>297</v>
      </c>
      <c r="E122" s="68" t="str">
        <f aca="false">VLOOKUP(D122,Map_Table,3,FALSE())</f>
        <v>Selling &amp; Distribution</v>
      </c>
      <c r="F122" s="68" t="str">
        <f aca="false">VLOOKUP(D122,Map_Table,4,FALSE())</f>
        <v>Variable</v>
      </c>
      <c r="G122" s="96" t="n">
        <v>1125</v>
      </c>
      <c r="H122" s="68" t="str">
        <f aca="false">"E"&amp;TEXT(A122,"yyyymm")&amp;"-"&amp;TEXT(VLOOKUP(D122,Map_Table,2,FALSE()),"0")</f>
        <v>E202310-6101</v>
      </c>
    </row>
    <row r="123" customFormat="false" ht="15" hidden="false" customHeight="false" outlineLevel="0" collapsed="false">
      <c r="A123" s="101" t="n">
        <v>45230</v>
      </c>
      <c r="B123" s="102" t="n">
        <f aca="false">YEAR(A123)</f>
        <v>2023</v>
      </c>
      <c r="C123" s="102" t="n">
        <f aca="false">MONTH(A123)</f>
        <v>10</v>
      </c>
      <c r="D123" s="100" t="s">
        <v>298</v>
      </c>
      <c r="E123" s="68" t="str">
        <f aca="false">VLOOKUP(D123,Map_Table,3,FALSE())</f>
        <v>Selling &amp; Distribution</v>
      </c>
      <c r="F123" s="68" t="str">
        <f aca="false">VLOOKUP(D123,Map_Table,4,FALSE())</f>
        <v>Variable</v>
      </c>
      <c r="G123" s="96" t="n">
        <v>796</v>
      </c>
      <c r="H123" s="68" t="str">
        <f aca="false">"E"&amp;TEXT(A123,"yyyymm")&amp;"-"&amp;TEXT(VLOOKUP(D123,Map_Table,2,FALSE()),"0")</f>
        <v>E202310-6102</v>
      </c>
    </row>
    <row r="124" customFormat="false" ht="15" hidden="false" customHeight="false" outlineLevel="0" collapsed="false">
      <c r="A124" s="101" t="n">
        <v>45230</v>
      </c>
      <c r="B124" s="102" t="n">
        <f aca="false">YEAR(A124)</f>
        <v>2023</v>
      </c>
      <c r="C124" s="102" t="n">
        <f aca="false">MONTH(A124)</f>
        <v>10</v>
      </c>
      <c r="D124" s="100" t="s">
        <v>299</v>
      </c>
      <c r="E124" s="68" t="str">
        <f aca="false">VLOOKUP(D124,Map_Table,3,FALSE())</f>
        <v>Selling &amp; Distribution</v>
      </c>
      <c r="F124" s="68" t="str">
        <f aca="false">VLOOKUP(D124,Map_Table,4,FALSE())</f>
        <v>Variable</v>
      </c>
      <c r="G124" s="96" t="n">
        <v>1652</v>
      </c>
      <c r="H124" s="68" t="str">
        <f aca="false">"E"&amp;TEXT(A124,"yyyymm")&amp;"-"&amp;TEXT(VLOOKUP(D124,Map_Table,2,FALSE()),"0")</f>
        <v>E202310-6103</v>
      </c>
    </row>
    <row r="125" customFormat="false" ht="15" hidden="false" customHeight="false" outlineLevel="0" collapsed="false">
      <c r="A125" s="101" t="n">
        <v>45230</v>
      </c>
      <c r="B125" s="102" t="n">
        <f aca="false">YEAR(A125)</f>
        <v>2023</v>
      </c>
      <c r="C125" s="102" t="n">
        <f aca="false">MONTH(A125)</f>
        <v>10</v>
      </c>
      <c r="D125" s="100" t="s">
        <v>300</v>
      </c>
      <c r="E125" s="68" t="str">
        <f aca="false">VLOOKUP(D125,Map_Table,3,FALSE())</f>
        <v>Selling &amp; Distribution</v>
      </c>
      <c r="F125" s="68" t="str">
        <f aca="false">VLOOKUP(D125,Map_Table,4,FALSE())</f>
        <v>Fixed</v>
      </c>
      <c r="G125" s="96" t="n">
        <v>1888</v>
      </c>
      <c r="H125" s="68" t="str">
        <f aca="false">"E"&amp;TEXT(A125,"yyyymm")&amp;"-"&amp;TEXT(VLOOKUP(D125,Map_Table,2,FALSE()),"0")</f>
        <v>E202310-6104</v>
      </c>
    </row>
    <row r="126" customFormat="false" ht="15" hidden="false" customHeight="false" outlineLevel="0" collapsed="false">
      <c r="A126" s="101" t="n">
        <v>45230</v>
      </c>
      <c r="B126" s="102" t="n">
        <f aca="false">YEAR(A126)</f>
        <v>2023</v>
      </c>
      <c r="C126" s="102" t="n">
        <f aca="false">MONTH(A126)</f>
        <v>10</v>
      </c>
      <c r="D126" s="100" t="s">
        <v>301</v>
      </c>
      <c r="E126" s="68" t="str">
        <f aca="false">VLOOKUP(D126,Map_Table,3,FALSE())</f>
        <v>Selling &amp; Distribution</v>
      </c>
      <c r="F126" s="68" t="str">
        <f aca="false">VLOOKUP(D126,Map_Table,4,FALSE())</f>
        <v>Fixed</v>
      </c>
      <c r="G126" s="96" t="n">
        <v>2465</v>
      </c>
      <c r="H126" s="68" t="str">
        <f aca="false">"E"&amp;TEXT(A126,"yyyymm")&amp;"-"&amp;TEXT(VLOOKUP(D126,Map_Table,2,FALSE()),"0")</f>
        <v>E202310-6105</v>
      </c>
    </row>
    <row r="127" customFormat="false" ht="15" hidden="false" customHeight="false" outlineLevel="0" collapsed="false">
      <c r="A127" s="101" t="n">
        <v>45230</v>
      </c>
      <c r="B127" s="102" t="n">
        <f aca="false">YEAR(A127)</f>
        <v>2023</v>
      </c>
      <c r="C127" s="102" t="n">
        <f aca="false">MONTH(A127)</f>
        <v>10</v>
      </c>
      <c r="D127" s="100" t="s">
        <v>302</v>
      </c>
      <c r="E127" s="68" t="str">
        <f aca="false">VLOOKUP(D127,Map_Table,3,FALSE())</f>
        <v>General &amp; Administrative</v>
      </c>
      <c r="F127" s="68" t="str">
        <f aca="false">VLOOKUP(D127,Map_Table,4,FALSE())</f>
        <v>Fixed</v>
      </c>
      <c r="G127" s="96" t="n">
        <v>2297</v>
      </c>
      <c r="H127" s="68" t="str">
        <f aca="false">"E"&amp;TEXT(A127,"yyyymm")&amp;"-"&amp;TEXT(VLOOKUP(D127,Map_Table,2,FALSE()),"0")</f>
        <v>E202310-6201</v>
      </c>
    </row>
    <row r="128" customFormat="false" ht="15" hidden="false" customHeight="false" outlineLevel="0" collapsed="false">
      <c r="A128" s="101" t="n">
        <v>45230</v>
      </c>
      <c r="B128" s="102" t="n">
        <f aca="false">YEAR(A128)</f>
        <v>2023</v>
      </c>
      <c r="C128" s="102" t="n">
        <f aca="false">MONTH(A128)</f>
        <v>10</v>
      </c>
      <c r="D128" s="100" t="s">
        <v>303</v>
      </c>
      <c r="E128" s="68" t="str">
        <f aca="false">VLOOKUP(D128,Map_Table,3,FALSE())</f>
        <v>General &amp; Administrative</v>
      </c>
      <c r="F128" s="68" t="str">
        <f aca="false">VLOOKUP(D128,Map_Table,4,FALSE())</f>
        <v>Fixed</v>
      </c>
      <c r="G128" s="96" t="n">
        <v>629</v>
      </c>
      <c r="H128" s="68" t="str">
        <f aca="false">"E"&amp;TEXT(A128,"yyyymm")&amp;"-"&amp;TEXT(VLOOKUP(D128,Map_Table,2,FALSE()),"0")</f>
        <v>E202310-6202</v>
      </c>
    </row>
    <row r="129" customFormat="false" ht="15" hidden="false" customHeight="false" outlineLevel="0" collapsed="false">
      <c r="A129" s="101" t="n">
        <v>45230</v>
      </c>
      <c r="B129" s="102" t="n">
        <f aca="false">YEAR(A129)</f>
        <v>2023</v>
      </c>
      <c r="C129" s="102" t="n">
        <f aca="false">MONTH(A129)</f>
        <v>10</v>
      </c>
      <c r="D129" s="100" t="s">
        <v>304</v>
      </c>
      <c r="E129" s="68" t="str">
        <f aca="false">VLOOKUP(D129,Map_Table,3,FALSE())</f>
        <v>General &amp; Administrative</v>
      </c>
      <c r="F129" s="68" t="str">
        <f aca="false">VLOOKUP(D129,Map_Table,4,FALSE())</f>
        <v>Fixed</v>
      </c>
      <c r="G129" s="96" t="n">
        <v>295</v>
      </c>
      <c r="H129" s="68" t="str">
        <f aca="false">"E"&amp;TEXT(A129,"yyyymm")&amp;"-"&amp;TEXT(VLOOKUP(D129,Map_Table,2,FALSE()),"0")</f>
        <v>E202310-6203</v>
      </c>
    </row>
    <row r="130" customFormat="false" ht="15" hidden="false" customHeight="false" outlineLevel="0" collapsed="false">
      <c r="A130" s="101" t="n">
        <v>45230</v>
      </c>
      <c r="B130" s="102" t="n">
        <f aca="false">YEAR(A130)</f>
        <v>2023</v>
      </c>
      <c r="C130" s="102" t="n">
        <f aca="false">MONTH(A130)</f>
        <v>10</v>
      </c>
      <c r="D130" s="100" t="s">
        <v>305</v>
      </c>
      <c r="E130" s="68" t="str">
        <f aca="false">VLOOKUP(D130,Map_Table,3,FALSE())</f>
        <v>General &amp; Administrative</v>
      </c>
      <c r="F130" s="68" t="str">
        <f aca="false">VLOOKUP(D130,Map_Table,4,FALSE())</f>
        <v>Fixed</v>
      </c>
      <c r="G130" s="96" t="n">
        <v>530</v>
      </c>
      <c r="H130" s="68" t="str">
        <f aca="false">"E"&amp;TEXT(A130,"yyyymm")&amp;"-"&amp;TEXT(VLOOKUP(D130,Map_Table,2,FALSE()),"0")</f>
        <v>E202310-6204</v>
      </c>
    </row>
    <row r="131" customFormat="false" ht="15" hidden="false" customHeight="false" outlineLevel="0" collapsed="false">
      <c r="A131" s="101" t="n">
        <v>45230</v>
      </c>
      <c r="B131" s="102" t="n">
        <f aca="false">YEAR(A131)</f>
        <v>2023</v>
      </c>
      <c r="C131" s="102" t="n">
        <f aca="false">MONTH(A131)</f>
        <v>10</v>
      </c>
      <c r="D131" s="100" t="s">
        <v>306</v>
      </c>
      <c r="E131" s="68" t="str">
        <f aca="false">VLOOKUP(D131,Map_Table,3,FALSE())</f>
        <v>General &amp; Administrative</v>
      </c>
      <c r="F131" s="68" t="str">
        <f aca="false">VLOOKUP(D131,Map_Table,4,FALSE())</f>
        <v>Fixed</v>
      </c>
      <c r="G131" s="96" t="n">
        <v>209</v>
      </c>
      <c r="H131" s="68" t="str">
        <f aca="false">"E"&amp;TEXT(A131,"yyyymm")&amp;"-"&amp;TEXT(VLOOKUP(D131,Map_Table,2,FALSE()),"0")</f>
        <v>E202310-6205</v>
      </c>
    </row>
    <row r="132" customFormat="false" ht="15" hidden="false" customHeight="false" outlineLevel="0" collapsed="false">
      <c r="A132" s="101" t="n">
        <v>45230</v>
      </c>
      <c r="B132" s="102" t="n">
        <f aca="false">YEAR(A132)</f>
        <v>2023</v>
      </c>
      <c r="C132" s="102" t="n">
        <f aca="false">MONTH(A132)</f>
        <v>10</v>
      </c>
      <c r="D132" s="100" t="s">
        <v>307</v>
      </c>
      <c r="E132" s="68" t="str">
        <f aca="false">VLOOKUP(D132,Map_Table,3,FALSE())</f>
        <v>General &amp; Administrative</v>
      </c>
      <c r="F132" s="68" t="str">
        <f aca="false">VLOOKUP(D132,Map_Table,4,FALSE())</f>
        <v>Fixed</v>
      </c>
      <c r="G132" s="96" t="n">
        <v>428</v>
      </c>
      <c r="H132" s="68" t="str">
        <f aca="false">"E"&amp;TEXT(A132,"yyyymm")&amp;"-"&amp;TEXT(VLOOKUP(D132,Map_Table,2,FALSE()),"0")</f>
        <v>E202310-6206</v>
      </c>
    </row>
    <row r="133" customFormat="false" ht="15" hidden="false" customHeight="false" outlineLevel="0" collapsed="false">
      <c r="A133" s="101" t="n">
        <v>45230</v>
      </c>
      <c r="B133" s="102" t="n">
        <f aca="false">YEAR(A133)</f>
        <v>2023</v>
      </c>
      <c r="C133" s="102" t="n">
        <f aca="false">MONTH(A133)</f>
        <v>10</v>
      </c>
      <c r="D133" s="100" t="s">
        <v>308</v>
      </c>
      <c r="E133" s="68" t="str">
        <f aca="false">VLOOKUP(D133,Map_Table,3,FALSE())</f>
        <v>General &amp; Administrative</v>
      </c>
      <c r="F133" s="68" t="str">
        <f aca="false">VLOOKUP(D133,Map_Table,4,FALSE())</f>
        <v>Fixed</v>
      </c>
      <c r="G133" s="96" t="n">
        <v>334</v>
      </c>
      <c r="H133" s="68" t="str">
        <f aca="false">"E"&amp;TEXT(A133,"yyyymm")&amp;"-"&amp;TEXT(VLOOKUP(D133,Map_Table,2,FALSE()),"0")</f>
        <v>E202310-6207</v>
      </c>
    </row>
    <row r="134" customFormat="false" ht="15" hidden="false" customHeight="false" outlineLevel="0" collapsed="false">
      <c r="A134" s="101" t="n">
        <v>45230</v>
      </c>
      <c r="B134" s="102" t="n">
        <f aca="false">YEAR(A134)</f>
        <v>2023</v>
      </c>
      <c r="C134" s="102" t="n">
        <f aca="false">MONTH(A134)</f>
        <v>10</v>
      </c>
      <c r="D134" s="100" t="s">
        <v>309</v>
      </c>
      <c r="E134" s="68" t="str">
        <f aca="false">VLOOKUP(D134,Map_Table,3,FALSE())</f>
        <v>General &amp; Administrative</v>
      </c>
      <c r="F134" s="68" t="str">
        <f aca="false">VLOOKUP(D134,Map_Table,4,FALSE())</f>
        <v>Variable</v>
      </c>
      <c r="G134" s="96" t="n">
        <v>107</v>
      </c>
      <c r="H134" s="68" t="str">
        <f aca="false">"E"&amp;TEXT(A134,"yyyymm")&amp;"-"&amp;TEXT(VLOOKUP(D134,Map_Table,2,FALSE()),"0")</f>
        <v>E202310-6208</v>
      </c>
    </row>
    <row r="135" customFormat="false" ht="15" hidden="false" customHeight="false" outlineLevel="0" collapsed="false">
      <c r="A135" s="101" t="n">
        <v>45260</v>
      </c>
      <c r="B135" s="102" t="n">
        <f aca="false">YEAR(A135)</f>
        <v>2023</v>
      </c>
      <c r="C135" s="102" t="n">
        <f aca="false">MONTH(A135)</f>
        <v>11</v>
      </c>
      <c r="D135" s="100" t="s">
        <v>297</v>
      </c>
      <c r="E135" s="68" t="str">
        <f aca="false">VLOOKUP(D135,Map_Table,3,FALSE())</f>
        <v>Selling &amp; Distribution</v>
      </c>
      <c r="F135" s="68" t="str">
        <f aca="false">VLOOKUP(D135,Map_Table,4,FALSE())</f>
        <v>Variable</v>
      </c>
      <c r="G135" s="96" t="n">
        <v>1152</v>
      </c>
      <c r="H135" s="68" t="str">
        <f aca="false">"E"&amp;TEXT(A135,"yyyymm")&amp;"-"&amp;TEXT(VLOOKUP(D135,Map_Table,2,FALSE()),"0")</f>
        <v>E202311-6101</v>
      </c>
    </row>
    <row r="136" customFormat="false" ht="15" hidden="false" customHeight="false" outlineLevel="0" collapsed="false">
      <c r="A136" s="101" t="n">
        <v>45260</v>
      </c>
      <c r="B136" s="102" t="n">
        <f aca="false">YEAR(A136)</f>
        <v>2023</v>
      </c>
      <c r="C136" s="102" t="n">
        <f aca="false">MONTH(A136)</f>
        <v>11</v>
      </c>
      <c r="D136" s="100" t="s">
        <v>298</v>
      </c>
      <c r="E136" s="68" t="str">
        <f aca="false">VLOOKUP(D136,Map_Table,3,FALSE())</f>
        <v>Selling &amp; Distribution</v>
      </c>
      <c r="F136" s="68" t="str">
        <f aca="false">VLOOKUP(D136,Map_Table,4,FALSE())</f>
        <v>Variable</v>
      </c>
      <c r="G136" s="96" t="n">
        <v>838</v>
      </c>
      <c r="H136" s="68" t="str">
        <f aca="false">"E"&amp;TEXT(A136,"yyyymm")&amp;"-"&amp;TEXT(VLOOKUP(D136,Map_Table,2,FALSE()),"0")</f>
        <v>E202311-6102</v>
      </c>
    </row>
    <row r="137" customFormat="false" ht="15" hidden="false" customHeight="false" outlineLevel="0" collapsed="false">
      <c r="A137" s="101" t="n">
        <v>45260</v>
      </c>
      <c r="B137" s="102" t="n">
        <f aca="false">YEAR(A137)</f>
        <v>2023</v>
      </c>
      <c r="C137" s="102" t="n">
        <f aca="false">MONTH(A137)</f>
        <v>11</v>
      </c>
      <c r="D137" s="100" t="s">
        <v>299</v>
      </c>
      <c r="E137" s="68" t="str">
        <f aca="false">VLOOKUP(D137,Map_Table,3,FALSE())</f>
        <v>Selling &amp; Distribution</v>
      </c>
      <c r="F137" s="68" t="str">
        <f aca="false">VLOOKUP(D137,Map_Table,4,FALSE())</f>
        <v>Variable</v>
      </c>
      <c r="G137" s="96" t="n">
        <v>1730</v>
      </c>
      <c r="H137" s="68" t="str">
        <f aca="false">"E"&amp;TEXT(A137,"yyyymm")&amp;"-"&amp;TEXT(VLOOKUP(D137,Map_Table,2,FALSE()),"0")</f>
        <v>E202311-6103</v>
      </c>
    </row>
    <row r="138" customFormat="false" ht="15" hidden="false" customHeight="false" outlineLevel="0" collapsed="false">
      <c r="A138" s="101" t="n">
        <v>45260</v>
      </c>
      <c r="B138" s="102" t="n">
        <f aca="false">YEAR(A138)</f>
        <v>2023</v>
      </c>
      <c r="C138" s="102" t="n">
        <f aca="false">MONTH(A138)</f>
        <v>11</v>
      </c>
      <c r="D138" s="100" t="s">
        <v>300</v>
      </c>
      <c r="E138" s="68" t="str">
        <f aca="false">VLOOKUP(D138,Map_Table,3,FALSE())</f>
        <v>Selling &amp; Distribution</v>
      </c>
      <c r="F138" s="68" t="str">
        <f aca="false">VLOOKUP(D138,Map_Table,4,FALSE())</f>
        <v>Fixed</v>
      </c>
      <c r="G138" s="96" t="n">
        <v>1867</v>
      </c>
      <c r="H138" s="68" t="str">
        <f aca="false">"E"&amp;TEXT(A138,"yyyymm")&amp;"-"&amp;TEXT(VLOOKUP(D138,Map_Table,2,FALSE()),"0")</f>
        <v>E202311-6104</v>
      </c>
    </row>
    <row r="139" customFormat="false" ht="15" hidden="false" customHeight="false" outlineLevel="0" collapsed="false">
      <c r="A139" s="101" t="n">
        <v>45260</v>
      </c>
      <c r="B139" s="102" t="n">
        <f aca="false">YEAR(A139)</f>
        <v>2023</v>
      </c>
      <c r="C139" s="102" t="n">
        <f aca="false">MONTH(A139)</f>
        <v>11</v>
      </c>
      <c r="D139" s="100" t="s">
        <v>301</v>
      </c>
      <c r="E139" s="68" t="str">
        <f aca="false">VLOOKUP(D139,Map_Table,3,FALSE())</f>
        <v>Selling &amp; Distribution</v>
      </c>
      <c r="F139" s="68" t="str">
        <f aca="false">VLOOKUP(D139,Map_Table,4,FALSE())</f>
        <v>Fixed</v>
      </c>
      <c r="G139" s="96" t="n">
        <v>2498</v>
      </c>
      <c r="H139" s="68" t="str">
        <f aca="false">"E"&amp;TEXT(A139,"yyyymm")&amp;"-"&amp;TEXT(VLOOKUP(D139,Map_Table,2,FALSE()),"0")</f>
        <v>E202311-6105</v>
      </c>
    </row>
    <row r="140" customFormat="false" ht="15" hidden="false" customHeight="false" outlineLevel="0" collapsed="false">
      <c r="A140" s="101" t="n">
        <v>45260</v>
      </c>
      <c r="B140" s="102" t="n">
        <f aca="false">YEAR(A140)</f>
        <v>2023</v>
      </c>
      <c r="C140" s="102" t="n">
        <f aca="false">MONTH(A140)</f>
        <v>11</v>
      </c>
      <c r="D140" s="100" t="s">
        <v>302</v>
      </c>
      <c r="E140" s="68" t="str">
        <f aca="false">VLOOKUP(D140,Map_Table,3,FALSE())</f>
        <v>General &amp; Administrative</v>
      </c>
      <c r="F140" s="68" t="str">
        <f aca="false">VLOOKUP(D140,Map_Table,4,FALSE())</f>
        <v>Fixed</v>
      </c>
      <c r="G140" s="96" t="n">
        <v>2323</v>
      </c>
      <c r="H140" s="68" t="str">
        <f aca="false">"E"&amp;TEXT(A140,"yyyymm")&amp;"-"&amp;TEXT(VLOOKUP(D140,Map_Table,2,FALSE()),"0")</f>
        <v>E202311-6201</v>
      </c>
    </row>
    <row r="141" customFormat="false" ht="15" hidden="false" customHeight="false" outlineLevel="0" collapsed="false">
      <c r="A141" s="101" t="n">
        <v>45260</v>
      </c>
      <c r="B141" s="102" t="n">
        <f aca="false">YEAR(A141)</f>
        <v>2023</v>
      </c>
      <c r="C141" s="102" t="n">
        <f aca="false">MONTH(A141)</f>
        <v>11</v>
      </c>
      <c r="D141" s="100" t="s">
        <v>303</v>
      </c>
      <c r="E141" s="68" t="str">
        <f aca="false">VLOOKUP(D141,Map_Table,3,FALSE())</f>
        <v>General &amp; Administrative</v>
      </c>
      <c r="F141" s="68" t="str">
        <f aca="false">VLOOKUP(D141,Map_Table,4,FALSE())</f>
        <v>Fixed</v>
      </c>
      <c r="G141" s="96" t="n">
        <v>632</v>
      </c>
      <c r="H141" s="68" t="str">
        <f aca="false">"E"&amp;TEXT(A141,"yyyymm")&amp;"-"&amp;TEXT(VLOOKUP(D141,Map_Table,2,FALSE()),"0")</f>
        <v>E202311-6202</v>
      </c>
    </row>
    <row r="142" customFormat="false" ht="15" hidden="false" customHeight="false" outlineLevel="0" collapsed="false">
      <c r="A142" s="101" t="n">
        <v>45260</v>
      </c>
      <c r="B142" s="102" t="n">
        <f aca="false">YEAR(A142)</f>
        <v>2023</v>
      </c>
      <c r="C142" s="102" t="n">
        <f aca="false">MONTH(A142)</f>
        <v>11</v>
      </c>
      <c r="D142" s="100" t="s">
        <v>304</v>
      </c>
      <c r="E142" s="68" t="str">
        <f aca="false">VLOOKUP(D142,Map_Table,3,FALSE())</f>
        <v>General &amp; Administrative</v>
      </c>
      <c r="F142" s="68" t="str">
        <f aca="false">VLOOKUP(D142,Map_Table,4,FALSE())</f>
        <v>Fixed</v>
      </c>
      <c r="G142" s="96" t="n">
        <v>299</v>
      </c>
      <c r="H142" s="68" t="str">
        <f aca="false">"E"&amp;TEXT(A142,"yyyymm")&amp;"-"&amp;TEXT(VLOOKUP(D142,Map_Table,2,FALSE()),"0")</f>
        <v>E202311-6203</v>
      </c>
    </row>
    <row r="143" customFormat="false" ht="15" hidden="false" customHeight="false" outlineLevel="0" collapsed="false">
      <c r="A143" s="101" t="n">
        <v>45260</v>
      </c>
      <c r="B143" s="102" t="n">
        <f aca="false">YEAR(A143)</f>
        <v>2023</v>
      </c>
      <c r="C143" s="102" t="n">
        <f aca="false">MONTH(A143)</f>
        <v>11</v>
      </c>
      <c r="D143" s="100" t="s">
        <v>305</v>
      </c>
      <c r="E143" s="68" t="str">
        <f aca="false">VLOOKUP(D143,Map_Table,3,FALSE())</f>
        <v>General &amp; Administrative</v>
      </c>
      <c r="F143" s="68" t="str">
        <f aca="false">VLOOKUP(D143,Map_Table,4,FALSE())</f>
        <v>Fixed</v>
      </c>
      <c r="G143" s="96" t="n">
        <v>519</v>
      </c>
      <c r="H143" s="68" t="str">
        <f aca="false">"E"&amp;TEXT(A143,"yyyymm")&amp;"-"&amp;TEXT(VLOOKUP(D143,Map_Table,2,FALSE()),"0")</f>
        <v>E202311-6204</v>
      </c>
    </row>
    <row r="144" customFormat="false" ht="15" hidden="false" customHeight="false" outlineLevel="0" collapsed="false">
      <c r="A144" s="101" t="n">
        <v>45260</v>
      </c>
      <c r="B144" s="102" t="n">
        <f aca="false">YEAR(A144)</f>
        <v>2023</v>
      </c>
      <c r="C144" s="102" t="n">
        <f aca="false">MONTH(A144)</f>
        <v>11</v>
      </c>
      <c r="D144" s="100" t="s">
        <v>306</v>
      </c>
      <c r="E144" s="68" t="str">
        <f aca="false">VLOOKUP(D144,Map_Table,3,FALSE())</f>
        <v>General &amp; Administrative</v>
      </c>
      <c r="F144" s="68" t="str">
        <f aca="false">VLOOKUP(D144,Map_Table,4,FALSE())</f>
        <v>Fixed</v>
      </c>
      <c r="G144" s="96" t="n">
        <v>217</v>
      </c>
      <c r="H144" s="68" t="str">
        <f aca="false">"E"&amp;TEXT(A144,"yyyymm")&amp;"-"&amp;TEXT(VLOOKUP(D144,Map_Table,2,FALSE()),"0")</f>
        <v>E202311-6205</v>
      </c>
    </row>
    <row r="145" customFormat="false" ht="15" hidden="false" customHeight="false" outlineLevel="0" collapsed="false">
      <c r="A145" s="101" t="n">
        <v>45260</v>
      </c>
      <c r="B145" s="102" t="n">
        <f aca="false">YEAR(A145)</f>
        <v>2023</v>
      </c>
      <c r="C145" s="102" t="n">
        <f aca="false">MONTH(A145)</f>
        <v>11</v>
      </c>
      <c r="D145" s="100" t="s">
        <v>307</v>
      </c>
      <c r="E145" s="68" t="str">
        <f aca="false">VLOOKUP(D145,Map_Table,3,FALSE())</f>
        <v>General &amp; Administrative</v>
      </c>
      <c r="F145" s="68" t="str">
        <f aca="false">VLOOKUP(D145,Map_Table,4,FALSE())</f>
        <v>Fixed</v>
      </c>
      <c r="G145" s="96" t="n">
        <v>420</v>
      </c>
      <c r="H145" s="68" t="str">
        <f aca="false">"E"&amp;TEXT(A145,"yyyymm")&amp;"-"&amp;TEXT(VLOOKUP(D145,Map_Table,2,FALSE()),"0")</f>
        <v>E202311-6206</v>
      </c>
    </row>
    <row r="146" customFormat="false" ht="15" hidden="false" customHeight="false" outlineLevel="0" collapsed="false">
      <c r="A146" s="101" t="n">
        <v>45260</v>
      </c>
      <c r="B146" s="102" t="n">
        <f aca="false">YEAR(A146)</f>
        <v>2023</v>
      </c>
      <c r="C146" s="102" t="n">
        <f aca="false">MONTH(A146)</f>
        <v>11</v>
      </c>
      <c r="D146" s="100" t="s">
        <v>308</v>
      </c>
      <c r="E146" s="68" t="str">
        <f aca="false">VLOOKUP(D146,Map_Table,3,FALSE())</f>
        <v>General &amp; Administrative</v>
      </c>
      <c r="F146" s="68" t="str">
        <f aca="false">VLOOKUP(D146,Map_Table,4,FALSE())</f>
        <v>Fixed</v>
      </c>
      <c r="G146" s="96" t="n">
        <v>339</v>
      </c>
      <c r="H146" s="68" t="str">
        <f aca="false">"E"&amp;TEXT(A146,"yyyymm")&amp;"-"&amp;TEXT(VLOOKUP(D146,Map_Table,2,FALSE()),"0")</f>
        <v>E202311-6207</v>
      </c>
    </row>
    <row r="147" customFormat="false" ht="15" hidden="false" customHeight="false" outlineLevel="0" collapsed="false">
      <c r="A147" s="101" t="n">
        <v>45260</v>
      </c>
      <c r="B147" s="102" t="n">
        <f aca="false">YEAR(A147)</f>
        <v>2023</v>
      </c>
      <c r="C147" s="102" t="n">
        <f aca="false">MONTH(A147)</f>
        <v>11</v>
      </c>
      <c r="D147" s="100" t="s">
        <v>309</v>
      </c>
      <c r="E147" s="68" t="str">
        <f aca="false">VLOOKUP(D147,Map_Table,3,FALSE())</f>
        <v>General &amp; Administrative</v>
      </c>
      <c r="F147" s="68" t="str">
        <f aca="false">VLOOKUP(D147,Map_Table,4,FALSE())</f>
        <v>Variable</v>
      </c>
      <c r="G147" s="96" t="n">
        <v>108</v>
      </c>
      <c r="H147" s="68" t="str">
        <f aca="false">"E"&amp;TEXT(A147,"yyyymm")&amp;"-"&amp;TEXT(VLOOKUP(D147,Map_Table,2,FALSE()),"0")</f>
        <v>E202311-6208</v>
      </c>
    </row>
    <row r="148" customFormat="false" ht="15" hidden="false" customHeight="false" outlineLevel="0" collapsed="false">
      <c r="A148" s="101" t="n">
        <v>45291</v>
      </c>
      <c r="B148" s="102" t="n">
        <f aca="false">YEAR(A148)</f>
        <v>2023</v>
      </c>
      <c r="C148" s="102" t="n">
        <f aca="false">MONTH(A148)</f>
        <v>12</v>
      </c>
      <c r="D148" s="100" t="s">
        <v>297</v>
      </c>
      <c r="E148" s="68" t="str">
        <f aca="false">VLOOKUP(D148,Map_Table,3,FALSE())</f>
        <v>Selling &amp; Distribution</v>
      </c>
      <c r="F148" s="68" t="str">
        <f aca="false">VLOOKUP(D148,Map_Table,4,FALSE())</f>
        <v>Variable</v>
      </c>
      <c r="G148" s="96" t="n">
        <v>1258</v>
      </c>
      <c r="H148" s="68" t="str">
        <f aca="false">"E"&amp;TEXT(A148,"yyyymm")&amp;"-"&amp;TEXT(VLOOKUP(D148,Map_Table,2,FALSE()),"0")</f>
        <v>E202312-6101</v>
      </c>
    </row>
    <row r="149" customFormat="false" ht="15" hidden="false" customHeight="false" outlineLevel="0" collapsed="false">
      <c r="A149" s="101" t="n">
        <v>45291</v>
      </c>
      <c r="B149" s="102" t="n">
        <f aca="false">YEAR(A149)</f>
        <v>2023</v>
      </c>
      <c r="C149" s="102" t="n">
        <f aca="false">MONTH(A149)</f>
        <v>12</v>
      </c>
      <c r="D149" s="100" t="s">
        <v>298</v>
      </c>
      <c r="E149" s="68" t="str">
        <f aca="false">VLOOKUP(D149,Map_Table,3,FALSE())</f>
        <v>Selling &amp; Distribution</v>
      </c>
      <c r="F149" s="68" t="str">
        <f aca="false">VLOOKUP(D149,Map_Table,4,FALSE())</f>
        <v>Variable</v>
      </c>
      <c r="G149" s="96" t="n">
        <v>922</v>
      </c>
      <c r="H149" s="68" t="str">
        <f aca="false">"E"&amp;TEXT(A149,"yyyymm")&amp;"-"&amp;TEXT(VLOOKUP(D149,Map_Table,2,FALSE()),"0")</f>
        <v>E202312-6102</v>
      </c>
    </row>
    <row r="150" customFormat="false" ht="15" hidden="false" customHeight="false" outlineLevel="0" collapsed="false">
      <c r="A150" s="101" t="n">
        <v>45291</v>
      </c>
      <c r="B150" s="102" t="n">
        <f aca="false">YEAR(A150)</f>
        <v>2023</v>
      </c>
      <c r="C150" s="102" t="n">
        <f aca="false">MONTH(A150)</f>
        <v>12</v>
      </c>
      <c r="D150" s="100" t="s">
        <v>299</v>
      </c>
      <c r="E150" s="68" t="str">
        <f aca="false">VLOOKUP(D150,Map_Table,3,FALSE())</f>
        <v>Selling &amp; Distribution</v>
      </c>
      <c r="F150" s="68" t="str">
        <f aca="false">VLOOKUP(D150,Map_Table,4,FALSE())</f>
        <v>Variable</v>
      </c>
      <c r="G150" s="96" t="n">
        <v>1938</v>
      </c>
      <c r="H150" s="68" t="str">
        <f aca="false">"E"&amp;TEXT(A150,"yyyymm")&amp;"-"&amp;TEXT(VLOOKUP(D150,Map_Table,2,FALSE()),"0")</f>
        <v>E202312-6103</v>
      </c>
    </row>
    <row r="151" customFormat="false" ht="15" hidden="false" customHeight="false" outlineLevel="0" collapsed="false">
      <c r="A151" s="101" t="n">
        <v>45291</v>
      </c>
      <c r="B151" s="102" t="n">
        <f aca="false">YEAR(A151)</f>
        <v>2023</v>
      </c>
      <c r="C151" s="102" t="n">
        <f aca="false">MONTH(A151)</f>
        <v>12</v>
      </c>
      <c r="D151" s="100" t="s">
        <v>300</v>
      </c>
      <c r="E151" s="68" t="str">
        <f aca="false">VLOOKUP(D151,Map_Table,3,FALSE())</f>
        <v>Selling &amp; Distribution</v>
      </c>
      <c r="F151" s="68" t="str">
        <f aca="false">VLOOKUP(D151,Map_Table,4,FALSE())</f>
        <v>Fixed</v>
      </c>
      <c r="G151" s="96" t="n">
        <v>1922</v>
      </c>
      <c r="H151" s="68" t="str">
        <f aca="false">"E"&amp;TEXT(A151,"yyyymm")&amp;"-"&amp;TEXT(VLOOKUP(D151,Map_Table,2,FALSE()),"0")</f>
        <v>E202312-6104</v>
      </c>
    </row>
    <row r="152" customFormat="false" ht="15" hidden="false" customHeight="false" outlineLevel="0" collapsed="false">
      <c r="A152" s="101" t="n">
        <v>45291</v>
      </c>
      <c r="B152" s="102" t="n">
        <f aca="false">YEAR(A152)</f>
        <v>2023</v>
      </c>
      <c r="C152" s="102" t="n">
        <f aca="false">MONTH(A152)</f>
        <v>12</v>
      </c>
      <c r="D152" s="100" t="s">
        <v>301</v>
      </c>
      <c r="E152" s="68" t="str">
        <f aca="false">VLOOKUP(D152,Map_Table,3,FALSE())</f>
        <v>Selling &amp; Distribution</v>
      </c>
      <c r="F152" s="68" t="str">
        <f aca="false">VLOOKUP(D152,Map_Table,4,FALSE())</f>
        <v>Fixed</v>
      </c>
      <c r="G152" s="96" t="n">
        <v>2476</v>
      </c>
      <c r="H152" s="68" t="str">
        <f aca="false">"E"&amp;TEXT(A152,"yyyymm")&amp;"-"&amp;TEXT(VLOOKUP(D152,Map_Table,2,FALSE()),"0")</f>
        <v>E202312-6105</v>
      </c>
    </row>
    <row r="153" customFormat="false" ht="15" hidden="false" customHeight="false" outlineLevel="0" collapsed="false">
      <c r="A153" s="101" t="n">
        <v>45291</v>
      </c>
      <c r="B153" s="102" t="n">
        <f aca="false">YEAR(A153)</f>
        <v>2023</v>
      </c>
      <c r="C153" s="102" t="n">
        <f aca="false">MONTH(A153)</f>
        <v>12</v>
      </c>
      <c r="D153" s="100" t="s">
        <v>302</v>
      </c>
      <c r="E153" s="68" t="str">
        <f aca="false">VLOOKUP(D153,Map_Table,3,FALSE())</f>
        <v>General &amp; Administrative</v>
      </c>
      <c r="F153" s="68" t="str">
        <f aca="false">VLOOKUP(D153,Map_Table,4,FALSE())</f>
        <v>Fixed</v>
      </c>
      <c r="G153" s="96" t="n">
        <v>2328</v>
      </c>
      <c r="H153" s="68" t="str">
        <f aca="false">"E"&amp;TEXT(A153,"yyyymm")&amp;"-"&amp;TEXT(VLOOKUP(D153,Map_Table,2,FALSE()),"0")</f>
        <v>E202312-6201</v>
      </c>
    </row>
    <row r="154" customFormat="false" ht="15" hidden="false" customHeight="false" outlineLevel="0" collapsed="false">
      <c r="A154" s="101" t="n">
        <v>45291</v>
      </c>
      <c r="B154" s="102" t="n">
        <f aca="false">YEAR(A154)</f>
        <v>2023</v>
      </c>
      <c r="C154" s="102" t="n">
        <f aca="false">MONTH(A154)</f>
        <v>12</v>
      </c>
      <c r="D154" s="100" t="s">
        <v>303</v>
      </c>
      <c r="E154" s="68" t="str">
        <f aca="false">VLOOKUP(D154,Map_Table,3,FALSE())</f>
        <v>General &amp; Administrative</v>
      </c>
      <c r="F154" s="68" t="str">
        <f aca="false">VLOOKUP(D154,Map_Table,4,FALSE())</f>
        <v>Fixed</v>
      </c>
      <c r="G154" s="96" t="n">
        <v>627</v>
      </c>
      <c r="H154" s="68" t="str">
        <f aca="false">"E"&amp;TEXT(A154,"yyyymm")&amp;"-"&amp;TEXT(VLOOKUP(D154,Map_Table,2,FALSE()),"0")</f>
        <v>E202312-6202</v>
      </c>
    </row>
    <row r="155" customFormat="false" ht="15" hidden="false" customHeight="false" outlineLevel="0" collapsed="false">
      <c r="A155" s="101" t="n">
        <v>45291</v>
      </c>
      <c r="B155" s="102" t="n">
        <f aca="false">YEAR(A155)</f>
        <v>2023</v>
      </c>
      <c r="C155" s="102" t="n">
        <f aca="false">MONTH(A155)</f>
        <v>12</v>
      </c>
      <c r="D155" s="100" t="s">
        <v>304</v>
      </c>
      <c r="E155" s="68" t="str">
        <f aca="false">VLOOKUP(D155,Map_Table,3,FALSE())</f>
        <v>General &amp; Administrative</v>
      </c>
      <c r="F155" s="68" t="str">
        <f aca="false">VLOOKUP(D155,Map_Table,4,FALSE())</f>
        <v>Fixed</v>
      </c>
      <c r="G155" s="96" t="n">
        <v>302</v>
      </c>
      <c r="H155" s="68" t="str">
        <f aca="false">"E"&amp;TEXT(A155,"yyyymm")&amp;"-"&amp;TEXT(VLOOKUP(D155,Map_Table,2,FALSE()),"0")</f>
        <v>E202312-6203</v>
      </c>
    </row>
    <row r="156" customFormat="false" ht="15" hidden="false" customHeight="false" outlineLevel="0" collapsed="false">
      <c r="A156" s="101" t="n">
        <v>45291</v>
      </c>
      <c r="B156" s="102" t="n">
        <f aca="false">YEAR(A156)</f>
        <v>2023</v>
      </c>
      <c r="C156" s="102" t="n">
        <f aca="false">MONTH(A156)</f>
        <v>12</v>
      </c>
      <c r="D156" s="100" t="s">
        <v>305</v>
      </c>
      <c r="E156" s="68" t="str">
        <f aca="false">VLOOKUP(D156,Map_Table,3,FALSE())</f>
        <v>General &amp; Administrative</v>
      </c>
      <c r="F156" s="68" t="str">
        <f aca="false">VLOOKUP(D156,Map_Table,4,FALSE())</f>
        <v>Fixed</v>
      </c>
      <c r="G156" s="96" t="n">
        <v>517</v>
      </c>
      <c r="H156" s="68" t="str">
        <f aca="false">"E"&amp;TEXT(A156,"yyyymm")&amp;"-"&amp;TEXT(VLOOKUP(D156,Map_Table,2,FALSE()),"0")</f>
        <v>E202312-6204</v>
      </c>
    </row>
    <row r="157" customFormat="false" ht="15" hidden="false" customHeight="false" outlineLevel="0" collapsed="false">
      <c r="A157" s="101" t="n">
        <v>45291</v>
      </c>
      <c r="B157" s="102" t="n">
        <f aca="false">YEAR(A157)</f>
        <v>2023</v>
      </c>
      <c r="C157" s="102" t="n">
        <f aca="false">MONTH(A157)</f>
        <v>12</v>
      </c>
      <c r="D157" s="100" t="s">
        <v>306</v>
      </c>
      <c r="E157" s="68" t="str">
        <f aca="false">VLOOKUP(D157,Map_Table,3,FALSE())</f>
        <v>General &amp; Administrative</v>
      </c>
      <c r="F157" s="68" t="str">
        <f aca="false">VLOOKUP(D157,Map_Table,4,FALSE())</f>
        <v>Fixed</v>
      </c>
      <c r="G157" s="96" t="n">
        <v>208</v>
      </c>
      <c r="H157" s="68" t="str">
        <f aca="false">"E"&amp;TEXT(A157,"yyyymm")&amp;"-"&amp;TEXT(VLOOKUP(D157,Map_Table,2,FALSE()),"0")</f>
        <v>E202312-6205</v>
      </c>
    </row>
    <row r="158" customFormat="false" ht="15" hidden="false" customHeight="false" outlineLevel="0" collapsed="false">
      <c r="A158" s="101" t="n">
        <v>45291</v>
      </c>
      <c r="B158" s="102" t="n">
        <f aca="false">YEAR(A158)</f>
        <v>2023</v>
      </c>
      <c r="C158" s="102" t="n">
        <f aca="false">MONTH(A158)</f>
        <v>12</v>
      </c>
      <c r="D158" s="100" t="s">
        <v>307</v>
      </c>
      <c r="E158" s="68" t="str">
        <f aca="false">VLOOKUP(D158,Map_Table,3,FALSE())</f>
        <v>General &amp; Administrative</v>
      </c>
      <c r="F158" s="68" t="str">
        <f aca="false">VLOOKUP(D158,Map_Table,4,FALSE())</f>
        <v>Fixed</v>
      </c>
      <c r="G158" s="96" t="n">
        <v>422</v>
      </c>
      <c r="H158" s="68" t="str">
        <f aca="false">"E"&amp;TEXT(A158,"yyyymm")&amp;"-"&amp;TEXT(VLOOKUP(D158,Map_Table,2,FALSE()),"0")</f>
        <v>E202312-6206</v>
      </c>
    </row>
    <row r="159" customFormat="false" ht="15" hidden="false" customHeight="false" outlineLevel="0" collapsed="false">
      <c r="A159" s="101" t="n">
        <v>45291</v>
      </c>
      <c r="B159" s="102" t="n">
        <f aca="false">YEAR(A159)</f>
        <v>2023</v>
      </c>
      <c r="C159" s="102" t="n">
        <f aca="false">MONTH(A159)</f>
        <v>12</v>
      </c>
      <c r="D159" s="100" t="s">
        <v>308</v>
      </c>
      <c r="E159" s="68" t="str">
        <f aca="false">VLOOKUP(D159,Map_Table,3,FALSE())</f>
        <v>General &amp; Administrative</v>
      </c>
      <c r="F159" s="68" t="str">
        <f aca="false">VLOOKUP(D159,Map_Table,4,FALSE())</f>
        <v>Fixed</v>
      </c>
      <c r="G159" s="96" t="n">
        <v>341</v>
      </c>
      <c r="H159" s="68" t="str">
        <f aca="false">"E"&amp;TEXT(A159,"yyyymm")&amp;"-"&amp;TEXT(VLOOKUP(D159,Map_Table,2,FALSE()),"0")</f>
        <v>E202312-6207</v>
      </c>
    </row>
    <row r="160" customFormat="false" ht="15" hidden="false" customHeight="false" outlineLevel="0" collapsed="false">
      <c r="A160" s="101" t="n">
        <v>45291</v>
      </c>
      <c r="B160" s="102" t="n">
        <f aca="false">YEAR(A160)</f>
        <v>2023</v>
      </c>
      <c r="C160" s="102" t="n">
        <f aca="false">MONTH(A160)</f>
        <v>12</v>
      </c>
      <c r="D160" s="100" t="s">
        <v>309</v>
      </c>
      <c r="E160" s="68" t="str">
        <f aca="false">VLOOKUP(D160,Map_Table,3,FALSE())</f>
        <v>General &amp; Administrative</v>
      </c>
      <c r="F160" s="68" t="str">
        <f aca="false">VLOOKUP(D160,Map_Table,4,FALSE())</f>
        <v>Variable</v>
      </c>
      <c r="G160" s="96" t="n">
        <v>121</v>
      </c>
      <c r="H160" s="68" t="str">
        <f aca="false">"E"&amp;TEXT(A160,"yyyymm")&amp;"-"&amp;TEXT(VLOOKUP(D160,Map_Table,2,FALSE()),"0")</f>
        <v>E202312-6208</v>
      </c>
    </row>
    <row r="161" customFormat="false" ht="15" hidden="false" customHeight="false" outlineLevel="0" collapsed="false">
      <c r="A161" s="101" t="n">
        <v>45322</v>
      </c>
      <c r="B161" s="102" t="n">
        <f aca="false">YEAR(A161)</f>
        <v>2024</v>
      </c>
      <c r="C161" s="102" t="n">
        <f aca="false">MONTH(A161)</f>
        <v>1</v>
      </c>
      <c r="D161" s="100" t="s">
        <v>297</v>
      </c>
      <c r="E161" s="68" t="str">
        <f aca="false">VLOOKUP(D161,Map_Table,3,FALSE())</f>
        <v>Selling &amp; Distribution</v>
      </c>
      <c r="F161" s="68" t="str">
        <f aca="false">VLOOKUP(D161,Map_Table,4,FALSE())</f>
        <v>Variable</v>
      </c>
      <c r="G161" s="96" t="n">
        <v>1079</v>
      </c>
      <c r="H161" s="68" t="str">
        <f aca="false">"E"&amp;TEXT(A161,"yyyymm")&amp;"-"&amp;TEXT(VLOOKUP(D161,Map_Table,2,FALSE()),"0")</f>
        <v>E202401-6101</v>
      </c>
    </row>
    <row r="162" customFormat="false" ht="15" hidden="false" customHeight="false" outlineLevel="0" collapsed="false">
      <c r="A162" s="101" t="n">
        <v>45322</v>
      </c>
      <c r="B162" s="102" t="n">
        <f aca="false">YEAR(A162)</f>
        <v>2024</v>
      </c>
      <c r="C162" s="102" t="n">
        <f aca="false">MONTH(A162)</f>
        <v>1</v>
      </c>
      <c r="D162" s="100" t="s">
        <v>298</v>
      </c>
      <c r="E162" s="68" t="str">
        <f aca="false">VLOOKUP(D162,Map_Table,3,FALSE())</f>
        <v>Selling &amp; Distribution</v>
      </c>
      <c r="F162" s="68" t="str">
        <f aca="false">VLOOKUP(D162,Map_Table,4,FALSE())</f>
        <v>Variable</v>
      </c>
      <c r="G162" s="96" t="n">
        <v>627</v>
      </c>
      <c r="H162" s="68" t="str">
        <f aca="false">"E"&amp;TEXT(A162,"yyyymm")&amp;"-"&amp;TEXT(VLOOKUP(D162,Map_Table,2,FALSE()),"0")</f>
        <v>E202401-6102</v>
      </c>
    </row>
    <row r="163" customFormat="false" ht="15" hidden="false" customHeight="false" outlineLevel="0" collapsed="false">
      <c r="A163" s="101" t="n">
        <v>45322</v>
      </c>
      <c r="B163" s="102" t="n">
        <f aca="false">YEAR(A163)</f>
        <v>2024</v>
      </c>
      <c r="C163" s="102" t="n">
        <f aca="false">MONTH(A163)</f>
        <v>1</v>
      </c>
      <c r="D163" s="100" t="s">
        <v>299</v>
      </c>
      <c r="E163" s="68" t="str">
        <f aca="false">VLOOKUP(D163,Map_Table,3,FALSE())</f>
        <v>Selling &amp; Distribution</v>
      </c>
      <c r="F163" s="68" t="str">
        <f aca="false">VLOOKUP(D163,Map_Table,4,FALSE())</f>
        <v>Variable</v>
      </c>
      <c r="G163" s="96" t="n">
        <v>1672</v>
      </c>
      <c r="H163" s="68" t="str">
        <f aca="false">"E"&amp;TEXT(A163,"yyyymm")&amp;"-"&amp;TEXT(VLOOKUP(D163,Map_Table,2,FALSE()),"0")</f>
        <v>E202401-6103</v>
      </c>
    </row>
    <row r="164" customFormat="false" ht="15" hidden="false" customHeight="false" outlineLevel="0" collapsed="false">
      <c r="A164" s="101" t="n">
        <v>45322</v>
      </c>
      <c r="B164" s="102" t="n">
        <f aca="false">YEAR(A164)</f>
        <v>2024</v>
      </c>
      <c r="C164" s="102" t="n">
        <f aca="false">MONTH(A164)</f>
        <v>1</v>
      </c>
      <c r="D164" s="100" t="s">
        <v>300</v>
      </c>
      <c r="E164" s="68" t="str">
        <f aca="false">VLOOKUP(D164,Map_Table,3,FALSE())</f>
        <v>Selling &amp; Distribution</v>
      </c>
      <c r="F164" s="68" t="str">
        <f aca="false">VLOOKUP(D164,Map_Table,4,FALSE())</f>
        <v>Fixed</v>
      </c>
      <c r="G164" s="96" t="n">
        <v>1980</v>
      </c>
      <c r="H164" s="68" t="str">
        <f aca="false">"E"&amp;TEXT(A164,"yyyymm")&amp;"-"&amp;TEXT(VLOOKUP(D164,Map_Table,2,FALSE()),"0")</f>
        <v>E202401-6104</v>
      </c>
    </row>
    <row r="165" customFormat="false" ht="15" hidden="false" customHeight="false" outlineLevel="0" collapsed="false">
      <c r="A165" s="101" t="n">
        <v>45322</v>
      </c>
      <c r="B165" s="102" t="n">
        <f aca="false">YEAR(A165)</f>
        <v>2024</v>
      </c>
      <c r="C165" s="102" t="n">
        <f aca="false">MONTH(A165)</f>
        <v>1</v>
      </c>
      <c r="D165" s="100" t="s">
        <v>301</v>
      </c>
      <c r="E165" s="68" t="str">
        <f aca="false">VLOOKUP(D165,Map_Table,3,FALSE())</f>
        <v>Selling &amp; Distribution</v>
      </c>
      <c r="F165" s="68" t="str">
        <f aca="false">VLOOKUP(D165,Map_Table,4,FALSE())</f>
        <v>Fixed</v>
      </c>
      <c r="G165" s="96" t="n">
        <v>2650</v>
      </c>
      <c r="H165" s="68" t="str">
        <f aca="false">"E"&amp;TEXT(A165,"yyyymm")&amp;"-"&amp;TEXT(VLOOKUP(D165,Map_Table,2,FALSE()),"0")</f>
        <v>E202401-6105</v>
      </c>
    </row>
    <row r="166" customFormat="false" ht="15" hidden="false" customHeight="false" outlineLevel="0" collapsed="false">
      <c r="A166" s="101" t="n">
        <v>45322</v>
      </c>
      <c r="B166" s="102" t="n">
        <f aca="false">YEAR(A166)</f>
        <v>2024</v>
      </c>
      <c r="C166" s="102" t="n">
        <f aca="false">MONTH(A166)</f>
        <v>1</v>
      </c>
      <c r="D166" s="100" t="s">
        <v>302</v>
      </c>
      <c r="E166" s="68" t="str">
        <f aca="false">VLOOKUP(D166,Map_Table,3,FALSE())</f>
        <v>General &amp; Administrative</v>
      </c>
      <c r="F166" s="68" t="str">
        <f aca="false">VLOOKUP(D166,Map_Table,4,FALSE())</f>
        <v>Fixed</v>
      </c>
      <c r="G166" s="96" t="n">
        <v>2425</v>
      </c>
      <c r="H166" s="68" t="str">
        <f aca="false">"E"&amp;TEXT(A166,"yyyymm")&amp;"-"&amp;TEXT(VLOOKUP(D166,Map_Table,2,FALSE()),"0")</f>
        <v>E202401-6201</v>
      </c>
    </row>
    <row r="167" customFormat="false" ht="15" hidden="false" customHeight="false" outlineLevel="0" collapsed="false">
      <c r="A167" s="101" t="n">
        <v>45322</v>
      </c>
      <c r="B167" s="102" t="n">
        <f aca="false">YEAR(A167)</f>
        <v>2024</v>
      </c>
      <c r="C167" s="102" t="n">
        <f aca="false">MONTH(A167)</f>
        <v>1</v>
      </c>
      <c r="D167" s="100" t="s">
        <v>303</v>
      </c>
      <c r="E167" s="68" t="str">
        <f aca="false">VLOOKUP(D167,Map_Table,3,FALSE())</f>
        <v>General &amp; Administrative</v>
      </c>
      <c r="F167" s="68" t="str">
        <f aca="false">VLOOKUP(D167,Map_Table,4,FALSE())</f>
        <v>Fixed</v>
      </c>
      <c r="G167" s="96" t="n">
        <v>643</v>
      </c>
      <c r="H167" s="68" t="str">
        <f aca="false">"E"&amp;TEXT(A167,"yyyymm")&amp;"-"&amp;TEXT(VLOOKUP(D167,Map_Table,2,FALSE()),"0")</f>
        <v>E202401-6202</v>
      </c>
    </row>
    <row r="168" customFormat="false" ht="15" hidden="false" customHeight="false" outlineLevel="0" collapsed="false">
      <c r="A168" s="101" t="n">
        <v>45322</v>
      </c>
      <c r="B168" s="102" t="n">
        <f aca="false">YEAR(A168)</f>
        <v>2024</v>
      </c>
      <c r="C168" s="102" t="n">
        <f aca="false">MONTH(A168)</f>
        <v>1</v>
      </c>
      <c r="D168" s="100" t="s">
        <v>304</v>
      </c>
      <c r="E168" s="68" t="str">
        <f aca="false">VLOOKUP(D168,Map_Table,3,FALSE())</f>
        <v>General &amp; Administrative</v>
      </c>
      <c r="F168" s="68" t="str">
        <f aca="false">VLOOKUP(D168,Map_Table,4,FALSE())</f>
        <v>Fixed</v>
      </c>
      <c r="G168" s="96" t="n">
        <v>314</v>
      </c>
      <c r="H168" s="68" t="str">
        <f aca="false">"E"&amp;TEXT(A168,"yyyymm")&amp;"-"&amp;TEXT(VLOOKUP(D168,Map_Table,2,FALSE()),"0")</f>
        <v>E202401-6203</v>
      </c>
    </row>
    <row r="169" customFormat="false" ht="15" hidden="false" customHeight="false" outlineLevel="0" collapsed="false">
      <c r="A169" s="101" t="n">
        <v>45322</v>
      </c>
      <c r="B169" s="102" t="n">
        <f aca="false">YEAR(A169)</f>
        <v>2024</v>
      </c>
      <c r="C169" s="102" t="n">
        <f aca="false">MONTH(A169)</f>
        <v>1</v>
      </c>
      <c r="D169" s="100" t="s">
        <v>305</v>
      </c>
      <c r="E169" s="68" t="str">
        <f aca="false">VLOOKUP(D169,Map_Table,3,FALSE())</f>
        <v>General &amp; Administrative</v>
      </c>
      <c r="F169" s="68" t="str">
        <f aca="false">VLOOKUP(D169,Map_Table,4,FALSE())</f>
        <v>Fixed</v>
      </c>
      <c r="G169" s="96" t="n">
        <v>536</v>
      </c>
      <c r="H169" s="68" t="str">
        <f aca="false">"E"&amp;TEXT(A169,"yyyymm")&amp;"-"&amp;TEXT(VLOOKUP(D169,Map_Table,2,FALSE()),"0")</f>
        <v>E202401-6204</v>
      </c>
    </row>
    <row r="170" customFormat="false" ht="15" hidden="false" customHeight="false" outlineLevel="0" collapsed="false">
      <c r="A170" s="101" t="n">
        <v>45322</v>
      </c>
      <c r="B170" s="102" t="n">
        <f aca="false">YEAR(A170)</f>
        <v>2024</v>
      </c>
      <c r="C170" s="102" t="n">
        <f aca="false">MONTH(A170)</f>
        <v>1</v>
      </c>
      <c r="D170" s="100" t="s">
        <v>306</v>
      </c>
      <c r="E170" s="68" t="str">
        <f aca="false">VLOOKUP(D170,Map_Table,3,FALSE())</f>
        <v>General &amp; Administrative</v>
      </c>
      <c r="F170" s="68" t="str">
        <f aca="false">VLOOKUP(D170,Map_Table,4,FALSE())</f>
        <v>Fixed</v>
      </c>
      <c r="G170" s="96" t="n">
        <v>223</v>
      </c>
      <c r="H170" s="68" t="str">
        <f aca="false">"E"&amp;TEXT(A170,"yyyymm")&amp;"-"&amp;TEXT(VLOOKUP(D170,Map_Table,2,FALSE()),"0")</f>
        <v>E202401-6205</v>
      </c>
    </row>
    <row r="171" customFormat="false" ht="15" hidden="false" customHeight="false" outlineLevel="0" collapsed="false">
      <c r="A171" s="101" t="n">
        <v>45322</v>
      </c>
      <c r="B171" s="102" t="n">
        <f aca="false">YEAR(A171)</f>
        <v>2024</v>
      </c>
      <c r="C171" s="102" t="n">
        <f aca="false">MONTH(A171)</f>
        <v>1</v>
      </c>
      <c r="D171" s="100" t="s">
        <v>307</v>
      </c>
      <c r="E171" s="68" t="str">
        <f aca="false">VLOOKUP(D171,Map_Table,3,FALSE())</f>
        <v>General &amp; Administrative</v>
      </c>
      <c r="F171" s="68" t="str">
        <f aca="false">VLOOKUP(D171,Map_Table,4,FALSE())</f>
        <v>Fixed</v>
      </c>
      <c r="G171" s="96" t="n">
        <v>437</v>
      </c>
      <c r="H171" s="68" t="str">
        <f aca="false">"E"&amp;TEXT(A171,"yyyymm")&amp;"-"&amp;TEXT(VLOOKUP(D171,Map_Table,2,FALSE()),"0")</f>
        <v>E202401-6206</v>
      </c>
    </row>
    <row r="172" customFormat="false" ht="15" hidden="false" customHeight="false" outlineLevel="0" collapsed="false">
      <c r="A172" s="101" t="n">
        <v>45322</v>
      </c>
      <c r="B172" s="102" t="n">
        <f aca="false">YEAR(A172)</f>
        <v>2024</v>
      </c>
      <c r="C172" s="102" t="n">
        <f aca="false">MONTH(A172)</f>
        <v>1</v>
      </c>
      <c r="D172" s="100" t="s">
        <v>308</v>
      </c>
      <c r="E172" s="68" t="str">
        <f aca="false">VLOOKUP(D172,Map_Table,3,FALSE())</f>
        <v>General &amp; Administrative</v>
      </c>
      <c r="F172" s="68" t="str">
        <f aca="false">VLOOKUP(D172,Map_Table,4,FALSE())</f>
        <v>Fixed</v>
      </c>
      <c r="G172" s="96" t="n">
        <v>360</v>
      </c>
      <c r="H172" s="68" t="str">
        <f aca="false">"E"&amp;TEXT(A172,"yyyymm")&amp;"-"&amp;TEXT(VLOOKUP(D172,Map_Table,2,FALSE()),"0")</f>
        <v>E202401-6207</v>
      </c>
    </row>
    <row r="173" customFormat="false" ht="15" hidden="false" customHeight="false" outlineLevel="0" collapsed="false">
      <c r="A173" s="101" t="n">
        <v>45322</v>
      </c>
      <c r="B173" s="102" t="n">
        <f aca="false">YEAR(A173)</f>
        <v>2024</v>
      </c>
      <c r="C173" s="102" t="n">
        <f aca="false">MONTH(A173)</f>
        <v>1</v>
      </c>
      <c r="D173" s="100" t="s">
        <v>309</v>
      </c>
      <c r="E173" s="68" t="str">
        <f aca="false">VLOOKUP(D173,Map_Table,3,FALSE())</f>
        <v>General &amp; Administrative</v>
      </c>
      <c r="F173" s="68" t="str">
        <f aca="false">VLOOKUP(D173,Map_Table,4,FALSE())</f>
        <v>Variable</v>
      </c>
      <c r="G173" s="96" t="n">
        <v>105</v>
      </c>
      <c r="H173" s="68" t="str">
        <f aca="false">"E"&amp;TEXT(A173,"yyyymm")&amp;"-"&amp;TEXT(VLOOKUP(D173,Map_Table,2,FALSE()),"0")</f>
        <v>E202401-6208</v>
      </c>
    </row>
    <row r="174" customFormat="false" ht="15" hidden="false" customHeight="false" outlineLevel="0" collapsed="false">
      <c r="A174" s="101" t="n">
        <v>45351</v>
      </c>
      <c r="B174" s="102" t="n">
        <f aca="false">YEAR(A174)</f>
        <v>2024</v>
      </c>
      <c r="C174" s="102" t="n">
        <f aca="false">MONTH(A174)</f>
        <v>2</v>
      </c>
      <c r="D174" s="100" t="s">
        <v>297</v>
      </c>
      <c r="E174" s="68" t="str">
        <f aca="false">VLOOKUP(D174,Map_Table,3,FALSE())</f>
        <v>Selling &amp; Distribution</v>
      </c>
      <c r="F174" s="68" t="str">
        <f aca="false">VLOOKUP(D174,Map_Table,4,FALSE())</f>
        <v>Variable</v>
      </c>
      <c r="G174" s="96" t="n">
        <v>1043</v>
      </c>
      <c r="H174" s="68" t="str">
        <f aca="false">"E"&amp;TEXT(A174,"yyyymm")&amp;"-"&amp;TEXT(VLOOKUP(D174,Map_Table,2,FALSE()),"0")</f>
        <v>E202402-6101</v>
      </c>
    </row>
    <row r="175" customFormat="false" ht="15" hidden="false" customHeight="false" outlineLevel="0" collapsed="false">
      <c r="A175" s="101" t="n">
        <v>45351</v>
      </c>
      <c r="B175" s="102" t="n">
        <f aca="false">YEAR(A175)</f>
        <v>2024</v>
      </c>
      <c r="C175" s="102" t="n">
        <f aca="false">MONTH(A175)</f>
        <v>2</v>
      </c>
      <c r="D175" s="100" t="s">
        <v>298</v>
      </c>
      <c r="E175" s="68" t="str">
        <f aca="false">VLOOKUP(D175,Map_Table,3,FALSE())</f>
        <v>Selling &amp; Distribution</v>
      </c>
      <c r="F175" s="68" t="str">
        <f aca="false">VLOOKUP(D175,Map_Table,4,FALSE())</f>
        <v>Variable</v>
      </c>
      <c r="G175" s="96" t="n">
        <v>613</v>
      </c>
      <c r="H175" s="68" t="str">
        <f aca="false">"E"&amp;TEXT(A175,"yyyymm")&amp;"-"&amp;TEXT(VLOOKUP(D175,Map_Table,2,FALSE()),"0")</f>
        <v>E202402-6102</v>
      </c>
    </row>
    <row r="176" customFormat="false" ht="15" hidden="false" customHeight="false" outlineLevel="0" collapsed="false">
      <c r="A176" s="101" t="n">
        <v>45351</v>
      </c>
      <c r="B176" s="102" t="n">
        <f aca="false">YEAR(A176)</f>
        <v>2024</v>
      </c>
      <c r="C176" s="102" t="n">
        <f aca="false">MONTH(A176)</f>
        <v>2</v>
      </c>
      <c r="D176" s="100" t="s">
        <v>299</v>
      </c>
      <c r="E176" s="68" t="str">
        <f aca="false">VLOOKUP(D176,Map_Table,3,FALSE())</f>
        <v>Selling &amp; Distribution</v>
      </c>
      <c r="F176" s="68" t="str">
        <f aca="false">VLOOKUP(D176,Map_Table,4,FALSE())</f>
        <v>Variable</v>
      </c>
      <c r="G176" s="96" t="n">
        <v>1615</v>
      </c>
      <c r="H176" s="68" t="str">
        <f aca="false">"E"&amp;TEXT(A176,"yyyymm")&amp;"-"&amp;TEXT(VLOOKUP(D176,Map_Table,2,FALSE()),"0")</f>
        <v>E202402-6103</v>
      </c>
    </row>
    <row r="177" customFormat="false" ht="15" hidden="false" customHeight="false" outlineLevel="0" collapsed="false">
      <c r="A177" s="101" t="n">
        <v>45351</v>
      </c>
      <c r="B177" s="102" t="n">
        <f aca="false">YEAR(A177)</f>
        <v>2024</v>
      </c>
      <c r="C177" s="102" t="n">
        <f aca="false">MONTH(A177)</f>
        <v>2</v>
      </c>
      <c r="D177" s="100" t="s">
        <v>300</v>
      </c>
      <c r="E177" s="68" t="str">
        <f aca="false">VLOOKUP(D177,Map_Table,3,FALSE())</f>
        <v>Selling &amp; Distribution</v>
      </c>
      <c r="F177" s="68" t="str">
        <f aca="false">VLOOKUP(D177,Map_Table,4,FALSE())</f>
        <v>Fixed</v>
      </c>
      <c r="G177" s="96" t="n">
        <v>1990</v>
      </c>
      <c r="H177" s="68" t="str">
        <f aca="false">"E"&amp;TEXT(A177,"yyyymm")&amp;"-"&amp;TEXT(VLOOKUP(D177,Map_Table,2,FALSE()),"0")</f>
        <v>E202402-6104</v>
      </c>
    </row>
    <row r="178" customFormat="false" ht="15" hidden="false" customHeight="false" outlineLevel="0" collapsed="false">
      <c r="A178" s="101" t="n">
        <v>45351</v>
      </c>
      <c r="B178" s="102" t="n">
        <f aca="false">YEAR(A178)</f>
        <v>2024</v>
      </c>
      <c r="C178" s="102" t="n">
        <f aca="false">MONTH(A178)</f>
        <v>2</v>
      </c>
      <c r="D178" s="100" t="s">
        <v>301</v>
      </c>
      <c r="E178" s="68" t="str">
        <f aca="false">VLOOKUP(D178,Map_Table,3,FALSE())</f>
        <v>Selling &amp; Distribution</v>
      </c>
      <c r="F178" s="68" t="str">
        <f aca="false">VLOOKUP(D178,Map_Table,4,FALSE())</f>
        <v>Fixed</v>
      </c>
      <c r="G178" s="96" t="n">
        <v>2610</v>
      </c>
      <c r="H178" s="68" t="str">
        <f aca="false">"E"&amp;TEXT(A178,"yyyymm")&amp;"-"&amp;TEXT(VLOOKUP(D178,Map_Table,2,FALSE()),"0")</f>
        <v>E202402-6105</v>
      </c>
    </row>
    <row r="179" customFormat="false" ht="15" hidden="false" customHeight="false" outlineLevel="0" collapsed="false">
      <c r="A179" s="101" t="n">
        <v>45351</v>
      </c>
      <c r="B179" s="102" t="n">
        <f aca="false">YEAR(A179)</f>
        <v>2024</v>
      </c>
      <c r="C179" s="102" t="n">
        <f aca="false">MONTH(A179)</f>
        <v>2</v>
      </c>
      <c r="D179" s="100" t="s">
        <v>302</v>
      </c>
      <c r="E179" s="68" t="str">
        <f aca="false">VLOOKUP(D179,Map_Table,3,FALSE())</f>
        <v>General &amp; Administrative</v>
      </c>
      <c r="F179" s="68" t="str">
        <f aca="false">VLOOKUP(D179,Map_Table,4,FALSE())</f>
        <v>Fixed</v>
      </c>
      <c r="G179" s="96" t="n">
        <v>2417</v>
      </c>
      <c r="H179" s="68" t="str">
        <f aca="false">"E"&amp;TEXT(A179,"yyyymm")&amp;"-"&amp;TEXT(VLOOKUP(D179,Map_Table,2,FALSE()),"0")</f>
        <v>E202402-6201</v>
      </c>
    </row>
    <row r="180" customFormat="false" ht="15" hidden="false" customHeight="false" outlineLevel="0" collapsed="false">
      <c r="A180" s="101" t="n">
        <v>45351</v>
      </c>
      <c r="B180" s="102" t="n">
        <f aca="false">YEAR(A180)</f>
        <v>2024</v>
      </c>
      <c r="C180" s="102" t="n">
        <f aca="false">MONTH(A180)</f>
        <v>2</v>
      </c>
      <c r="D180" s="100" t="s">
        <v>303</v>
      </c>
      <c r="E180" s="68" t="str">
        <f aca="false">VLOOKUP(D180,Map_Table,3,FALSE())</f>
        <v>General &amp; Administrative</v>
      </c>
      <c r="F180" s="68" t="str">
        <f aca="false">VLOOKUP(D180,Map_Table,4,FALSE())</f>
        <v>Fixed</v>
      </c>
      <c r="G180" s="96" t="n">
        <v>663</v>
      </c>
      <c r="H180" s="68" t="str">
        <f aca="false">"E"&amp;TEXT(A180,"yyyymm")&amp;"-"&amp;TEXT(VLOOKUP(D180,Map_Table,2,FALSE()),"0")</f>
        <v>E202402-6202</v>
      </c>
    </row>
    <row r="181" customFormat="false" ht="15" hidden="false" customHeight="false" outlineLevel="0" collapsed="false">
      <c r="A181" s="101" t="n">
        <v>45351</v>
      </c>
      <c r="B181" s="102" t="n">
        <f aca="false">YEAR(A181)</f>
        <v>2024</v>
      </c>
      <c r="C181" s="102" t="n">
        <f aca="false">MONTH(A181)</f>
        <v>2</v>
      </c>
      <c r="D181" s="100" t="s">
        <v>304</v>
      </c>
      <c r="E181" s="68" t="str">
        <f aca="false">VLOOKUP(D181,Map_Table,3,FALSE())</f>
        <v>General &amp; Administrative</v>
      </c>
      <c r="F181" s="68" t="str">
        <f aca="false">VLOOKUP(D181,Map_Table,4,FALSE())</f>
        <v>Fixed</v>
      </c>
      <c r="G181" s="96" t="n">
        <v>313</v>
      </c>
      <c r="H181" s="68" t="str">
        <f aca="false">"E"&amp;TEXT(A181,"yyyymm")&amp;"-"&amp;TEXT(VLOOKUP(D181,Map_Table,2,FALSE()),"0")</f>
        <v>E202402-6203</v>
      </c>
    </row>
    <row r="182" customFormat="false" ht="15" hidden="false" customHeight="false" outlineLevel="0" collapsed="false">
      <c r="A182" s="101" t="n">
        <v>45351</v>
      </c>
      <c r="B182" s="102" t="n">
        <f aca="false">YEAR(A182)</f>
        <v>2024</v>
      </c>
      <c r="C182" s="102" t="n">
        <f aca="false">MONTH(A182)</f>
        <v>2</v>
      </c>
      <c r="D182" s="100" t="s">
        <v>305</v>
      </c>
      <c r="E182" s="68" t="str">
        <f aca="false">VLOOKUP(D182,Map_Table,3,FALSE())</f>
        <v>General &amp; Administrative</v>
      </c>
      <c r="F182" s="68" t="str">
        <f aca="false">VLOOKUP(D182,Map_Table,4,FALSE())</f>
        <v>Fixed</v>
      </c>
      <c r="G182" s="96" t="n">
        <v>554</v>
      </c>
      <c r="H182" s="68" t="str">
        <f aca="false">"E"&amp;TEXT(A182,"yyyymm")&amp;"-"&amp;TEXT(VLOOKUP(D182,Map_Table,2,FALSE()),"0")</f>
        <v>E202402-6204</v>
      </c>
    </row>
    <row r="183" customFormat="false" ht="15" hidden="false" customHeight="false" outlineLevel="0" collapsed="false">
      <c r="A183" s="101" t="n">
        <v>45351</v>
      </c>
      <c r="B183" s="102" t="n">
        <f aca="false">YEAR(A183)</f>
        <v>2024</v>
      </c>
      <c r="C183" s="102" t="n">
        <f aca="false">MONTH(A183)</f>
        <v>2</v>
      </c>
      <c r="D183" s="100" t="s">
        <v>306</v>
      </c>
      <c r="E183" s="68" t="str">
        <f aca="false">VLOOKUP(D183,Map_Table,3,FALSE())</f>
        <v>General &amp; Administrative</v>
      </c>
      <c r="F183" s="68" t="str">
        <f aca="false">VLOOKUP(D183,Map_Table,4,FALSE())</f>
        <v>Fixed</v>
      </c>
      <c r="G183" s="96" t="n">
        <v>240</v>
      </c>
      <c r="H183" s="68" t="str">
        <f aca="false">"E"&amp;TEXT(A183,"yyyymm")&amp;"-"&amp;TEXT(VLOOKUP(D183,Map_Table,2,FALSE()),"0")</f>
        <v>E202402-6205</v>
      </c>
    </row>
    <row r="184" customFormat="false" ht="15" hidden="false" customHeight="false" outlineLevel="0" collapsed="false">
      <c r="A184" s="101" t="n">
        <v>45351</v>
      </c>
      <c r="B184" s="102" t="n">
        <f aca="false">YEAR(A184)</f>
        <v>2024</v>
      </c>
      <c r="C184" s="102" t="n">
        <f aca="false">MONTH(A184)</f>
        <v>2</v>
      </c>
      <c r="D184" s="100" t="s">
        <v>307</v>
      </c>
      <c r="E184" s="68" t="str">
        <f aca="false">VLOOKUP(D184,Map_Table,3,FALSE())</f>
        <v>General &amp; Administrative</v>
      </c>
      <c r="F184" s="68" t="str">
        <f aca="false">VLOOKUP(D184,Map_Table,4,FALSE())</f>
        <v>Fixed</v>
      </c>
      <c r="G184" s="96" t="n">
        <v>443</v>
      </c>
      <c r="H184" s="68" t="str">
        <f aca="false">"E"&amp;TEXT(A184,"yyyymm")&amp;"-"&amp;TEXT(VLOOKUP(D184,Map_Table,2,FALSE()),"0")</f>
        <v>E202402-6206</v>
      </c>
    </row>
    <row r="185" customFormat="false" ht="15" hidden="false" customHeight="false" outlineLevel="0" collapsed="false">
      <c r="A185" s="101" t="n">
        <v>45351</v>
      </c>
      <c r="B185" s="102" t="n">
        <f aca="false">YEAR(A185)</f>
        <v>2024</v>
      </c>
      <c r="C185" s="102" t="n">
        <f aca="false">MONTH(A185)</f>
        <v>2</v>
      </c>
      <c r="D185" s="100" t="s">
        <v>308</v>
      </c>
      <c r="E185" s="68" t="str">
        <f aca="false">VLOOKUP(D185,Map_Table,3,FALSE())</f>
        <v>General &amp; Administrative</v>
      </c>
      <c r="F185" s="68" t="str">
        <f aca="false">VLOOKUP(D185,Map_Table,4,FALSE())</f>
        <v>Fixed</v>
      </c>
      <c r="G185" s="96" t="n">
        <v>355</v>
      </c>
      <c r="H185" s="68" t="str">
        <f aca="false">"E"&amp;TEXT(A185,"yyyymm")&amp;"-"&amp;TEXT(VLOOKUP(D185,Map_Table,2,FALSE()),"0")</f>
        <v>E202402-6207</v>
      </c>
    </row>
    <row r="186" customFormat="false" ht="15" hidden="false" customHeight="false" outlineLevel="0" collapsed="false">
      <c r="A186" s="101" t="n">
        <v>45351</v>
      </c>
      <c r="B186" s="102" t="n">
        <f aca="false">YEAR(A186)</f>
        <v>2024</v>
      </c>
      <c r="C186" s="102" t="n">
        <f aca="false">MONTH(A186)</f>
        <v>2</v>
      </c>
      <c r="D186" s="100" t="s">
        <v>309</v>
      </c>
      <c r="E186" s="68" t="str">
        <f aca="false">VLOOKUP(D186,Map_Table,3,FALSE())</f>
        <v>General &amp; Administrative</v>
      </c>
      <c r="F186" s="68" t="str">
        <f aca="false">VLOOKUP(D186,Map_Table,4,FALSE())</f>
        <v>Variable</v>
      </c>
      <c r="G186" s="96" t="n">
        <v>98</v>
      </c>
      <c r="H186" s="68" t="str">
        <f aca="false">"E"&amp;TEXT(A186,"yyyymm")&amp;"-"&amp;TEXT(VLOOKUP(D186,Map_Table,2,FALSE()),"0")</f>
        <v>E202402-6208</v>
      </c>
    </row>
    <row r="187" customFormat="false" ht="15" hidden="false" customHeight="false" outlineLevel="0" collapsed="false">
      <c r="A187" s="101" t="n">
        <v>45382</v>
      </c>
      <c r="B187" s="102" t="n">
        <f aca="false">YEAR(A187)</f>
        <v>2024</v>
      </c>
      <c r="C187" s="102" t="n">
        <f aca="false">MONTH(A187)</f>
        <v>3</v>
      </c>
      <c r="D187" s="100" t="s">
        <v>297</v>
      </c>
      <c r="E187" s="68" t="str">
        <f aca="false">VLOOKUP(D187,Map_Table,3,FALSE())</f>
        <v>Selling &amp; Distribution</v>
      </c>
      <c r="F187" s="68" t="str">
        <f aca="false">VLOOKUP(D187,Map_Table,4,FALSE())</f>
        <v>Variable</v>
      </c>
      <c r="G187" s="96" t="n">
        <v>1190</v>
      </c>
      <c r="H187" s="68" t="str">
        <f aca="false">"E"&amp;TEXT(A187,"yyyymm")&amp;"-"&amp;TEXT(VLOOKUP(D187,Map_Table,2,FALSE()),"0")</f>
        <v>E202403-6101</v>
      </c>
    </row>
    <row r="188" customFormat="false" ht="15" hidden="false" customHeight="false" outlineLevel="0" collapsed="false">
      <c r="A188" s="101" t="n">
        <v>45382</v>
      </c>
      <c r="B188" s="102" t="n">
        <f aca="false">YEAR(A188)</f>
        <v>2024</v>
      </c>
      <c r="C188" s="102" t="n">
        <f aca="false">MONTH(A188)</f>
        <v>3</v>
      </c>
      <c r="D188" s="100" t="s">
        <v>298</v>
      </c>
      <c r="E188" s="68" t="str">
        <f aca="false">VLOOKUP(D188,Map_Table,3,FALSE())</f>
        <v>Selling &amp; Distribution</v>
      </c>
      <c r="F188" s="68" t="str">
        <f aca="false">VLOOKUP(D188,Map_Table,4,FALSE())</f>
        <v>Variable</v>
      </c>
      <c r="G188" s="96" t="n">
        <v>658</v>
      </c>
      <c r="H188" s="68" t="str">
        <f aca="false">"E"&amp;TEXT(A188,"yyyymm")&amp;"-"&amp;TEXT(VLOOKUP(D188,Map_Table,2,FALSE()),"0")</f>
        <v>E202403-6102</v>
      </c>
    </row>
    <row r="189" customFormat="false" ht="15" hidden="false" customHeight="false" outlineLevel="0" collapsed="false">
      <c r="A189" s="101" t="n">
        <v>45382</v>
      </c>
      <c r="B189" s="102" t="n">
        <f aca="false">YEAR(A189)</f>
        <v>2024</v>
      </c>
      <c r="C189" s="102" t="n">
        <f aca="false">MONTH(A189)</f>
        <v>3</v>
      </c>
      <c r="D189" s="100" t="s">
        <v>299</v>
      </c>
      <c r="E189" s="68" t="str">
        <f aca="false">VLOOKUP(D189,Map_Table,3,FALSE())</f>
        <v>Selling &amp; Distribution</v>
      </c>
      <c r="F189" s="68" t="str">
        <f aca="false">VLOOKUP(D189,Map_Table,4,FALSE())</f>
        <v>Variable</v>
      </c>
      <c r="G189" s="96" t="n">
        <v>1757</v>
      </c>
      <c r="H189" s="68" t="str">
        <f aca="false">"E"&amp;TEXT(A189,"yyyymm")&amp;"-"&amp;TEXT(VLOOKUP(D189,Map_Table,2,FALSE()),"0")</f>
        <v>E202403-6103</v>
      </c>
    </row>
    <row r="190" customFormat="false" ht="15" hidden="false" customHeight="false" outlineLevel="0" collapsed="false">
      <c r="A190" s="101" t="n">
        <v>45382</v>
      </c>
      <c r="B190" s="102" t="n">
        <f aca="false">YEAR(A190)</f>
        <v>2024</v>
      </c>
      <c r="C190" s="102" t="n">
        <f aca="false">MONTH(A190)</f>
        <v>3</v>
      </c>
      <c r="D190" s="100" t="s">
        <v>300</v>
      </c>
      <c r="E190" s="68" t="str">
        <f aca="false">VLOOKUP(D190,Map_Table,3,FALSE())</f>
        <v>Selling &amp; Distribution</v>
      </c>
      <c r="F190" s="68" t="str">
        <f aca="false">VLOOKUP(D190,Map_Table,4,FALSE())</f>
        <v>Fixed</v>
      </c>
      <c r="G190" s="96" t="n">
        <v>1987</v>
      </c>
      <c r="H190" s="68" t="str">
        <f aca="false">"E"&amp;TEXT(A190,"yyyymm")&amp;"-"&amp;TEXT(VLOOKUP(D190,Map_Table,2,FALSE()),"0")</f>
        <v>E202403-6104</v>
      </c>
    </row>
    <row r="191" customFormat="false" ht="15" hidden="false" customHeight="false" outlineLevel="0" collapsed="false">
      <c r="A191" s="101" t="n">
        <v>45382</v>
      </c>
      <c r="B191" s="102" t="n">
        <f aca="false">YEAR(A191)</f>
        <v>2024</v>
      </c>
      <c r="C191" s="102" t="n">
        <f aca="false">MONTH(A191)</f>
        <v>3</v>
      </c>
      <c r="D191" s="100" t="s">
        <v>301</v>
      </c>
      <c r="E191" s="68" t="str">
        <f aca="false">VLOOKUP(D191,Map_Table,3,FALSE())</f>
        <v>Selling &amp; Distribution</v>
      </c>
      <c r="F191" s="68" t="str">
        <f aca="false">VLOOKUP(D191,Map_Table,4,FALSE())</f>
        <v>Fixed</v>
      </c>
      <c r="G191" s="96" t="n">
        <v>2617</v>
      </c>
      <c r="H191" s="68" t="str">
        <f aca="false">"E"&amp;TEXT(A191,"yyyymm")&amp;"-"&amp;TEXT(VLOOKUP(D191,Map_Table,2,FALSE()),"0")</f>
        <v>E202403-6105</v>
      </c>
    </row>
    <row r="192" customFormat="false" ht="15" hidden="false" customHeight="false" outlineLevel="0" collapsed="false">
      <c r="A192" s="101" t="n">
        <v>45382</v>
      </c>
      <c r="B192" s="102" t="n">
        <f aca="false">YEAR(A192)</f>
        <v>2024</v>
      </c>
      <c r="C192" s="102" t="n">
        <f aca="false">MONTH(A192)</f>
        <v>3</v>
      </c>
      <c r="D192" s="100" t="s">
        <v>302</v>
      </c>
      <c r="E192" s="68" t="str">
        <f aca="false">VLOOKUP(D192,Map_Table,3,FALSE())</f>
        <v>General &amp; Administrative</v>
      </c>
      <c r="F192" s="68" t="str">
        <f aca="false">VLOOKUP(D192,Map_Table,4,FALSE())</f>
        <v>Fixed</v>
      </c>
      <c r="G192" s="96" t="n">
        <v>2411</v>
      </c>
      <c r="H192" s="68" t="str">
        <f aca="false">"E"&amp;TEXT(A192,"yyyymm")&amp;"-"&amp;TEXT(VLOOKUP(D192,Map_Table,2,FALSE()),"0")</f>
        <v>E202403-6201</v>
      </c>
    </row>
    <row r="193" customFormat="false" ht="15" hidden="false" customHeight="false" outlineLevel="0" collapsed="false">
      <c r="A193" s="101" t="n">
        <v>45382</v>
      </c>
      <c r="B193" s="102" t="n">
        <f aca="false">YEAR(A193)</f>
        <v>2024</v>
      </c>
      <c r="C193" s="102" t="n">
        <f aca="false">MONTH(A193)</f>
        <v>3</v>
      </c>
      <c r="D193" s="100" t="s">
        <v>303</v>
      </c>
      <c r="E193" s="68" t="str">
        <f aca="false">VLOOKUP(D193,Map_Table,3,FALSE())</f>
        <v>General &amp; Administrative</v>
      </c>
      <c r="F193" s="68" t="str">
        <f aca="false">VLOOKUP(D193,Map_Table,4,FALSE())</f>
        <v>Fixed</v>
      </c>
      <c r="G193" s="96" t="n">
        <v>648</v>
      </c>
      <c r="H193" s="68" t="str">
        <f aca="false">"E"&amp;TEXT(A193,"yyyymm")&amp;"-"&amp;TEXT(VLOOKUP(D193,Map_Table,2,FALSE()),"0")</f>
        <v>E202403-6202</v>
      </c>
    </row>
    <row r="194" customFormat="false" ht="15" hidden="false" customHeight="false" outlineLevel="0" collapsed="false">
      <c r="A194" s="101" t="n">
        <v>45382</v>
      </c>
      <c r="B194" s="102" t="n">
        <f aca="false">YEAR(A194)</f>
        <v>2024</v>
      </c>
      <c r="C194" s="102" t="n">
        <f aca="false">MONTH(A194)</f>
        <v>3</v>
      </c>
      <c r="D194" s="100" t="s">
        <v>304</v>
      </c>
      <c r="E194" s="68" t="str">
        <f aca="false">VLOOKUP(D194,Map_Table,3,FALSE())</f>
        <v>General &amp; Administrative</v>
      </c>
      <c r="F194" s="68" t="str">
        <f aca="false">VLOOKUP(D194,Map_Table,4,FALSE())</f>
        <v>Fixed</v>
      </c>
      <c r="G194" s="96" t="n">
        <v>806</v>
      </c>
      <c r="H194" s="68" t="str">
        <f aca="false">"E"&amp;TEXT(A194,"yyyymm")&amp;"-"&amp;TEXT(VLOOKUP(D194,Map_Table,2,FALSE()),"0")</f>
        <v>E202403-6203</v>
      </c>
    </row>
    <row r="195" customFormat="false" ht="15" hidden="false" customHeight="false" outlineLevel="0" collapsed="false">
      <c r="A195" s="101" t="n">
        <v>45382</v>
      </c>
      <c r="B195" s="102" t="n">
        <f aca="false">YEAR(A195)</f>
        <v>2024</v>
      </c>
      <c r="C195" s="102" t="n">
        <f aca="false">MONTH(A195)</f>
        <v>3</v>
      </c>
      <c r="D195" s="100" t="s">
        <v>305</v>
      </c>
      <c r="E195" s="68" t="str">
        <f aca="false">VLOOKUP(D195,Map_Table,3,FALSE())</f>
        <v>General &amp; Administrative</v>
      </c>
      <c r="F195" s="68" t="str">
        <f aca="false">VLOOKUP(D195,Map_Table,4,FALSE())</f>
        <v>Fixed</v>
      </c>
      <c r="G195" s="96" t="n">
        <v>543</v>
      </c>
      <c r="H195" s="68" t="str">
        <f aca="false">"E"&amp;TEXT(A195,"yyyymm")&amp;"-"&amp;TEXT(VLOOKUP(D195,Map_Table,2,FALSE()),"0")</f>
        <v>E202403-6204</v>
      </c>
    </row>
    <row r="196" customFormat="false" ht="15" hidden="false" customHeight="false" outlineLevel="0" collapsed="false">
      <c r="A196" s="101" t="n">
        <v>45382</v>
      </c>
      <c r="B196" s="102" t="n">
        <f aca="false">YEAR(A196)</f>
        <v>2024</v>
      </c>
      <c r="C196" s="102" t="n">
        <f aca="false">MONTH(A196)</f>
        <v>3</v>
      </c>
      <c r="D196" s="100" t="s">
        <v>306</v>
      </c>
      <c r="E196" s="68" t="str">
        <f aca="false">VLOOKUP(D196,Map_Table,3,FALSE())</f>
        <v>General &amp; Administrative</v>
      </c>
      <c r="F196" s="68" t="str">
        <f aca="false">VLOOKUP(D196,Map_Table,4,FALSE())</f>
        <v>Fixed</v>
      </c>
      <c r="G196" s="96" t="n">
        <v>220</v>
      </c>
      <c r="H196" s="68" t="str">
        <f aca="false">"E"&amp;TEXT(A196,"yyyymm")&amp;"-"&amp;TEXT(VLOOKUP(D196,Map_Table,2,FALSE()),"0")</f>
        <v>E202403-6205</v>
      </c>
    </row>
    <row r="197" customFormat="false" ht="15" hidden="false" customHeight="false" outlineLevel="0" collapsed="false">
      <c r="A197" s="101" t="n">
        <v>45382</v>
      </c>
      <c r="B197" s="102" t="n">
        <f aca="false">YEAR(A197)</f>
        <v>2024</v>
      </c>
      <c r="C197" s="102" t="n">
        <f aca="false">MONTH(A197)</f>
        <v>3</v>
      </c>
      <c r="D197" s="100" t="s">
        <v>307</v>
      </c>
      <c r="E197" s="68" t="str">
        <f aca="false">VLOOKUP(D197,Map_Table,3,FALSE())</f>
        <v>General &amp; Administrative</v>
      </c>
      <c r="F197" s="68" t="str">
        <f aca="false">VLOOKUP(D197,Map_Table,4,FALSE())</f>
        <v>Fixed</v>
      </c>
      <c r="G197" s="96" t="n">
        <v>444</v>
      </c>
      <c r="H197" s="68" t="str">
        <f aca="false">"E"&amp;TEXT(A197,"yyyymm")&amp;"-"&amp;TEXT(VLOOKUP(D197,Map_Table,2,FALSE()),"0")</f>
        <v>E202403-6206</v>
      </c>
    </row>
    <row r="198" customFormat="false" ht="15" hidden="false" customHeight="false" outlineLevel="0" collapsed="false">
      <c r="A198" s="101" t="n">
        <v>45382</v>
      </c>
      <c r="B198" s="102" t="n">
        <f aca="false">YEAR(A198)</f>
        <v>2024</v>
      </c>
      <c r="C198" s="102" t="n">
        <f aca="false">MONTH(A198)</f>
        <v>3</v>
      </c>
      <c r="D198" s="100" t="s">
        <v>308</v>
      </c>
      <c r="E198" s="68" t="str">
        <f aca="false">VLOOKUP(D198,Map_Table,3,FALSE())</f>
        <v>General &amp; Administrative</v>
      </c>
      <c r="F198" s="68" t="str">
        <f aca="false">VLOOKUP(D198,Map_Table,4,FALSE())</f>
        <v>Fixed</v>
      </c>
      <c r="G198" s="96" t="n">
        <v>358</v>
      </c>
      <c r="H198" s="68" t="str">
        <f aca="false">"E"&amp;TEXT(A198,"yyyymm")&amp;"-"&amp;TEXT(VLOOKUP(D198,Map_Table,2,FALSE()),"0")</f>
        <v>E202403-6207</v>
      </c>
    </row>
    <row r="199" customFormat="false" ht="15" hidden="false" customHeight="false" outlineLevel="0" collapsed="false">
      <c r="A199" s="101" t="n">
        <v>45382</v>
      </c>
      <c r="B199" s="102" t="n">
        <f aca="false">YEAR(A199)</f>
        <v>2024</v>
      </c>
      <c r="C199" s="102" t="n">
        <f aca="false">MONTH(A199)</f>
        <v>3</v>
      </c>
      <c r="D199" s="100" t="s">
        <v>309</v>
      </c>
      <c r="E199" s="68" t="str">
        <f aca="false">VLOOKUP(D199,Map_Table,3,FALSE())</f>
        <v>General &amp; Administrative</v>
      </c>
      <c r="F199" s="68" t="str">
        <f aca="false">VLOOKUP(D199,Map_Table,4,FALSE())</f>
        <v>Variable</v>
      </c>
      <c r="G199" s="96" t="n">
        <v>109</v>
      </c>
      <c r="H199" s="68" t="str">
        <f aca="false">"E"&amp;TEXT(A199,"yyyymm")&amp;"-"&amp;TEXT(VLOOKUP(D199,Map_Table,2,FALSE()),"0")</f>
        <v>E202403-6208</v>
      </c>
    </row>
    <row r="200" customFormat="false" ht="15" hidden="false" customHeight="false" outlineLevel="0" collapsed="false">
      <c r="A200" s="101" t="n">
        <v>45412</v>
      </c>
      <c r="B200" s="102" t="n">
        <f aca="false">YEAR(A200)</f>
        <v>2024</v>
      </c>
      <c r="C200" s="102" t="n">
        <f aca="false">MONTH(A200)</f>
        <v>4</v>
      </c>
      <c r="D200" s="100" t="s">
        <v>297</v>
      </c>
      <c r="E200" s="68" t="str">
        <f aca="false">VLOOKUP(D200,Map_Table,3,FALSE())</f>
        <v>Selling &amp; Distribution</v>
      </c>
      <c r="F200" s="68" t="str">
        <f aca="false">VLOOKUP(D200,Map_Table,4,FALSE())</f>
        <v>Variable</v>
      </c>
      <c r="G200" s="96" t="n">
        <v>1158</v>
      </c>
      <c r="H200" s="68" t="str">
        <f aca="false">"E"&amp;TEXT(A200,"yyyymm")&amp;"-"&amp;TEXT(VLOOKUP(D200,Map_Table,2,FALSE()),"0")</f>
        <v>E202404-6101</v>
      </c>
    </row>
    <row r="201" customFormat="false" ht="15" hidden="false" customHeight="false" outlineLevel="0" collapsed="false">
      <c r="A201" s="101" t="n">
        <v>45412</v>
      </c>
      <c r="B201" s="102" t="n">
        <f aca="false">YEAR(A201)</f>
        <v>2024</v>
      </c>
      <c r="C201" s="102" t="n">
        <f aca="false">MONTH(A201)</f>
        <v>4</v>
      </c>
      <c r="D201" s="100" t="s">
        <v>298</v>
      </c>
      <c r="E201" s="68" t="str">
        <f aca="false">VLOOKUP(D201,Map_Table,3,FALSE())</f>
        <v>Selling &amp; Distribution</v>
      </c>
      <c r="F201" s="68" t="str">
        <f aca="false">VLOOKUP(D201,Map_Table,4,FALSE())</f>
        <v>Variable</v>
      </c>
      <c r="G201" s="96" t="n">
        <v>667</v>
      </c>
      <c r="H201" s="68" t="str">
        <f aca="false">"E"&amp;TEXT(A201,"yyyymm")&amp;"-"&amp;TEXT(VLOOKUP(D201,Map_Table,2,FALSE()),"0")</f>
        <v>E202404-6102</v>
      </c>
    </row>
    <row r="202" customFormat="false" ht="15" hidden="false" customHeight="false" outlineLevel="0" collapsed="false">
      <c r="A202" s="101" t="n">
        <v>45412</v>
      </c>
      <c r="B202" s="102" t="n">
        <f aca="false">YEAR(A202)</f>
        <v>2024</v>
      </c>
      <c r="C202" s="102" t="n">
        <f aca="false">MONTH(A202)</f>
        <v>4</v>
      </c>
      <c r="D202" s="100" t="s">
        <v>299</v>
      </c>
      <c r="E202" s="68" t="str">
        <f aca="false">VLOOKUP(D202,Map_Table,3,FALSE())</f>
        <v>Selling &amp; Distribution</v>
      </c>
      <c r="F202" s="68" t="str">
        <f aca="false">VLOOKUP(D202,Map_Table,4,FALSE())</f>
        <v>Variable</v>
      </c>
      <c r="G202" s="96" t="n">
        <v>1740</v>
      </c>
      <c r="H202" s="68" t="str">
        <f aca="false">"E"&amp;TEXT(A202,"yyyymm")&amp;"-"&amp;TEXT(VLOOKUP(D202,Map_Table,2,FALSE()),"0")</f>
        <v>E202404-6103</v>
      </c>
    </row>
    <row r="203" customFormat="false" ht="15" hidden="false" customHeight="false" outlineLevel="0" collapsed="false">
      <c r="A203" s="101" t="n">
        <v>45412</v>
      </c>
      <c r="B203" s="102" t="n">
        <f aca="false">YEAR(A203)</f>
        <v>2024</v>
      </c>
      <c r="C203" s="102" t="n">
        <f aca="false">MONTH(A203)</f>
        <v>4</v>
      </c>
      <c r="D203" s="100" t="s">
        <v>300</v>
      </c>
      <c r="E203" s="68" t="str">
        <f aca="false">VLOOKUP(D203,Map_Table,3,FALSE())</f>
        <v>Selling &amp; Distribution</v>
      </c>
      <c r="F203" s="68" t="str">
        <f aca="false">VLOOKUP(D203,Map_Table,4,FALSE())</f>
        <v>Fixed</v>
      </c>
      <c r="G203" s="96" t="n">
        <v>1983</v>
      </c>
      <c r="H203" s="68" t="str">
        <f aca="false">"E"&amp;TEXT(A203,"yyyymm")&amp;"-"&amp;TEXT(VLOOKUP(D203,Map_Table,2,FALSE()),"0")</f>
        <v>E202404-6104</v>
      </c>
    </row>
    <row r="204" customFormat="false" ht="15" hidden="false" customHeight="false" outlineLevel="0" collapsed="false">
      <c r="A204" s="101" t="n">
        <v>45412</v>
      </c>
      <c r="B204" s="102" t="n">
        <f aca="false">YEAR(A204)</f>
        <v>2024</v>
      </c>
      <c r="C204" s="102" t="n">
        <f aca="false">MONTH(A204)</f>
        <v>4</v>
      </c>
      <c r="D204" s="100" t="s">
        <v>301</v>
      </c>
      <c r="E204" s="68" t="str">
        <f aca="false">VLOOKUP(D204,Map_Table,3,FALSE())</f>
        <v>Selling &amp; Distribution</v>
      </c>
      <c r="F204" s="68" t="str">
        <f aca="false">VLOOKUP(D204,Map_Table,4,FALSE())</f>
        <v>Fixed</v>
      </c>
      <c r="G204" s="96" t="n">
        <v>2599</v>
      </c>
      <c r="H204" s="68" t="str">
        <f aca="false">"E"&amp;TEXT(A204,"yyyymm")&amp;"-"&amp;TEXT(VLOOKUP(D204,Map_Table,2,FALSE()),"0")</f>
        <v>E202404-6105</v>
      </c>
    </row>
    <row r="205" customFormat="false" ht="15" hidden="false" customHeight="false" outlineLevel="0" collapsed="false">
      <c r="A205" s="101" t="n">
        <v>45412</v>
      </c>
      <c r="B205" s="102" t="n">
        <f aca="false">YEAR(A205)</f>
        <v>2024</v>
      </c>
      <c r="C205" s="102" t="n">
        <f aca="false">MONTH(A205)</f>
        <v>4</v>
      </c>
      <c r="D205" s="100" t="s">
        <v>302</v>
      </c>
      <c r="E205" s="68" t="str">
        <f aca="false">VLOOKUP(D205,Map_Table,3,FALSE())</f>
        <v>General &amp; Administrative</v>
      </c>
      <c r="F205" s="68" t="str">
        <f aca="false">VLOOKUP(D205,Map_Table,4,FALSE())</f>
        <v>Fixed</v>
      </c>
      <c r="G205" s="96" t="n">
        <v>2413</v>
      </c>
      <c r="H205" s="68" t="str">
        <f aca="false">"E"&amp;TEXT(A205,"yyyymm")&amp;"-"&amp;TEXT(VLOOKUP(D205,Map_Table,2,FALSE()),"0")</f>
        <v>E202404-6201</v>
      </c>
    </row>
    <row r="206" customFormat="false" ht="15" hidden="false" customHeight="false" outlineLevel="0" collapsed="false">
      <c r="A206" s="101" t="n">
        <v>45412</v>
      </c>
      <c r="B206" s="102" t="n">
        <f aca="false">YEAR(A206)</f>
        <v>2024</v>
      </c>
      <c r="C206" s="102" t="n">
        <f aca="false">MONTH(A206)</f>
        <v>4</v>
      </c>
      <c r="D206" s="100" t="s">
        <v>303</v>
      </c>
      <c r="E206" s="68" t="str">
        <f aca="false">VLOOKUP(D206,Map_Table,3,FALSE())</f>
        <v>General &amp; Administrative</v>
      </c>
      <c r="F206" s="68" t="str">
        <f aca="false">VLOOKUP(D206,Map_Table,4,FALSE())</f>
        <v>Fixed</v>
      </c>
      <c r="G206" s="96" t="n">
        <v>647</v>
      </c>
      <c r="H206" s="68" t="str">
        <f aca="false">"E"&amp;TEXT(A206,"yyyymm")&amp;"-"&amp;TEXT(VLOOKUP(D206,Map_Table,2,FALSE()),"0")</f>
        <v>E202404-6202</v>
      </c>
    </row>
    <row r="207" customFormat="false" ht="15" hidden="false" customHeight="false" outlineLevel="0" collapsed="false">
      <c r="A207" s="101" t="n">
        <v>45412</v>
      </c>
      <c r="B207" s="102" t="n">
        <f aca="false">YEAR(A207)</f>
        <v>2024</v>
      </c>
      <c r="C207" s="102" t="n">
        <f aca="false">MONTH(A207)</f>
        <v>4</v>
      </c>
      <c r="D207" s="100" t="s">
        <v>304</v>
      </c>
      <c r="E207" s="68" t="str">
        <f aca="false">VLOOKUP(D207,Map_Table,3,FALSE())</f>
        <v>General &amp; Administrative</v>
      </c>
      <c r="F207" s="68" t="str">
        <f aca="false">VLOOKUP(D207,Map_Table,4,FALSE())</f>
        <v>Fixed</v>
      </c>
      <c r="G207" s="96" t="n">
        <v>315</v>
      </c>
      <c r="H207" s="68" t="str">
        <f aca="false">"E"&amp;TEXT(A207,"yyyymm")&amp;"-"&amp;TEXT(VLOOKUP(D207,Map_Table,2,FALSE()),"0")</f>
        <v>E202404-6203</v>
      </c>
    </row>
    <row r="208" customFormat="false" ht="15" hidden="false" customHeight="false" outlineLevel="0" collapsed="false">
      <c r="A208" s="101" t="n">
        <v>45412</v>
      </c>
      <c r="B208" s="102" t="n">
        <f aca="false">YEAR(A208)</f>
        <v>2024</v>
      </c>
      <c r="C208" s="102" t="n">
        <f aca="false">MONTH(A208)</f>
        <v>4</v>
      </c>
      <c r="D208" s="100" t="s">
        <v>305</v>
      </c>
      <c r="E208" s="68" t="str">
        <f aca="false">VLOOKUP(D208,Map_Table,3,FALSE())</f>
        <v>General &amp; Administrative</v>
      </c>
      <c r="F208" s="68" t="str">
        <f aca="false">VLOOKUP(D208,Map_Table,4,FALSE())</f>
        <v>Fixed</v>
      </c>
      <c r="G208" s="96" t="n">
        <v>548</v>
      </c>
      <c r="H208" s="68" t="str">
        <f aca="false">"E"&amp;TEXT(A208,"yyyymm")&amp;"-"&amp;TEXT(VLOOKUP(D208,Map_Table,2,FALSE()),"0")</f>
        <v>E202404-6204</v>
      </c>
    </row>
    <row r="209" customFormat="false" ht="15" hidden="false" customHeight="false" outlineLevel="0" collapsed="false">
      <c r="A209" s="101" t="n">
        <v>45412</v>
      </c>
      <c r="B209" s="102" t="n">
        <f aca="false">YEAR(A209)</f>
        <v>2024</v>
      </c>
      <c r="C209" s="102" t="n">
        <f aca="false">MONTH(A209)</f>
        <v>4</v>
      </c>
      <c r="D209" s="100" t="s">
        <v>306</v>
      </c>
      <c r="E209" s="68" t="str">
        <f aca="false">VLOOKUP(D209,Map_Table,3,FALSE())</f>
        <v>General &amp; Administrative</v>
      </c>
      <c r="F209" s="68" t="str">
        <f aca="false">VLOOKUP(D209,Map_Table,4,FALSE())</f>
        <v>Fixed</v>
      </c>
      <c r="G209" s="96" t="n">
        <v>213</v>
      </c>
      <c r="H209" s="68" t="str">
        <f aca="false">"E"&amp;TEXT(A209,"yyyymm")&amp;"-"&amp;TEXT(VLOOKUP(D209,Map_Table,2,FALSE()),"0")</f>
        <v>E202404-6205</v>
      </c>
    </row>
    <row r="210" customFormat="false" ht="15" hidden="false" customHeight="false" outlineLevel="0" collapsed="false">
      <c r="A210" s="101" t="n">
        <v>45412</v>
      </c>
      <c r="B210" s="102" t="n">
        <f aca="false">YEAR(A210)</f>
        <v>2024</v>
      </c>
      <c r="C210" s="102" t="n">
        <f aca="false">MONTH(A210)</f>
        <v>4</v>
      </c>
      <c r="D210" s="100" t="s">
        <v>307</v>
      </c>
      <c r="E210" s="68" t="str">
        <f aca="false">VLOOKUP(D210,Map_Table,3,FALSE())</f>
        <v>General &amp; Administrative</v>
      </c>
      <c r="F210" s="68" t="str">
        <f aca="false">VLOOKUP(D210,Map_Table,4,FALSE())</f>
        <v>Fixed</v>
      </c>
      <c r="G210" s="96" t="n">
        <v>449</v>
      </c>
      <c r="H210" s="68" t="str">
        <f aca="false">"E"&amp;TEXT(A210,"yyyymm")&amp;"-"&amp;TEXT(VLOOKUP(D210,Map_Table,2,FALSE()),"0")</f>
        <v>E202404-6206</v>
      </c>
    </row>
    <row r="211" customFormat="false" ht="15" hidden="false" customHeight="false" outlineLevel="0" collapsed="false">
      <c r="A211" s="101" t="n">
        <v>45412</v>
      </c>
      <c r="B211" s="102" t="n">
        <f aca="false">YEAR(A211)</f>
        <v>2024</v>
      </c>
      <c r="C211" s="102" t="n">
        <f aca="false">MONTH(A211)</f>
        <v>4</v>
      </c>
      <c r="D211" s="100" t="s">
        <v>308</v>
      </c>
      <c r="E211" s="68" t="str">
        <f aca="false">VLOOKUP(D211,Map_Table,3,FALSE())</f>
        <v>General &amp; Administrative</v>
      </c>
      <c r="F211" s="68" t="str">
        <f aca="false">VLOOKUP(D211,Map_Table,4,FALSE())</f>
        <v>Fixed</v>
      </c>
      <c r="G211" s="96" t="n">
        <v>361</v>
      </c>
      <c r="H211" s="68" t="str">
        <f aca="false">"E"&amp;TEXT(A211,"yyyymm")&amp;"-"&amp;TEXT(VLOOKUP(D211,Map_Table,2,FALSE()),"0")</f>
        <v>E202404-6207</v>
      </c>
    </row>
    <row r="212" customFormat="false" ht="15" hidden="false" customHeight="false" outlineLevel="0" collapsed="false">
      <c r="A212" s="101" t="n">
        <v>45412</v>
      </c>
      <c r="B212" s="102" t="n">
        <f aca="false">YEAR(A212)</f>
        <v>2024</v>
      </c>
      <c r="C212" s="102" t="n">
        <f aca="false">MONTH(A212)</f>
        <v>4</v>
      </c>
      <c r="D212" s="100" t="s">
        <v>309</v>
      </c>
      <c r="E212" s="68" t="str">
        <f aca="false">VLOOKUP(D212,Map_Table,3,FALSE())</f>
        <v>General &amp; Administrative</v>
      </c>
      <c r="F212" s="68" t="str">
        <f aca="false">VLOOKUP(D212,Map_Table,4,FALSE())</f>
        <v>Variable</v>
      </c>
      <c r="G212" s="96" t="n">
        <v>107</v>
      </c>
      <c r="H212" s="68" t="str">
        <f aca="false">"E"&amp;TEXT(A212,"yyyymm")&amp;"-"&amp;TEXT(VLOOKUP(D212,Map_Table,2,FALSE()),"0")</f>
        <v>E202404-6208</v>
      </c>
    </row>
    <row r="213" customFormat="false" ht="15" hidden="false" customHeight="false" outlineLevel="0" collapsed="false">
      <c r="A213" s="101" t="n">
        <v>45443</v>
      </c>
      <c r="B213" s="102" t="n">
        <f aca="false">YEAR(A213)</f>
        <v>2024</v>
      </c>
      <c r="C213" s="102" t="n">
        <f aca="false">MONTH(A213)</f>
        <v>5</v>
      </c>
      <c r="D213" s="100" t="s">
        <v>297</v>
      </c>
      <c r="E213" s="68" t="str">
        <f aca="false">VLOOKUP(D213,Map_Table,3,FALSE())</f>
        <v>Selling &amp; Distribution</v>
      </c>
      <c r="F213" s="68" t="str">
        <f aca="false">VLOOKUP(D213,Map_Table,4,FALSE())</f>
        <v>Variable</v>
      </c>
      <c r="G213" s="96" t="n">
        <v>1173</v>
      </c>
      <c r="H213" s="68" t="str">
        <f aca="false">"E"&amp;TEXT(A213,"yyyymm")&amp;"-"&amp;TEXT(VLOOKUP(D213,Map_Table,2,FALSE()),"0")</f>
        <v>E202405-6101</v>
      </c>
    </row>
    <row r="214" customFormat="false" ht="15" hidden="false" customHeight="false" outlineLevel="0" collapsed="false">
      <c r="A214" s="101" t="n">
        <v>45443</v>
      </c>
      <c r="B214" s="102" t="n">
        <f aca="false">YEAR(A214)</f>
        <v>2024</v>
      </c>
      <c r="C214" s="102" t="n">
        <f aca="false">MONTH(A214)</f>
        <v>5</v>
      </c>
      <c r="D214" s="100" t="s">
        <v>298</v>
      </c>
      <c r="E214" s="68" t="str">
        <f aca="false">VLOOKUP(D214,Map_Table,3,FALSE())</f>
        <v>Selling &amp; Distribution</v>
      </c>
      <c r="F214" s="68" t="str">
        <f aca="false">VLOOKUP(D214,Map_Table,4,FALSE())</f>
        <v>Variable</v>
      </c>
      <c r="G214" s="96" t="n">
        <v>657</v>
      </c>
      <c r="H214" s="68" t="str">
        <f aca="false">"E"&amp;TEXT(A214,"yyyymm")&amp;"-"&amp;TEXT(VLOOKUP(D214,Map_Table,2,FALSE()),"0")</f>
        <v>E202405-6102</v>
      </c>
    </row>
    <row r="215" customFormat="false" ht="15" hidden="false" customHeight="false" outlineLevel="0" collapsed="false">
      <c r="A215" s="101" t="n">
        <v>45443</v>
      </c>
      <c r="B215" s="102" t="n">
        <f aca="false">YEAR(A215)</f>
        <v>2024</v>
      </c>
      <c r="C215" s="102" t="n">
        <f aca="false">MONTH(A215)</f>
        <v>5</v>
      </c>
      <c r="D215" s="100" t="s">
        <v>299</v>
      </c>
      <c r="E215" s="68" t="str">
        <f aca="false">VLOOKUP(D215,Map_Table,3,FALSE())</f>
        <v>Selling &amp; Distribution</v>
      </c>
      <c r="F215" s="68" t="str">
        <f aca="false">VLOOKUP(D215,Map_Table,4,FALSE())</f>
        <v>Variable</v>
      </c>
      <c r="G215" s="96" t="n">
        <v>1756</v>
      </c>
      <c r="H215" s="68" t="str">
        <f aca="false">"E"&amp;TEXT(A215,"yyyymm")&amp;"-"&amp;TEXT(VLOOKUP(D215,Map_Table,2,FALSE()),"0")</f>
        <v>E202405-6103</v>
      </c>
    </row>
    <row r="216" customFormat="false" ht="15" hidden="false" customHeight="false" outlineLevel="0" collapsed="false">
      <c r="A216" s="101" t="n">
        <v>45443</v>
      </c>
      <c r="B216" s="102" t="n">
        <f aca="false">YEAR(A216)</f>
        <v>2024</v>
      </c>
      <c r="C216" s="102" t="n">
        <f aca="false">MONTH(A216)</f>
        <v>5</v>
      </c>
      <c r="D216" s="100" t="s">
        <v>300</v>
      </c>
      <c r="E216" s="68" t="str">
        <f aca="false">VLOOKUP(D216,Map_Table,3,FALSE())</f>
        <v>Selling &amp; Distribution</v>
      </c>
      <c r="F216" s="68" t="str">
        <f aca="false">VLOOKUP(D216,Map_Table,4,FALSE())</f>
        <v>Fixed</v>
      </c>
      <c r="G216" s="96" t="n">
        <v>2024</v>
      </c>
      <c r="H216" s="68" t="str">
        <f aca="false">"E"&amp;TEXT(A216,"yyyymm")&amp;"-"&amp;TEXT(VLOOKUP(D216,Map_Table,2,FALSE()),"0")</f>
        <v>E202405-6104</v>
      </c>
    </row>
    <row r="217" customFormat="false" ht="15" hidden="false" customHeight="false" outlineLevel="0" collapsed="false">
      <c r="A217" s="101" t="n">
        <v>45443</v>
      </c>
      <c r="B217" s="102" t="n">
        <f aca="false">YEAR(A217)</f>
        <v>2024</v>
      </c>
      <c r="C217" s="102" t="n">
        <f aca="false">MONTH(A217)</f>
        <v>5</v>
      </c>
      <c r="D217" s="100" t="s">
        <v>301</v>
      </c>
      <c r="E217" s="68" t="str">
        <f aca="false">VLOOKUP(D217,Map_Table,3,FALSE())</f>
        <v>Selling &amp; Distribution</v>
      </c>
      <c r="F217" s="68" t="str">
        <f aca="false">VLOOKUP(D217,Map_Table,4,FALSE())</f>
        <v>Fixed</v>
      </c>
      <c r="G217" s="96" t="n">
        <v>2647</v>
      </c>
      <c r="H217" s="68" t="str">
        <f aca="false">"E"&amp;TEXT(A217,"yyyymm")&amp;"-"&amp;TEXT(VLOOKUP(D217,Map_Table,2,FALSE()),"0")</f>
        <v>E202405-6105</v>
      </c>
    </row>
    <row r="218" customFormat="false" ht="15" hidden="false" customHeight="false" outlineLevel="0" collapsed="false">
      <c r="A218" s="101" t="n">
        <v>45443</v>
      </c>
      <c r="B218" s="102" t="n">
        <f aca="false">YEAR(A218)</f>
        <v>2024</v>
      </c>
      <c r="C218" s="102" t="n">
        <f aca="false">MONTH(A218)</f>
        <v>5</v>
      </c>
      <c r="D218" s="100" t="s">
        <v>302</v>
      </c>
      <c r="E218" s="68" t="str">
        <f aca="false">VLOOKUP(D218,Map_Table,3,FALSE())</f>
        <v>General &amp; Administrative</v>
      </c>
      <c r="F218" s="68" t="str">
        <f aca="false">VLOOKUP(D218,Map_Table,4,FALSE())</f>
        <v>Fixed</v>
      </c>
      <c r="G218" s="96" t="n">
        <v>2367</v>
      </c>
      <c r="H218" s="68" t="str">
        <f aca="false">"E"&amp;TEXT(A218,"yyyymm")&amp;"-"&amp;TEXT(VLOOKUP(D218,Map_Table,2,FALSE()),"0")</f>
        <v>E202405-6201</v>
      </c>
    </row>
    <row r="219" customFormat="false" ht="15" hidden="false" customHeight="false" outlineLevel="0" collapsed="false">
      <c r="A219" s="101" t="n">
        <v>45443</v>
      </c>
      <c r="B219" s="102" t="n">
        <f aca="false">YEAR(A219)</f>
        <v>2024</v>
      </c>
      <c r="C219" s="102" t="n">
        <f aca="false">MONTH(A219)</f>
        <v>5</v>
      </c>
      <c r="D219" s="100" t="s">
        <v>303</v>
      </c>
      <c r="E219" s="68" t="str">
        <f aca="false">VLOOKUP(D219,Map_Table,3,FALSE())</f>
        <v>General &amp; Administrative</v>
      </c>
      <c r="F219" s="68" t="str">
        <f aca="false">VLOOKUP(D219,Map_Table,4,FALSE())</f>
        <v>Fixed</v>
      </c>
      <c r="G219" s="96" t="n">
        <v>644</v>
      </c>
      <c r="H219" s="68" t="str">
        <f aca="false">"E"&amp;TEXT(A219,"yyyymm")&amp;"-"&amp;TEXT(VLOOKUP(D219,Map_Table,2,FALSE()),"0")</f>
        <v>E202405-6202</v>
      </c>
    </row>
    <row r="220" customFormat="false" ht="15" hidden="false" customHeight="false" outlineLevel="0" collapsed="false">
      <c r="A220" s="101" t="n">
        <v>45443</v>
      </c>
      <c r="B220" s="102" t="n">
        <f aca="false">YEAR(A220)</f>
        <v>2024</v>
      </c>
      <c r="C220" s="102" t="n">
        <f aca="false">MONTH(A220)</f>
        <v>5</v>
      </c>
      <c r="D220" s="100" t="s">
        <v>304</v>
      </c>
      <c r="E220" s="68" t="str">
        <f aca="false">VLOOKUP(D220,Map_Table,3,FALSE())</f>
        <v>General &amp; Administrative</v>
      </c>
      <c r="F220" s="68" t="str">
        <f aca="false">VLOOKUP(D220,Map_Table,4,FALSE())</f>
        <v>Fixed</v>
      </c>
      <c r="G220" s="96" t="n">
        <v>310</v>
      </c>
      <c r="H220" s="68" t="str">
        <f aca="false">"E"&amp;TEXT(A220,"yyyymm")&amp;"-"&amp;TEXT(VLOOKUP(D220,Map_Table,2,FALSE()),"0")</f>
        <v>E202405-6203</v>
      </c>
    </row>
    <row r="221" customFormat="false" ht="15" hidden="false" customHeight="false" outlineLevel="0" collapsed="false">
      <c r="A221" s="101" t="n">
        <v>45443</v>
      </c>
      <c r="B221" s="102" t="n">
        <f aca="false">YEAR(A221)</f>
        <v>2024</v>
      </c>
      <c r="C221" s="102" t="n">
        <f aca="false">MONTH(A221)</f>
        <v>5</v>
      </c>
      <c r="D221" s="100" t="s">
        <v>305</v>
      </c>
      <c r="E221" s="68" t="str">
        <f aca="false">VLOOKUP(D221,Map_Table,3,FALSE())</f>
        <v>General &amp; Administrative</v>
      </c>
      <c r="F221" s="68" t="str">
        <f aca="false">VLOOKUP(D221,Map_Table,4,FALSE())</f>
        <v>Fixed</v>
      </c>
      <c r="G221" s="96" t="n">
        <v>539</v>
      </c>
      <c r="H221" s="68" t="str">
        <f aca="false">"E"&amp;TEXT(A221,"yyyymm")&amp;"-"&amp;TEXT(VLOOKUP(D221,Map_Table,2,FALSE()),"0")</f>
        <v>E202405-6204</v>
      </c>
    </row>
    <row r="222" customFormat="false" ht="15" hidden="false" customHeight="false" outlineLevel="0" collapsed="false">
      <c r="A222" s="101" t="n">
        <v>45443</v>
      </c>
      <c r="B222" s="102" t="n">
        <f aca="false">YEAR(A222)</f>
        <v>2024</v>
      </c>
      <c r="C222" s="102" t="n">
        <f aca="false">MONTH(A222)</f>
        <v>5</v>
      </c>
      <c r="D222" s="100" t="s">
        <v>306</v>
      </c>
      <c r="E222" s="68" t="str">
        <f aca="false">VLOOKUP(D222,Map_Table,3,FALSE())</f>
        <v>General &amp; Administrative</v>
      </c>
      <c r="F222" s="68" t="str">
        <f aca="false">VLOOKUP(D222,Map_Table,4,FALSE())</f>
        <v>Fixed</v>
      </c>
      <c r="G222" s="96" t="n">
        <v>246</v>
      </c>
      <c r="H222" s="68" t="str">
        <f aca="false">"E"&amp;TEXT(A222,"yyyymm")&amp;"-"&amp;TEXT(VLOOKUP(D222,Map_Table,2,FALSE()),"0")</f>
        <v>E202405-6205</v>
      </c>
    </row>
    <row r="223" customFormat="false" ht="15" hidden="false" customHeight="false" outlineLevel="0" collapsed="false">
      <c r="A223" s="101" t="n">
        <v>45443</v>
      </c>
      <c r="B223" s="102" t="n">
        <f aca="false">YEAR(A223)</f>
        <v>2024</v>
      </c>
      <c r="C223" s="102" t="n">
        <f aca="false">MONTH(A223)</f>
        <v>5</v>
      </c>
      <c r="D223" s="100" t="s">
        <v>307</v>
      </c>
      <c r="E223" s="68" t="str">
        <f aca="false">VLOOKUP(D223,Map_Table,3,FALSE())</f>
        <v>General &amp; Administrative</v>
      </c>
      <c r="F223" s="68" t="str">
        <f aca="false">VLOOKUP(D223,Map_Table,4,FALSE())</f>
        <v>Fixed</v>
      </c>
      <c r="G223" s="96" t="n">
        <v>449</v>
      </c>
      <c r="H223" s="68" t="str">
        <f aca="false">"E"&amp;TEXT(A223,"yyyymm")&amp;"-"&amp;TEXT(VLOOKUP(D223,Map_Table,2,FALSE()),"0")</f>
        <v>E202405-6206</v>
      </c>
    </row>
    <row r="224" customFormat="false" ht="15" hidden="false" customHeight="false" outlineLevel="0" collapsed="false">
      <c r="A224" s="101" t="n">
        <v>45443</v>
      </c>
      <c r="B224" s="102" t="n">
        <f aca="false">YEAR(A224)</f>
        <v>2024</v>
      </c>
      <c r="C224" s="102" t="n">
        <f aca="false">MONTH(A224)</f>
        <v>5</v>
      </c>
      <c r="D224" s="100" t="s">
        <v>308</v>
      </c>
      <c r="E224" s="68" t="str">
        <f aca="false">VLOOKUP(D224,Map_Table,3,FALSE())</f>
        <v>General &amp; Administrative</v>
      </c>
      <c r="F224" s="68" t="str">
        <f aca="false">VLOOKUP(D224,Map_Table,4,FALSE())</f>
        <v>Fixed</v>
      </c>
      <c r="G224" s="96" t="n">
        <v>358</v>
      </c>
      <c r="H224" s="68" t="str">
        <f aca="false">"E"&amp;TEXT(A224,"yyyymm")&amp;"-"&amp;TEXT(VLOOKUP(D224,Map_Table,2,FALSE()),"0")</f>
        <v>E202405-6207</v>
      </c>
    </row>
    <row r="225" customFormat="false" ht="15" hidden="false" customHeight="false" outlineLevel="0" collapsed="false">
      <c r="A225" s="101" t="n">
        <v>45443</v>
      </c>
      <c r="B225" s="102" t="n">
        <f aca="false">YEAR(A225)</f>
        <v>2024</v>
      </c>
      <c r="C225" s="102" t="n">
        <f aca="false">MONTH(A225)</f>
        <v>5</v>
      </c>
      <c r="D225" s="100" t="s">
        <v>309</v>
      </c>
      <c r="E225" s="68" t="str">
        <f aca="false">VLOOKUP(D225,Map_Table,3,FALSE())</f>
        <v>General &amp; Administrative</v>
      </c>
      <c r="F225" s="68" t="str">
        <f aca="false">VLOOKUP(D225,Map_Table,4,FALSE())</f>
        <v>Variable</v>
      </c>
      <c r="G225" s="96" t="n">
        <v>108</v>
      </c>
      <c r="H225" s="68" t="str">
        <f aca="false">"E"&amp;TEXT(A225,"yyyymm")&amp;"-"&amp;TEXT(VLOOKUP(D225,Map_Table,2,FALSE()),"0")</f>
        <v>E202405-6208</v>
      </c>
    </row>
    <row r="226" customFormat="false" ht="15" hidden="false" customHeight="false" outlineLevel="0" collapsed="false">
      <c r="A226" s="101" t="n">
        <v>45473</v>
      </c>
      <c r="B226" s="102" t="n">
        <f aca="false">YEAR(A226)</f>
        <v>2024</v>
      </c>
      <c r="C226" s="102" t="n">
        <f aca="false">MONTH(A226)</f>
        <v>6</v>
      </c>
      <c r="D226" s="100" t="s">
        <v>297</v>
      </c>
      <c r="E226" s="68" t="str">
        <f aca="false">VLOOKUP(D226,Map_Table,3,FALSE())</f>
        <v>Selling &amp; Distribution</v>
      </c>
      <c r="F226" s="68" t="str">
        <f aca="false">VLOOKUP(D226,Map_Table,4,FALSE())</f>
        <v>Variable</v>
      </c>
      <c r="G226" s="96" t="n">
        <v>1200</v>
      </c>
      <c r="H226" s="68" t="str">
        <f aca="false">"E"&amp;TEXT(A226,"yyyymm")&amp;"-"&amp;TEXT(VLOOKUP(D226,Map_Table,2,FALSE()),"0")</f>
        <v>E202406-6101</v>
      </c>
    </row>
    <row r="227" customFormat="false" ht="15" hidden="false" customHeight="false" outlineLevel="0" collapsed="false">
      <c r="A227" s="101" t="n">
        <v>45473</v>
      </c>
      <c r="B227" s="102" t="n">
        <f aca="false">YEAR(A227)</f>
        <v>2024</v>
      </c>
      <c r="C227" s="102" t="n">
        <f aca="false">MONTH(A227)</f>
        <v>6</v>
      </c>
      <c r="D227" s="100" t="s">
        <v>298</v>
      </c>
      <c r="E227" s="68" t="str">
        <f aca="false">VLOOKUP(D227,Map_Table,3,FALSE())</f>
        <v>Selling &amp; Distribution</v>
      </c>
      <c r="F227" s="68" t="str">
        <f aca="false">VLOOKUP(D227,Map_Table,4,FALSE())</f>
        <v>Variable</v>
      </c>
      <c r="G227" s="96" t="n">
        <v>671</v>
      </c>
      <c r="H227" s="68" t="str">
        <f aca="false">"E"&amp;TEXT(A227,"yyyymm")&amp;"-"&amp;TEXT(VLOOKUP(D227,Map_Table,2,FALSE()),"0")</f>
        <v>E202406-6102</v>
      </c>
    </row>
    <row r="228" customFormat="false" ht="15" hidden="false" customHeight="false" outlineLevel="0" collapsed="false">
      <c r="A228" s="101" t="n">
        <v>45473</v>
      </c>
      <c r="B228" s="102" t="n">
        <f aca="false">YEAR(A228)</f>
        <v>2024</v>
      </c>
      <c r="C228" s="102" t="n">
        <f aca="false">MONTH(A228)</f>
        <v>6</v>
      </c>
      <c r="D228" s="100" t="s">
        <v>299</v>
      </c>
      <c r="E228" s="68" t="str">
        <f aca="false">VLOOKUP(D228,Map_Table,3,FALSE())</f>
        <v>Selling &amp; Distribution</v>
      </c>
      <c r="F228" s="68" t="str">
        <f aca="false">VLOOKUP(D228,Map_Table,4,FALSE())</f>
        <v>Variable</v>
      </c>
      <c r="G228" s="96" t="n">
        <v>1800</v>
      </c>
      <c r="H228" s="68" t="str">
        <f aca="false">"E"&amp;TEXT(A228,"yyyymm")&amp;"-"&amp;TEXT(VLOOKUP(D228,Map_Table,2,FALSE()),"0")</f>
        <v>E202406-6103</v>
      </c>
    </row>
    <row r="229" customFormat="false" ht="15" hidden="false" customHeight="false" outlineLevel="0" collapsed="false">
      <c r="A229" s="101" t="n">
        <v>45473</v>
      </c>
      <c r="B229" s="102" t="n">
        <f aca="false">YEAR(A229)</f>
        <v>2024</v>
      </c>
      <c r="C229" s="102" t="n">
        <f aca="false">MONTH(A229)</f>
        <v>6</v>
      </c>
      <c r="D229" s="100" t="s">
        <v>300</v>
      </c>
      <c r="E229" s="68" t="str">
        <f aca="false">VLOOKUP(D229,Map_Table,3,FALSE())</f>
        <v>Selling &amp; Distribution</v>
      </c>
      <c r="F229" s="68" t="str">
        <f aca="false">VLOOKUP(D229,Map_Table,4,FALSE())</f>
        <v>Fixed</v>
      </c>
      <c r="G229" s="96" t="n">
        <v>1978</v>
      </c>
      <c r="H229" s="68" t="str">
        <f aca="false">"E"&amp;TEXT(A229,"yyyymm")&amp;"-"&amp;TEXT(VLOOKUP(D229,Map_Table,2,FALSE()),"0")</f>
        <v>E202406-6104</v>
      </c>
    </row>
    <row r="230" customFormat="false" ht="15" hidden="false" customHeight="false" outlineLevel="0" collapsed="false">
      <c r="A230" s="101" t="n">
        <v>45473</v>
      </c>
      <c r="B230" s="102" t="n">
        <f aca="false">YEAR(A230)</f>
        <v>2024</v>
      </c>
      <c r="C230" s="102" t="n">
        <f aca="false">MONTH(A230)</f>
        <v>6</v>
      </c>
      <c r="D230" s="100" t="s">
        <v>301</v>
      </c>
      <c r="E230" s="68" t="str">
        <f aca="false">VLOOKUP(D230,Map_Table,3,FALSE())</f>
        <v>Selling &amp; Distribution</v>
      </c>
      <c r="F230" s="68" t="str">
        <f aca="false">VLOOKUP(D230,Map_Table,4,FALSE())</f>
        <v>Fixed</v>
      </c>
      <c r="G230" s="96" t="n">
        <v>2584</v>
      </c>
      <c r="H230" s="68" t="str">
        <f aca="false">"E"&amp;TEXT(A230,"yyyymm")&amp;"-"&amp;TEXT(VLOOKUP(D230,Map_Table,2,FALSE()),"0")</f>
        <v>E202406-6105</v>
      </c>
    </row>
    <row r="231" customFormat="false" ht="15" hidden="false" customHeight="false" outlineLevel="0" collapsed="false">
      <c r="A231" s="101" t="n">
        <v>45473</v>
      </c>
      <c r="B231" s="102" t="n">
        <f aca="false">YEAR(A231)</f>
        <v>2024</v>
      </c>
      <c r="C231" s="102" t="n">
        <f aca="false">MONTH(A231)</f>
        <v>6</v>
      </c>
      <c r="D231" s="100" t="s">
        <v>302</v>
      </c>
      <c r="E231" s="68" t="str">
        <f aca="false">VLOOKUP(D231,Map_Table,3,FALSE())</f>
        <v>General &amp; Administrative</v>
      </c>
      <c r="F231" s="68" t="str">
        <f aca="false">VLOOKUP(D231,Map_Table,4,FALSE())</f>
        <v>Fixed</v>
      </c>
      <c r="G231" s="96" t="n">
        <v>2407</v>
      </c>
      <c r="H231" s="68" t="str">
        <f aca="false">"E"&amp;TEXT(A231,"yyyymm")&amp;"-"&amp;TEXT(VLOOKUP(D231,Map_Table,2,FALSE()),"0")</f>
        <v>E202406-6201</v>
      </c>
    </row>
    <row r="232" customFormat="false" ht="15" hidden="false" customHeight="false" outlineLevel="0" collapsed="false">
      <c r="A232" s="101" t="n">
        <v>45473</v>
      </c>
      <c r="B232" s="102" t="n">
        <f aca="false">YEAR(A232)</f>
        <v>2024</v>
      </c>
      <c r="C232" s="102" t="n">
        <f aca="false">MONTH(A232)</f>
        <v>6</v>
      </c>
      <c r="D232" s="100" t="s">
        <v>303</v>
      </c>
      <c r="E232" s="68" t="str">
        <f aca="false">VLOOKUP(D232,Map_Table,3,FALSE())</f>
        <v>General &amp; Administrative</v>
      </c>
      <c r="F232" s="68" t="str">
        <f aca="false">VLOOKUP(D232,Map_Table,4,FALSE())</f>
        <v>Fixed</v>
      </c>
      <c r="G232" s="96" t="n">
        <v>641</v>
      </c>
      <c r="H232" s="68" t="str">
        <f aca="false">"E"&amp;TEXT(A232,"yyyymm")&amp;"-"&amp;TEXT(VLOOKUP(D232,Map_Table,2,FALSE()),"0")</f>
        <v>E202406-6202</v>
      </c>
    </row>
    <row r="233" customFormat="false" ht="15" hidden="false" customHeight="false" outlineLevel="0" collapsed="false">
      <c r="A233" s="101" t="n">
        <v>45473</v>
      </c>
      <c r="B233" s="102" t="n">
        <f aca="false">YEAR(A233)</f>
        <v>2024</v>
      </c>
      <c r="C233" s="102" t="n">
        <f aca="false">MONTH(A233)</f>
        <v>6</v>
      </c>
      <c r="D233" s="100" t="s">
        <v>304</v>
      </c>
      <c r="E233" s="68" t="str">
        <f aca="false">VLOOKUP(D233,Map_Table,3,FALSE())</f>
        <v>General &amp; Administrative</v>
      </c>
      <c r="F233" s="68" t="str">
        <f aca="false">VLOOKUP(D233,Map_Table,4,FALSE())</f>
        <v>Fixed</v>
      </c>
      <c r="G233" s="96" t="n">
        <v>321</v>
      </c>
      <c r="H233" s="68" t="str">
        <f aca="false">"E"&amp;TEXT(A233,"yyyymm")&amp;"-"&amp;TEXT(VLOOKUP(D233,Map_Table,2,FALSE()),"0")</f>
        <v>E202406-6203</v>
      </c>
    </row>
    <row r="234" customFormat="false" ht="15" hidden="false" customHeight="false" outlineLevel="0" collapsed="false">
      <c r="A234" s="101" t="n">
        <v>45473</v>
      </c>
      <c r="B234" s="102" t="n">
        <f aca="false">YEAR(A234)</f>
        <v>2024</v>
      </c>
      <c r="C234" s="102" t="n">
        <f aca="false">MONTH(A234)</f>
        <v>6</v>
      </c>
      <c r="D234" s="100" t="s">
        <v>305</v>
      </c>
      <c r="E234" s="68" t="str">
        <f aca="false">VLOOKUP(D234,Map_Table,3,FALSE())</f>
        <v>General &amp; Administrative</v>
      </c>
      <c r="F234" s="68" t="str">
        <f aca="false">VLOOKUP(D234,Map_Table,4,FALSE())</f>
        <v>Fixed</v>
      </c>
      <c r="G234" s="96" t="n">
        <v>555</v>
      </c>
      <c r="H234" s="68" t="str">
        <f aca="false">"E"&amp;TEXT(A234,"yyyymm")&amp;"-"&amp;TEXT(VLOOKUP(D234,Map_Table,2,FALSE()),"0")</f>
        <v>E202406-6204</v>
      </c>
    </row>
    <row r="235" customFormat="false" ht="15" hidden="false" customHeight="false" outlineLevel="0" collapsed="false">
      <c r="A235" s="101" t="n">
        <v>45473</v>
      </c>
      <c r="B235" s="102" t="n">
        <f aca="false">YEAR(A235)</f>
        <v>2024</v>
      </c>
      <c r="C235" s="102" t="n">
        <f aca="false">MONTH(A235)</f>
        <v>6</v>
      </c>
      <c r="D235" s="100" t="s">
        <v>306</v>
      </c>
      <c r="E235" s="68" t="str">
        <f aca="false">VLOOKUP(D235,Map_Table,3,FALSE())</f>
        <v>General &amp; Administrative</v>
      </c>
      <c r="F235" s="68" t="str">
        <f aca="false">VLOOKUP(D235,Map_Table,4,FALSE())</f>
        <v>Fixed</v>
      </c>
      <c r="G235" s="96" t="n">
        <v>200</v>
      </c>
      <c r="H235" s="68" t="str">
        <f aca="false">"E"&amp;TEXT(A235,"yyyymm")&amp;"-"&amp;TEXT(VLOOKUP(D235,Map_Table,2,FALSE()),"0")</f>
        <v>E202406-6205</v>
      </c>
    </row>
    <row r="236" customFormat="false" ht="15" hidden="false" customHeight="false" outlineLevel="0" collapsed="false">
      <c r="A236" s="101" t="n">
        <v>45473</v>
      </c>
      <c r="B236" s="102" t="n">
        <f aca="false">YEAR(A236)</f>
        <v>2024</v>
      </c>
      <c r="C236" s="102" t="n">
        <f aca="false">MONTH(A236)</f>
        <v>6</v>
      </c>
      <c r="D236" s="100" t="s">
        <v>307</v>
      </c>
      <c r="E236" s="68" t="str">
        <f aca="false">VLOOKUP(D236,Map_Table,3,FALSE())</f>
        <v>General &amp; Administrative</v>
      </c>
      <c r="F236" s="68" t="str">
        <f aca="false">VLOOKUP(D236,Map_Table,4,FALSE())</f>
        <v>Fixed</v>
      </c>
      <c r="G236" s="96" t="n">
        <v>443</v>
      </c>
      <c r="H236" s="68" t="str">
        <f aca="false">"E"&amp;TEXT(A236,"yyyymm")&amp;"-"&amp;TEXT(VLOOKUP(D236,Map_Table,2,FALSE()),"0")</f>
        <v>E202406-6206</v>
      </c>
    </row>
    <row r="237" customFormat="false" ht="15" hidden="false" customHeight="false" outlineLevel="0" collapsed="false">
      <c r="A237" s="101" t="n">
        <v>45473</v>
      </c>
      <c r="B237" s="102" t="n">
        <f aca="false">YEAR(A237)</f>
        <v>2024</v>
      </c>
      <c r="C237" s="102" t="n">
        <f aca="false">MONTH(A237)</f>
        <v>6</v>
      </c>
      <c r="D237" s="100" t="s">
        <v>308</v>
      </c>
      <c r="E237" s="68" t="str">
        <f aca="false">VLOOKUP(D237,Map_Table,3,FALSE())</f>
        <v>General &amp; Administrative</v>
      </c>
      <c r="F237" s="68" t="str">
        <f aca="false">VLOOKUP(D237,Map_Table,4,FALSE())</f>
        <v>Fixed</v>
      </c>
      <c r="G237" s="96" t="n">
        <v>360</v>
      </c>
      <c r="H237" s="68" t="str">
        <f aca="false">"E"&amp;TEXT(A237,"yyyymm")&amp;"-"&amp;TEXT(VLOOKUP(D237,Map_Table,2,FALSE()),"0")</f>
        <v>E202406-6207</v>
      </c>
    </row>
    <row r="238" customFormat="false" ht="15" hidden="false" customHeight="false" outlineLevel="0" collapsed="false">
      <c r="A238" s="101" t="n">
        <v>45473</v>
      </c>
      <c r="B238" s="102" t="n">
        <f aca="false">YEAR(A238)</f>
        <v>2024</v>
      </c>
      <c r="C238" s="102" t="n">
        <f aca="false">MONTH(A238)</f>
        <v>6</v>
      </c>
      <c r="D238" s="100" t="s">
        <v>309</v>
      </c>
      <c r="E238" s="68" t="str">
        <f aca="false">VLOOKUP(D238,Map_Table,3,FALSE())</f>
        <v>General &amp; Administrative</v>
      </c>
      <c r="F238" s="68" t="str">
        <f aca="false">VLOOKUP(D238,Map_Table,4,FALSE())</f>
        <v>Variable</v>
      </c>
      <c r="G238" s="96" t="n">
        <v>111</v>
      </c>
      <c r="H238" s="68" t="str">
        <f aca="false">"E"&amp;TEXT(A238,"yyyymm")&amp;"-"&amp;TEXT(VLOOKUP(D238,Map_Table,2,FALSE()),"0")</f>
        <v>E202406-6208</v>
      </c>
    </row>
    <row r="239" customFormat="false" ht="15" hidden="false" customHeight="false" outlineLevel="0" collapsed="false">
      <c r="A239" s="101" t="n">
        <v>45504</v>
      </c>
      <c r="B239" s="102" t="n">
        <f aca="false">YEAR(A239)</f>
        <v>2024</v>
      </c>
      <c r="C239" s="102" t="n">
        <f aca="false">MONTH(A239)</f>
        <v>7</v>
      </c>
      <c r="D239" s="100" t="s">
        <v>297</v>
      </c>
      <c r="E239" s="68" t="str">
        <f aca="false">VLOOKUP(D239,Map_Table,3,FALSE())</f>
        <v>Selling &amp; Distribution</v>
      </c>
      <c r="F239" s="68" t="str">
        <f aca="false">VLOOKUP(D239,Map_Table,4,FALSE())</f>
        <v>Variable</v>
      </c>
      <c r="G239" s="96" t="n">
        <v>1179</v>
      </c>
      <c r="H239" s="68" t="str">
        <f aca="false">"E"&amp;TEXT(A239,"yyyymm")&amp;"-"&amp;TEXT(VLOOKUP(D239,Map_Table,2,FALSE()),"0")</f>
        <v>E202407-6101</v>
      </c>
    </row>
    <row r="240" customFormat="false" ht="15" hidden="false" customHeight="false" outlineLevel="0" collapsed="false">
      <c r="A240" s="101" t="n">
        <v>45504</v>
      </c>
      <c r="B240" s="102" t="n">
        <f aca="false">YEAR(A240)</f>
        <v>2024</v>
      </c>
      <c r="C240" s="102" t="n">
        <f aca="false">MONTH(A240)</f>
        <v>7</v>
      </c>
      <c r="D240" s="100" t="s">
        <v>298</v>
      </c>
      <c r="E240" s="68" t="str">
        <f aca="false">VLOOKUP(D240,Map_Table,3,FALSE())</f>
        <v>Selling &amp; Distribution</v>
      </c>
      <c r="F240" s="68" t="str">
        <f aca="false">VLOOKUP(D240,Map_Table,4,FALSE())</f>
        <v>Variable</v>
      </c>
      <c r="G240" s="96" t="n">
        <v>697</v>
      </c>
      <c r="H240" s="68" t="str">
        <f aca="false">"E"&amp;TEXT(A240,"yyyymm")&amp;"-"&amp;TEXT(VLOOKUP(D240,Map_Table,2,FALSE()),"0")</f>
        <v>E202407-6102</v>
      </c>
    </row>
    <row r="241" customFormat="false" ht="15" hidden="false" customHeight="false" outlineLevel="0" collapsed="false">
      <c r="A241" s="101" t="n">
        <v>45504</v>
      </c>
      <c r="B241" s="102" t="n">
        <f aca="false">YEAR(A241)</f>
        <v>2024</v>
      </c>
      <c r="C241" s="102" t="n">
        <f aca="false">MONTH(A241)</f>
        <v>7</v>
      </c>
      <c r="D241" s="100" t="s">
        <v>299</v>
      </c>
      <c r="E241" s="68" t="str">
        <f aca="false">VLOOKUP(D241,Map_Table,3,FALSE())</f>
        <v>Selling &amp; Distribution</v>
      </c>
      <c r="F241" s="68" t="str">
        <f aca="false">VLOOKUP(D241,Map_Table,4,FALSE())</f>
        <v>Variable</v>
      </c>
      <c r="G241" s="96" t="n">
        <v>1814</v>
      </c>
      <c r="H241" s="68" t="str">
        <f aca="false">"E"&amp;TEXT(A241,"yyyymm")&amp;"-"&amp;TEXT(VLOOKUP(D241,Map_Table,2,FALSE()),"0")</f>
        <v>E202407-6103</v>
      </c>
    </row>
    <row r="242" customFormat="false" ht="15" hidden="false" customHeight="false" outlineLevel="0" collapsed="false">
      <c r="A242" s="101" t="n">
        <v>45504</v>
      </c>
      <c r="B242" s="102" t="n">
        <f aca="false">YEAR(A242)</f>
        <v>2024</v>
      </c>
      <c r="C242" s="102" t="n">
        <f aca="false">MONTH(A242)</f>
        <v>7</v>
      </c>
      <c r="D242" s="100" t="s">
        <v>300</v>
      </c>
      <c r="E242" s="68" t="str">
        <f aca="false">VLOOKUP(D242,Map_Table,3,FALSE())</f>
        <v>Selling &amp; Distribution</v>
      </c>
      <c r="F242" s="68" t="str">
        <f aca="false">VLOOKUP(D242,Map_Table,4,FALSE())</f>
        <v>Fixed</v>
      </c>
      <c r="G242" s="96" t="n">
        <v>1957</v>
      </c>
      <c r="H242" s="68" t="str">
        <f aca="false">"E"&amp;TEXT(A242,"yyyymm")&amp;"-"&amp;TEXT(VLOOKUP(D242,Map_Table,2,FALSE()),"0")</f>
        <v>E202407-6104</v>
      </c>
    </row>
    <row r="243" customFormat="false" ht="15" hidden="false" customHeight="false" outlineLevel="0" collapsed="false">
      <c r="A243" s="101" t="n">
        <v>45504</v>
      </c>
      <c r="B243" s="102" t="n">
        <f aca="false">YEAR(A243)</f>
        <v>2024</v>
      </c>
      <c r="C243" s="102" t="n">
        <f aca="false">MONTH(A243)</f>
        <v>7</v>
      </c>
      <c r="D243" s="100" t="s">
        <v>301</v>
      </c>
      <c r="E243" s="68" t="str">
        <f aca="false">VLOOKUP(D243,Map_Table,3,FALSE())</f>
        <v>Selling &amp; Distribution</v>
      </c>
      <c r="F243" s="68" t="str">
        <f aca="false">VLOOKUP(D243,Map_Table,4,FALSE())</f>
        <v>Fixed</v>
      </c>
      <c r="G243" s="96" t="n">
        <v>2653</v>
      </c>
      <c r="H243" s="68" t="str">
        <f aca="false">"E"&amp;TEXT(A243,"yyyymm")&amp;"-"&amp;TEXT(VLOOKUP(D243,Map_Table,2,FALSE()),"0")</f>
        <v>E202407-6105</v>
      </c>
    </row>
    <row r="244" customFormat="false" ht="15" hidden="false" customHeight="false" outlineLevel="0" collapsed="false">
      <c r="A244" s="101" t="n">
        <v>45504</v>
      </c>
      <c r="B244" s="102" t="n">
        <f aca="false">YEAR(A244)</f>
        <v>2024</v>
      </c>
      <c r="C244" s="102" t="n">
        <f aca="false">MONTH(A244)</f>
        <v>7</v>
      </c>
      <c r="D244" s="100" t="s">
        <v>302</v>
      </c>
      <c r="E244" s="68" t="str">
        <f aca="false">VLOOKUP(D244,Map_Table,3,FALSE())</f>
        <v>General &amp; Administrative</v>
      </c>
      <c r="F244" s="68" t="str">
        <f aca="false">VLOOKUP(D244,Map_Table,4,FALSE())</f>
        <v>Fixed</v>
      </c>
      <c r="G244" s="96" t="n">
        <v>2394</v>
      </c>
      <c r="H244" s="68" t="str">
        <f aca="false">"E"&amp;TEXT(A244,"yyyymm")&amp;"-"&amp;TEXT(VLOOKUP(D244,Map_Table,2,FALSE()),"0")</f>
        <v>E202407-6201</v>
      </c>
    </row>
    <row r="245" customFormat="false" ht="15" hidden="false" customHeight="false" outlineLevel="0" collapsed="false">
      <c r="A245" s="101" t="n">
        <v>45504</v>
      </c>
      <c r="B245" s="102" t="n">
        <f aca="false">YEAR(A245)</f>
        <v>2024</v>
      </c>
      <c r="C245" s="102" t="n">
        <f aca="false">MONTH(A245)</f>
        <v>7</v>
      </c>
      <c r="D245" s="100" t="s">
        <v>303</v>
      </c>
      <c r="E245" s="68" t="str">
        <f aca="false">VLOOKUP(D245,Map_Table,3,FALSE())</f>
        <v>General &amp; Administrative</v>
      </c>
      <c r="F245" s="68" t="str">
        <f aca="false">VLOOKUP(D245,Map_Table,4,FALSE())</f>
        <v>Fixed</v>
      </c>
      <c r="G245" s="96" t="n">
        <v>662</v>
      </c>
      <c r="H245" s="68" t="str">
        <f aca="false">"E"&amp;TEXT(A245,"yyyymm")&amp;"-"&amp;TEXT(VLOOKUP(D245,Map_Table,2,FALSE()),"0")</f>
        <v>E202407-6202</v>
      </c>
    </row>
    <row r="246" customFormat="false" ht="15" hidden="false" customHeight="false" outlineLevel="0" collapsed="false">
      <c r="A246" s="101" t="n">
        <v>45504</v>
      </c>
      <c r="B246" s="102" t="n">
        <f aca="false">YEAR(A246)</f>
        <v>2024</v>
      </c>
      <c r="C246" s="102" t="n">
        <f aca="false">MONTH(A246)</f>
        <v>7</v>
      </c>
      <c r="D246" s="100" t="s">
        <v>304</v>
      </c>
      <c r="E246" s="68" t="str">
        <f aca="false">VLOOKUP(D246,Map_Table,3,FALSE())</f>
        <v>General &amp; Administrative</v>
      </c>
      <c r="F246" s="68" t="str">
        <f aca="false">VLOOKUP(D246,Map_Table,4,FALSE())</f>
        <v>Fixed</v>
      </c>
      <c r="G246" s="96" t="n">
        <v>316</v>
      </c>
      <c r="H246" s="68" t="str">
        <f aca="false">"E"&amp;TEXT(A246,"yyyymm")&amp;"-"&amp;TEXT(VLOOKUP(D246,Map_Table,2,FALSE()),"0")</f>
        <v>E202407-6203</v>
      </c>
    </row>
    <row r="247" customFormat="false" ht="15" hidden="false" customHeight="false" outlineLevel="0" collapsed="false">
      <c r="A247" s="101" t="n">
        <v>45504</v>
      </c>
      <c r="B247" s="102" t="n">
        <f aca="false">YEAR(A247)</f>
        <v>2024</v>
      </c>
      <c r="C247" s="102" t="n">
        <f aca="false">MONTH(A247)</f>
        <v>7</v>
      </c>
      <c r="D247" s="100" t="s">
        <v>305</v>
      </c>
      <c r="E247" s="68" t="str">
        <f aca="false">VLOOKUP(D247,Map_Table,3,FALSE())</f>
        <v>General &amp; Administrative</v>
      </c>
      <c r="F247" s="68" t="str">
        <f aca="false">VLOOKUP(D247,Map_Table,4,FALSE())</f>
        <v>Fixed</v>
      </c>
      <c r="G247" s="96" t="n">
        <v>553</v>
      </c>
      <c r="H247" s="68" t="str">
        <f aca="false">"E"&amp;TEXT(A247,"yyyymm")&amp;"-"&amp;TEXT(VLOOKUP(D247,Map_Table,2,FALSE()),"0")</f>
        <v>E202407-6204</v>
      </c>
    </row>
    <row r="248" customFormat="false" ht="15" hidden="false" customHeight="false" outlineLevel="0" collapsed="false">
      <c r="A248" s="101" t="n">
        <v>45504</v>
      </c>
      <c r="B248" s="102" t="n">
        <f aca="false">YEAR(A248)</f>
        <v>2024</v>
      </c>
      <c r="C248" s="102" t="n">
        <f aca="false">MONTH(A248)</f>
        <v>7</v>
      </c>
      <c r="D248" s="100" t="s">
        <v>306</v>
      </c>
      <c r="E248" s="68" t="str">
        <f aca="false">VLOOKUP(D248,Map_Table,3,FALSE())</f>
        <v>General &amp; Administrative</v>
      </c>
      <c r="F248" s="68" t="str">
        <f aca="false">VLOOKUP(D248,Map_Table,4,FALSE())</f>
        <v>Fixed</v>
      </c>
      <c r="G248" s="96" t="n">
        <v>243</v>
      </c>
      <c r="H248" s="68" t="str">
        <f aca="false">"E"&amp;TEXT(A248,"yyyymm")&amp;"-"&amp;TEXT(VLOOKUP(D248,Map_Table,2,FALSE()),"0")</f>
        <v>E202407-6205</v>
      </c>
    </row>
    <row r="249" customFormat="false" ht="15" hidden="false" customHeight="false" outlineLevel="0" collapsed="false">
      <c r="A249" s="101" t="n">
        <v>45504</v>
      </c>
      <c r="B249" s="102" t="n">
        <f aca="false">YEAR(A249)</f>
        <v>2024</v>
      </c>
      <c r="C249" s="102" t="n">
        <f aca="false">MONTH(A249)</f>
        <v>7</v>
      </c>
      <c r="D249" s="100" t="s">
        <v>307</v>
      </c>
      <c r="E249" s="68" t="str">
        <f aca="false">VLOOKUP(D249,Map_Table,3,FALSE())</f>
        <v>General &amp; Administrative</v>
      </c>
      <c r="F249" s="68" t="str">
        <f aca="false">VLOOKUP(D249,Map_Table,4,FALSE())</f>
        <v>Fixed</v>
      </c>
      <c r="G249" s="96" t="n">
        <v>439</v>
      </c>
      <c r="H249" s="68" t="str">
        <f aca="false">"E"&amp;TEXT(A249,"yyyymm")&amp;"-"&amp;TEXT(VLOOKUP(D249,Map_Table,2,FALSE()),"0")</f>
        <v>E202407-6206</v>
      </c>
    </row>
    <row r="250" customFormat="false" ht="15" hidden="false" customHeight="false" outlineLevel="0" collapsed="false">
      <c r="A250" s="101" t="n">
        <v>45504</v>
      </c>
      <c r="B250" s="102" t="n">
        <f aca="false">YEAR(A250)</f>
        <v>2024</v>
      </c>
      <c r="C250" s="102" t="n">
        <f aca="false">MONTH(A250)</f>
        <v>7</v>
      </c>
      <c r="D250" s="100" t="s">
        <v>308</v>
      </c>
      <c r="E250" s="68" t="str">
        <f aca="false">VLOOKUP(D250,Map_Table,3,FALSE())</f>
        <v>General &amp; Administrative</v>
      </c>
      <c r="F250" s="68" t="str">
        <f aca="false">VLOOKUP(D250,Map_Table,4,FALSE())</f>
        <v>Fixed</v>
      </c>
      <c r="G250" s="96" t="n">
        <v>352</v>
      </c>
      <c r="H250" s="68" t="str">
        <f aca="false">"E"&amp;TEXT(A250,"yyyymm")&amp;"-"&amp;TEXT(VLOOKUP(D250,Map_Table,2,FALSE()),"0")</f>
        <v>E202407-6207</v>
      </c>
    </row>
    <row r="251" customFormat="false" ht="15" hidden="false" customHeight="false" outlineLevel="0" collapsed="false">
      <c r="A251" s="101" t="n">
        <v>45504</v>
      </c>
      <c r="B251" s="102" t="n">
        <f aca="false">YEAR(A251)</f>
        <v>2024</v>
      </c>
      <c r="C251" s="102" t="n">
        <f aca="false">MONTH(A251)</f>
        <v>7</v>
      </c>
      <c r="D251" s="100" t="s">
        <v>309</v>
      </c>
      <c r="E251" s="68" t="str">
        <f aca="false">VLOOKUP(D251,Map_Table,3,FALSE())</f>
        <v>General &amp; Administrative</v>
      </c>
      <c r="F251" s="68" t="str">
        <f aca="false">VLOOKUP(D251,Map_Table,4,FALSE())</f>
        <v>Variable</v>
      </c>
      <c r="G251" s="96" t="n">
        <v>114</v>
      </c>
      <c r="H251" s="68" t="str">
        <f aca="false">"E"&amp;TEXT(A251,"yyyymm")&amp;"-"&amp;TEXT(VLOOKUP(D251,Map_Table,2,FALSE()),"0")</f>
        <v>E202407-6208</v>
      </c>
    </row>
    <row r="252" customFormat="false" ht="15" hidden="false" customHeight="false" outlineLevel="0" collapsed="false">
      <c r="A252" s="101" t="n">
        <v>45535</v>
      </c>
      <c r="B252" s="102" t="n">
        <f aca="false">YEAR(A252)</f>
        <v>2024</v>
      </c>
      <c r="C252" s="102" t="n">
        <f aca="false">MONTH(A252)</f>
        <v>8</v>
      </c>
      <c r="D252" s="100" t="s">
        <v>297</v>
      </c>
      <c r="E252" s="68" t="str">
        <f aca="false">VLOOKUP(D252,Map_Table,3,FALSE())</f>
        <v>Selling &amp; Distribution</v>
      </c>
      <c r="F252" s="68" t="str">
        <f aca="false">VLOOKUP(D252,Map_Table,4,FALSE())</f>
        <v>Variable</v>
      </c>
      <c r="G252" s="96" t="n">
        <v>1246</v>
      </c>
      <c r="H252" s="68" t="str">
        <f aca="false">"E"&amp;TEXT(A252,"yyyymm")&amp;"-"&amp;TEXT(VLOOKUP(D252,Map_Table,2,FALSE()),"0")</f>
        <v>E202408-6101</v>
      </c>
    </row>
    <row r="253" customFormat="false" ht="15" hidden="false" customHeight="false" outlineLevel="0" collapsed="false">
      <c r="A253" s="101" t="n">
        <v>45535</v>
      </c>
      <c r="B253" s="102" t="n">
        <f aca="false">YEAR(A253)</f>
        <v>2024</v>
      </c>
      <c r="C253" s="102" t="n">
        <f aca="false">MONTH(A253)</f>
        <v>8</v>
      </c>
      <c r="D253" s="100" t="s">
        <v>298</v>
      </c>
      <c r="E253" s="68" t="str">
        <f aca="false">VLOOKUP(D253,Map_Table,3,FALSE())</f>
        <v>Selling &amp; Distribution</v>
      </c>
      <c r="F253" s="68" t="str">
        <f aca="false">VLOOKUP(D253,Map_Table,4,FALSE())</f>
        <v>Variable</v>
      </c>
      <c r="G253" s="96" t="n">
        <v>667</v>
      </c>
      <c r="H253" s="68" t="str">
        <f aca="false">"E"&amp;TEXT(A253,"yyyymm")&amp;"-"&amp;TEXT(VLOOKUP(D253,Map_Table,2,FALSE()),"0")</f>
        <v>E202408-6102</v>
      </c>
    </row>
    <row r="254" customFormat="false" ht="15" hidden="false" customHeight="false" outlineLevel="0" collapsed="false">
      <c r="A254" s="101" t="n">
        <v>45535</v>
      </c>
      <c r="B254" s="102" t="n">
        <f aca="false">YEAR(A254)</f>
        <v>2024</v>
      </c>
      <c r="C254" s="102" t="n">
        <f aca="false">MONTH(A254)</f>
        <v>8</v>
      </c>
      <c r="D254" s="100" t="s">
        <v>299</v>
      </c>
      <c r="E254" s="68" t="str">
        <f aca="false">VLOOKUP(D254,Map_Table,3,FALSE())</f>
        <v>Selling &amp; Distribution</v>
      </c>
      <c r="F254" s="68" t="str">
        <f aca="false">VLOOKUP(D254,Map_Table,4,FALSE())</f>
        <v>Variable</v>
      </c>
      <c r="G254" s="96" t="n">
        <v>1805</v>
      </c>
      <c r="H254" s="68" t="str">
        <f aca="false">"E"&amp;TEXT(A254,"yyyymm")&amp;"-"&amp;TEXT(VLOOKUP(D254,Map_Table,2,FALSE()),"0")</f>
        <v>E202408-6103</v>
      </c>
    </row>
    <row r="255" customFormat="false" ht="15" hidden="false" customHeight="false" outlineLevel="0" collapsed="false">
      <c r="A255" s="101" t="n">
        <v>45535</v>
      </c>
      <c r="B255" s="102" t="n">
        <f aca="false">YEAR(A255)</f>
        <v>2024</v>
      </c>
      <c r="C255" s="102" t="n">
        <f aca="false">MONTH(A255)</f>
        <v>8</v>
      </c>
      <c r="D255" s="100" t="s">
        <v>300</v>
      </c>
      <c r="E255" s="68" t="str">
        <f aca="false">VLOOKUP(D255,Map_Table,3,FALSE())</f>
        <v>Selling &amp; Distribution</v>
      </c>
      <c r="F255" s="68" t="str">
        <f aca="false">VLOOKUP(D255,Map_Table,4,FALSE())</f>
        <v>Fixed</v>
      </c>
      <c r="G255" s="96" t="n">
        <v>1959</v>
      </c>
      <c r="H255" s="68" t="str">
        <f aca="false">"E"&amp;TEXT(A255,"yyyymm")&amp;"-"&amp;TEXT(VLOOKUP(D255,Map_Table,2,FALSE()),"0")</f>
        <v>E202408-6104</v>
      </c>
    </row>
    <row r="256" customFormat="false" ht="15" hidden="false" customHeight="false" outlineLevel="0" collapsed="false">
      <c r="A256" s="101" t="n">
        <v>45535</v>
      </c>
      <c r="B256" s="102" t="n">
        <f aca="false">YEAR(A256)</f>
        <v>2024</v>
      </c>
      <c r="C256" s="102" t="n">
        <f aca="false">MONTH(A256)</f>
        <v>8</v>
      </c>
      <c r="D256" s="100" t="s">
        <v>301</v>
      </c>
      <c r="E256" s="68" t="str">
        <f aca="false">VLOOKUP(D256,Map_Table,3,FALSE())</f>
        <v>Selling &amp; Distribution</v>
      </c>
      <c r="F256" s="68" t="str">
        <f aca="false">VLOOKUP(D256,Map_Table,4,FALSE())</f>
        <v>Fixed</v>
      </c>
      <c r="G256" s="96" t="n">
        <v>2620</v>
      </c>
      <c r="H256" s="68" t="str">
        <f aca="false">"E"&amp;TEXT(A256,"yyyymm")&amp;"-"&amp;TEXT(VLOOKUP(D256,Map_Table,2,FALSE()),"0")</f>
        <v>E202408-6105</v>
      </c>
    </row>
    <row r="257" customFormat="false" ht="15" hidden="false" customHeight="false" outlineLevel="0" collapsed="false">
      <c r="A257" s="101" t="n">
        <v>45535</v>
      </c>
      <c r="B257" s="102" t="n">
        <f aca="false">YEAR(A257)</f>
        <v>2024</v>
      </c>
      <c r="C257" s="102" t="n">
        <f aca="false">MONTH(A257)</f>
        <v>8</v>
      </c>
      <c r="D257" s="100" t="s">
        <v>302</v>
      </c>
      <c r="E257" s="68" t="str">
        <f aca="false">VLOOKUP(D257,Map_Table,3,FALSE())</f>
        <v>General &amp; Administrative</v>
      </c>
      <c r="F257" s="68" t="str">
        <f aca="false">VLOOKUP(D257,Map_Table,4,FALSE())</f>
        <v>Fixed</v>
      </c>
      <c r="G257" s="96" t="n">
        <v>2422</v>
      </c>
      <c r="H257" s="68" t="str">
        <f aca="false">"E"&amp;TEXT(A257,"yyyymm")&amp;"-"&amp;TEXT(VLOOKUP(D257,Map_Table,2,FALSE()),"0")</f>
        <v>E202408-6201</v>
      </c>
    </row>
    <row r="258" customFormat="false" ht="15" hidden="false" customHeight="false" outlineLevel="0" collapsed="false">
      <c r="A258" s="101" t="n">
        <v>45535</v>
      </c>
      <c r="B258" s="102" t="n">
        <f aca="false">YEAR(A258)</f>
        <v>2024</v>
      </c>
      <c r="C258" s="102" t="n">
        <f aca="false">MONTH(A258)</f>
        <v>8</v>
      </c>
      <c r="D258" s="100" t="s">
        <v>303</v>
      </c>
      <c r="E258" s="68" t="str">
        <f aca="false">VLOOKUP(D258,Map_Table,3,FALSE())</f>
        <v>General &amp; Administrative</v>
      </c>
      <c r="F258" s="68" t="str">
        <f aca="false">VLOOKUP(D258,Map_Table,4,FALSE())</f>
        <v>Fixed</v>
      </c>
      <c r="G258" s="96" t="n">
        <v>659</v>
      </c>
      <c r="H258" s="68" t="str">
        <f aca="false">"E"&amp;TEXT(A258,"yyyymm")&amp;"-"&amp;TEXT(VLOOKUP(D258,Map_Table,2,FALSE()),"0")</f>
        <v>E202408-6202</v>
      </c>
    </row>
    <row r="259" customFormat="false" ht="15" hidden="false" customHeight="false" outlineLevel="0" collapsed="false">
      <c r="A259" s="101" t="n">
        <v>45535</v>
      </c>
      <c r="B259" s="102" t="n">
        <f aca="false">YEAR(A259)</f>
        <v>2024</v>
      </c>
      <c r="C259" s="102" t="n">
        <f aca="false">MONTH(A259)</f>
        <v>8</v>
      </c>
      <c r="D259" s="100" t="s">
        <v>304</v>
      </c>
      <c r="E259" s="68" t="str">
        <f aca="false">VLOOKUP(D259,Map_Table,3,FALSE())</f>
        <v>General &amp; Administrative</v>
      </c>
      <c r="F259" s="68" t="str">
        <f aca="false">VLOOKUP(D259,Map_Table,4,FALSE())</f>
        <v>Fixed</v>
      </c>
      <c r="G259" s="96" t="n">
        <v>314</v>
      </c>
      <c r="H259" s="68" t="str">
        <f aca="false">"E"&amp;TEXT(A259,"yyyymm")&amp;"-"&amp;TEXT(VLOOKUP(D259,Map_Table,2,FALSE()),"0")</f>
        <v>E202408-6203</v>
      </c>
    </row>
    <row r="260" customFormat="false" ht="15" hidden="false" customHeight="false" outlineLevel="0" collapsed="false">
      <c r="A260" s="101" t="n">
        <v>45535</v>
      </c>
      <c r="B260" s="102" t="n">
        <f aca="false">YEAR(A260)</f>
        <v>2024</v>
      </c>
      <c r="C260" s="102" t="n">
        <f aca="false">MONTH(A260)</f>
        <v>8</v>
      </c>
      <c r="D260" s="100" t="s">
        <v>305</v>
      </c>
      <c r="E260" s="68" t="str">
        <f aca="false">VLOOKUP(D260,Map_Table,3,FALSE())</f>
        <v>General &amp; Administrative</v>
      </c>
      <c r="F260" s="68" t="str">
        <f aca="false">VLOOKUP(D260,Map_Table,4,FALSE())</f>
        <v>Fixed</v>
      </c>
      <c r="G260" s="96" t="n">
        <v>549</v>
      </c>
      <c r="H260" s="68" t="str">
        <f aca="false">"E"&amp;TEXT(A260,"yyyymm")&amp;"-"&amp;TEXT(VLOOKUP(D260,Map_Table,2,FALSE()),"0")</f>
        <v>E202408-6204</v>
      </c>
    </row>
    <row r="261" customFormat="false" ht="15" hidden="false" customHeight="false" outlineLevel="0" collapsed="false">
      <c r="A261" s="101" t="n">
        <v>45535</v>
      </c>
      <c r="B261" s="102" t="n">
        <f aca="false">YEAR(A261)</f>
        <v>2024</v>
      </c>
      <c r="C261" s="102" t="n">
        <f aca="false">MONTH(A261)</f>
        <v>8</v>
      </c>
      <c r="D261" s="100" t="s">
        <v>306</v>
      </c>
      <c r="E261" s="68" t="str">
        <f aca="false">VLOOKUP(D261,Map_Table,3,FALSE())</f>
        <v>General &amp; Administrative</v>
      </c>
      <c r="F261" s="68" t="str">
        <f aca="false">VLOOKUP(D261,Map_Table,4,FALSE())</f>
        <v>Fixed</v>
      </c>
      <c r="G261" s="96" t="n">
        <v>212</v>
      </c>
      <c r="H261" s="68" t="str">
        <f aca="false">"E"&amp;TEXT(A261,"yyyymm")&amp;"-"&amp;TEXT(VLOOKUP(D261,Map_Table,2,FALSE()),"0")</f>
        <v>E202408-6205</v>
      </c>
    </row>
    <row r="262" customFormat="false" ht="15" hidden="false" customHeight="false" outlineLevel="0" collapsed="false">
      <c r="A262" s="101" t="n">
        <v>45535</v>
      </c>
      <c r="B262" s="102" t="n">
        <f aca="false">YEAR(A262)</f>
        <v>2024</v>
      </c>
      <c r="C262" s="102" t="n">
        <f aca="false">MONTH(A262)</f>
        <v>8</v>
      </c>
      <c r="D262" s="100" t="s">
        <v>307</v>
      </c>
      <c r="E262" s="68" t="str">
        <f aca="false">VLOOKUP(D262,Map_Table,3,FALSE())</f>
        <v>General &amp; Administrative</v>
      </c>
      <c r="F262" s="68" t="str">
        <f aca="false">VLOOKUP(D262,Map_Table,4,FALSE())</f>
        <v>Fixed</v>
      </c>
      <c r="G262" s="96" t="n">
        <v>446</v>
      </c>
      <c r="H262" s="68" t="str">
        <f aca="false">"E"&amp;TEXT(A262,"yyyymm")&amp;"-"&amp;TEXT(VLOOKUP(D262,Map_Table,2,FALSE()),"0")</f>
        <v>E202408-6206</v>
      </c>
    </row>
    <row r="263" customFormat="false" ht="15" hidden="false" customHeight="false" outlineLevel="0" collapsed="false">
      <c r="A263" s="101" t="n">
        <v>45535</v>
      </c>
      <c r="B263" s="102" t="n">
        <f aca="false">YEAR(A263)</f>
        <v>2024</v>
      </c>
      <c r="C263" s="102" t="n">
        <f aca="false">MONTH(A263)</f>
        <v>8</v>
      </c>
      <c r="D263" s="100" t="s">
        <v>308</v>
      </c>
      <c r="E263" s="68" t="str">
        <f aca="false">VLOOKUP(D263,Map_Table,3,FALSE())</f>
        <v>General &amp; Administrative</v>
      </c>
      <c r="F263" s="68" t="str">
        <f aca="false">VLOOKUP(D263,Map_Table,4,FALSE())</f>
        <v>Fixed</v>
      </c>
      <c r="G263" s="96" t="n">
        <v>361</v>
      </c>
      <c r="H263" s="68" t="str">
        <f aca="false">"E"&amp;TEXT(A263,"yyyymm")&amp;"-"&amp;TEXT(VLOOKUP(D263,Map_Table,2,FALSE()),"0")</f>
        <v>E202408-6207</v>
      </c>
    </row>
    <row r="264" customFormat="false" ht="15" hidden="false" customHeight="false" outlineLevel="0" collapsed="false">
      <c r="A264" s="101" t="n">
        <v>45535</v>
      </c>
      <c r="B264" s="102" t="n">
        <f aca="false">YEAR(A264)</f>
        <v>2024</v>
      </c>
      <c r="C264" s="102" t="n">
        <f aca="false">MONTH(A264)</f>
        <v>8</v>
      </c>
      <c r="D264" s="100" t="s">
        <v>309</v>
      </c>
      <c r="E264" s="68" t="str">
        <f aca="false">VLOOKUP(D264,Map_Table,3,FALSE())</f>
        <v>General &amp; Administrative</v>
      </c>
      <c r="F264" s="68" t="str">
        <f aca="false">VLOOKUP(D264,Map_Table,4,FALSE())</f>
        <v>Variable</v>
      </c>
      <c r="G264" s="96" t="n">
        <v>113</v>
      </c>
      <c r="H264" s="68" t="str">
        <f aca="false">"E"&amp;TEXT(A264,"yyyymm")&amp;"-"&amp;TEXT(VLOOKUP(D264,Map_Table,2,FALSE()),"0")</f>
        <v>E202408-6208</v>
      </c>
    </row>
    <row r="265" customFormat="false" ht="15" hidden="false" customHeight="false" outlineLevel="0" collapsed="false">
      <c r="A265" s="101" t="n">
        <v>45565</v>
      </c>
      <c r="B265" s="102" t="n">
        <f aca="false">YEAR(A265)</f>
        <v>2024</v>
      </c>
      <c r="C265" s="102" t="n">
        <f aca="false">MONTH(A265)</f>
        <v>9</v>
      </c>
      <c r="D265" s="100" t="s">
        <v>297</v>
      </c>
      <c r="E265" s="68" t="str">
        <f aca="false">VLOOKUP(D265,Map_Table,3,FALSE())</f>
        <v>Selling &amp; Distribution</v>
      </c>
      <c r="F265" s="68" t="str">
        <f aca="false">VLOOKUP(D265,Map_Table,4,FALSE())</f>
        <v>Variable</v>
      </c>
      <c r="G265" s="96" t="n">
        <v>1198</v>
      </c>
      <c r="H265" s="68" t="str">
        <f aca="false">"E"&amp;TEXT(A265,"yyyymm")&amp;"-"&amp;TEXT(VLOOKUP(D265,Map_Table,2,FALSE()),"0")</f>
        <v>E202409-6101</v>
      </c>
    </row>
    <row r="266" customFormat="false" ht="15" hidden="false" customHeight="false" outlineLevel="0" collapsed="false">
      <c r="A266" s="101" t="n">
        <v>45565</v>
      </c>
      <c r="B266" s="102" t="n">
        <f aca="false">YEAR(A266)</f>
        <v>2024</v>
      </c>
      <c r="C266" s="102" t="n">
        <f aca="false">MONTH(A266)</f>
        <v>9</v>
      </c>
      <c r="D266" s="100" t="s">
        <v>298</v>
      </c>
      <c r="E266" s="68" t="str">
        <f aca="false">VLOOKUP(D266,Map_Table,3,FALSE())</f>
        <v>Selling &amp; Distribution</v>
      </c>
      <c r="F266" s="68" t="str">
        <f aca="false">VLOOKUP(D266,Map_Table,4,FALSE())</f>
        <v>Variable</v>
      </c>
      <c r="G266" s="96" t="n">
        <v>693</v>
      </c>
      <c r="H266" s="68" t="str">
        <f aca="false">"E"&amp;TEXT(A266,"yyyymm")&amp;"-"&amp;TEXT(VLOOKUP(D266,Map_Table,2,FALSE()),"0")</f>
        <v>E202409-6102</v>
      </c>
    </row>
    <row r="267" customFormat="false" ht="15" hidden="false" customHeight="false" outlineLevel="0" collapsed="false">
      <c r="A267" s="101" t="n">
        <v>45565</v>
      </c>
      <c r="B267" s="102" t="n">
        <f aca="false">YEAR(A267)</f>
        <v>2024</v>
      </c>
      <c r="C267" s="102" t="n">
        <f aca="false">MONTH(A267)</f>
        <v>9</v>
      </c>
      <c r="D267" s="100" t="s">
        <v>299</v>
      </c>
      <c r="E267" s="68" t="str">
        <f aca="false">VLOOKUP(D267,Map_Table,3,FALSE())</f>
        <v>Selling &amp; Distribution</v>
      </c>
      <c r="F267" s="68" t="str">
        <f aca="false">VLOOKUP(D267,Map_Table,4,FALSE())</f>
        <v>Variable</v>
      </c>
      <c r="G267" s="96" t="n">
        <v>1825</v>
      </c>
      <c r="H267" s="68" t="str">
        <f aca="false">"E"&amp;TEXT(A267,"yyyymm")&amp;"-"&amp;TEXT(VLOOKUP(D267,Map_Table,2,FALSE()),"0")</f>
        <v>E202409-6103</v>
      </c>
    </row>
    <row r="268" customFormat="false" ht="15" hidden="false" customHeight="false" outlineLevel="0" collapsed="false">
      <c r="A268" s="101" t="n">
        <v>45565</v>
      </c>
      <c r="B268" s="102" t="n">
        <f aca="false">YEAR(A268)</f>
        <v>2024</v>
      </c>
      <c r="C268" s="102" t="n">
        <f aca="false">MONTH(A268)</f>
        <v>9</v>
      </c>
      <c r="D268" s="100" t="s">
        <v>300</v>
      </c>
      <c r="E268" s="68" t="str">
        <f aca="false">VLOOKUP(D268,Map_Table,3,FALSE())</f>
        <v>Selling &amp; Distribution</v>
      </c>
      <c r="F268" s="68" t="str">
        <f aca="false">VLOOKUP(D268,Map_Table,4,FALSE())</f>
        <v>Fixed</v>
      </c>
      <c r="G268" s="96" t="n">
        <v>1967</v>
      </c>
      <c r="H268" s="68" t="str">
        <f aca="false">"E"&amp;TEXT(A268,"yyyymm")&amp;"-"&amp;TEXT(VLOOKUP(D268,Map_Table,2,FALSE()),"0")</f>
        <v>E202409-6104</v>
      </c>
    </row>
    <row r="269" customFormat="false" ht="15" hidden="false" customHeight="false" outlineLevel="0" collapsed="false">
      <c r="A269" s="101" t="n">
        <v>45565</v>
      </c>
      <c r="B269" s="102" t="n">
        <f aca="false">YEAR(A269)</f>
        <v>2024</v>
      </c>
      <c r="C269" s="102" t="n">
        <f aca="false">MONTH(A269)</f>
        <v>9</v>
      </c>
      <c r="D269" s="100" t="s">
        <v>301</v>
      </c>
      <c r="E269" s="68" t="str">
        <f aca="false">VLOOKUP(D269,Map_Table,3,FALSE())</f>
        <v>Selling &amp; Distribution</v>
      </c>
      <c r="F269" s="68" t="str">
        <f aca="false">VLOOKUP(D269,Map_Table,4,FALSE())</f>
        <v>Fixed</v>
      </c>
      <c r="G269" s="96" t="n">
        <v>2606</v>
      </c>
      <c r="H269" s="68" t="str">
        <f aca="false">"E"&amp;TEXT(A269,"yyyymm")&amp;"-"&amp;TEXT(VLOOKUP(D269,Map_Table,2,FALSE()),"0")</f>
        <v>E202409-6105</v>
      </c>
    </row>
    <row r="270" customFormat="false" ht="15" hidden="false" customHeight="false" outlineLevel="0" collapsed="false">
      <c r="A270" s="101" t="n">
        <v>45565</v>
      </c>
      <c r="B270" s="102" t="n">
        <f aca="false">YEAR(A270)</f>
        <v>2024</v>
      </c>
      <c r="C270" s="102" t="n">
        <f aca="false">MONTH(A270)</f>
        <v>9</v>
      </c>
      <c r="D270" s="100" t="s">
        <v>302</v>
      </c>
      <c r="E270" s="68" t="str">
        <f aca="false">VLOOKUP(D270,Map_Table,3,FALSE())</f>
        <v>General &amp; Administrative</v>
      </c>
      <c r="F270" s="68" t="str">
        <f aca="false">VLOOKUP(D270,Map_Table,4,FALSE())</f>
        <v>Fixed</v>
      </c>
      <c r="G270" s="96" t="n">
        <v>2440</v>
      </c>
      <c r="H270" s="68" t="str">
        <f aca="false">"E"&amp;TEXT(A270,"yyyymm")&amp;"-"&amp;TEXT(VLOOKUP(D270,Map_Table,2,FALSE()),"0")</f>
        <v>E202409-6201</v>
      </c>
    </row>
    <row r="271" customFormat="false" ht="15" hidden="false" customHeight="false" outlineLevel="0" collapsed="false">
      <c r="A271" s="101" t="n">
        <v>45565</v>
      </c>
      <c r="B271" s="102" t="n">
        <f aca="false">YEAR(A271)</f>
        <v>2024</v>
      </c>
      <c r="C271" s="102" t="n">
        <f aca="false">MONTH(A271)</f>
        <v>9</v>
      </c>
      <c r="D271" s="100" t="s">
        <v>303</v>
      </c>
      <c r="E271" s="68" t="str">
        <f aca="false">VLOOKUP(D271,Map_Table,3,FALSE())</f>
        <v>General &amp; Administrative</v>
      </c>
      <c r="F271" s="68" t="str">
        <f aca="false">VLOOKUP(D271,Map_Table,4,FALSE())</f>
        <v>Fixed</v>
      </c>
      <c r="G271" s="96" t="n">
        <v>656</v>
      </c>
      <c r="H271" s="68" t="str">
        <f aca="false">"E"&amp;TEXT(A271,"yyyymm")&amp;"-"&amp;TEXT(VLOOKUP(D271,Map_Table,2,FALSE()),"0")</f>
        <v>E202409-6202</v>
      </c>
    </row>
    <row r="272" customFormat="false" ht="15" hidden="false" customHeight="false" outlineLevel="0" collapsed="false">
      <c r="A272" s="101" t="n">
        <v>45565</v>
      </c>
      <c r="B272" s="102" t="n">
        <f aca="false">YEAR(A272)</f>
        <v>2024</v>
      </c>
      <c r="C272" s="102" t="n">
        <f aca="false">MONTH(A272)</f>
        <v>9</v>
      </c>
      <c r="D272" s="100" t="s">
        <v>304</v>
      </c>
      <c r="E272" s="68" t="str">
        <f aca="false">VLOOKUP(D272,Map_Table,3,FALSE())</f>
        <v>General &amp; Administrative</v>
      </c>
      <c r="F272" s="68" t="str">
        <f aca="false">VLOOKUP(D272,Map_Table,4,FALSE())</f>
        <v>Fixed</v>
      </c>
      <c r="G272" s="96" t="n">
        <v>309</v>
      </c>
      <c r="H272" s="68" t="str">
        <f aca="false">"E"&amp;TEXT(A272,"yyyymm")&amp;"-"&amp;TEXT(VLOOKUP(D272,Map_Table,2,FALSE()),"0")</f>
        <v>E202409-6203</v>
      </c>
    </row>
    <row r="273" customFormat="false" ht="15" hidden="false" customHeight="false" outlineLevel="0" collapsed="false">
      <c r="A273" s="101" t="n">
        <v>45565</v>
      </c>
      <c r="B273" s="102" t="n">
        <f aca="false">YEAR(A273)</f>
        <v>2024</v>
      </c>
      <c r="C273" s="102" t="n">
        <f aca="false">MONTH(A273)</f>
        <v>9</v>
      </c>
      <c r="D273" s="100" t="s">
        <v>305</v>
      </c>
      <c r="E273" s="68" t="str">
        <f aca="false">VLOOKUP(D273,Map_Table,3,FALSE())</f>
        <v>General &amp; Administrative</v>
      </c>
      <c r="F273" s="68" t="str">
        <f aca="false">VLOOKUP(D273,Map_Table,4,FALSE())</f>
        <v>Fixed</v>
      </c>
      <c r="G273" s="96" t="n">
        <v>537</v>
      </c>
      <c r="H273" s="68" t="str">
        <f aca="false">"E"&amp;TEXT(A273,"yyyymm")&amp;"-"&amp;TEXT(VLOOKUP(D273,Map_Table,2,FALSE()),"0")</f>
        <v>E202409-6204</v>
      </c>
    </row>
    <row r="274" customFormat="false" ht="15" hidden="false" customHeight="false" outlineLevel="0" collapsed="false">
      <c r="A274" s="101" t="n">
        <v>45565</v>
      </c>
      <c r="B274" s="102" t="n">
        <f aca="false">YEAR(A274)</f>
        <v>2024</v>
      </c>
      <c r="C274" s="102" t="n">
        <f aca="false">MONTH(A274)</f>
        <v>9</v>
      </c>
      <c r="D274" s="100" t="s">
        <v>306</v>
      </c>
      <c r="E274" s="68" t="str">
        <f aca="false">VLOOKUP(D274,Map_Table,3,FALSE())</f>
        <v>General &amp; Administrative</v>
      </c>
      <c r="F274" s="68" t="str">
        <f aca="false">VLOOKUP(D274,Map_Table,4,FALSE())</f>
        <v>Fixed</v>
      </c>
      <c r="G274" s="96" t="n">
        <v>198</v>
      </c>
      <c r="H274" s="68" t="str">
        <f aca="false">"E"&amp;TEXT(A274,"yyyymm")&amp;"-"&amp;TEXT(VLOOKUP(D274,Map_Table,2,FALSE()),"0")</f>
        <v>E202409-6205</v>
      </c>
    </row>
    <row r="275" customFormat="false" ht="15" hidden="false" customHeight="false" outlineLevel="0" collapsed="false">
      <c r="A275" s="101" t="n">
        <v>45565</v>
      </c>
      <c r="B275" s="102" t="n">
        <f aca="false">YEAR(A275)</f>
        <v>2024</v>
      </c>
      <c r="C275" s="102" t="n">
        <f aca="false">MONTH(A275)</f>
        <v>9</v>
      </c>
      <c r="D275" s="100" t="s">
        <v>307</v>
      </c>
      <c r="E275" s="68" t="str">
        <f aca="false">VLOOKUP(D275,Map_Table,3,FALSE())</f>
        <v>General &amp; Administrative</v>
      </c>
      <c r="F275" s="68" t="str">
        <f aca="false">VLOOKUP(D275,Map_Table,4,FALSE())</f>
        <v>Fixed</v>
      </c>
      <c r="G275" s="96" t="n">
        <v>439</v>
      </c>
      <c r="H275" s="68" t="str">
        <f aca="false">"E"&amp;TEXT(A275,"yyyymm")&amp;"-"&amp;TEXT(VLOOKUP(D275,Map_Table,2,FALSE()),"0")</f>
        <v>E202409-6206</v>
      </c>
    </row>
    <row r="276" customFormat="false" ht="15" hidden="false" customHeight="false" outlineLevel="0" collapsed="false">
      <c r="A276" s="101" t="n">
        <v>45565</v>
      </c>
      <c r="B276" s="102" t="n">
        <f aca="false">YEAR(A276)</f>
        <v>2024</v>
      </c>
      <c r="C276" s="102" t="n">
        <f aca="false">MONTH(A276)</f>
        <v>9</v>
      </c>
      <c r="D276" s="100" t="s">
        <v>308</v>
      </c>
      <c r="E276" s="68" t="str">
        <f aca="false">VLOOKUP(D276,Map_Table,3,FALSE())</f>
        <v>General &amp; Administrative</v>
      </c>
      <c r="F276" s="68" t="str">
        <f aca="false">VLOOKUP(D276,Map_Table,4,FALSE())</f>
        <v>Fixed</v>
      </c>
      <c r="G276" s="96" t="n">
        <v>351</v>
      </c>
      <c r="H276" s="68" t="str">
        <f aca="false">"E"&amp;TEXT(A276,"yyyymm")&amp;"-"&amp;TEXT(VLOOKUP(D276,Map_Table,2,FALSE()),"0")</f>
        <v>E202409-6207</v>
      </c>
    </row>
    <row r="277" customFormat="false" ht="15" hidden="false" customHeight="false" outlineLevel="0" collapsed="false">
      <c r="A277" s="101" t="n">
        <v>45565</v>
      </c>
      <c r="B277" s="102" t="n">
        <f aca="false">YEAR(A277)</f>
        <v>2024</v>
      </c>
      <c r="C277" s="102" t="n">
        <f aca="false">MONTH(A277)</f>
        <v>9</v>
      </c>
      <c r="D277" s="100" t="s">
        <v>309</v>
      </c>
      <c r="E277" s="68" t="str">
        <f aca="false">VLOOKUP(D277,Map_Table,3,FALSE())</f>
        <v>General &amp; Administrative</v>
      </c>
      <c r="F277" s="68" t="str">
        <f aca="false">VLOOKUP(D277,Map_Table,4,FALSE())</f>
        <v>Variable</v>
      </c>
      <c r="G277" s="96" t="n">
        <v>117</v>
      </c>
      <c r="H277" s="68" t="str">
        <f aca="false">"E"&amp;TEXT(A277,"yyyymm")&amp;"-"&amp;TEXT(VLOOKUP(D277,Map_Table,2,FALSE()),"0")</f>
        <v>E202409-6208</v>
      </c>
    </row>
    <row r="278" customFormat="false" ht="15" hidden="false" customHeight="false" outlineLevel="0" collapsed="false">
      <c r="A278" s="101" t="n">
        <v>45596</v>
      </c>
      <c r="B278" s="102" t="n">
        <f aca="false">YEAR(A278)</f>
        <v>2024</v>
      </c>
      <c r="C278" s="102" t="n">
        <f aca="false">MONTH(A278)</f>
        <v>10</v>
      </c>
      <c r="D278" s="100" t="s">
        <v>297</v>
      </c>
      <c r="E278" s="68" t="str">
        <f aca="false">VLOOKUP(D278,Map_Table,3,FALSE())</f>
        <v>Selling &amp; Distribution</v>
      </c>
      <c r="F278" s="68" t="str">
        <f aca="false">VLOOKUP(D278,Map_Table,4,FALSE())</f>
        <v>Variable</v>
      </c>
      <c r="G278" s="96" t="n">
        <v>1204</v>
      </c>
      <c r="H278" s="68" t="str">
        <f aca="false">"E"&amp;TEXT(A278,"yyyymm")&amp;"-"&amp;TEXT(VLOOKUP(D278,Map_Table,2,FALSE()),"0")</f>
        <v>E202410-6101</v>
      </c>
    </row>
    <row r="279" customFormat="false" ht="15" hidden="false" customHeight="false" outlineLevel="0" collapsed="false">
      <c r="A279" s="101" t="n">
        <v>45596</v>
      </c>
      <c r="B279" s="102" t="n">
        <f aca="false">YEAR(A279)</f>
        <v>2024</v>
      </c>
      <c r="C279" s="102" t="n">
        <f aca="false">MONTH(A279)</f>
        <v>10</v>
      </c>
      <c r="D279" s="100" t="s">
        <v>298</v>
      </c>
      <c r="E279" s="68" t="str">
        <f aca="false">VLOOKUP(D279,Map_Table,3,FALSE())</f>
        <v>Selling &amp; Distribution</v>
      </c>
      <c r="F279" s="68" t="str">
        <f aca="false">VLOOKUP(D279,Map_Table,4,FALSE())</f>
        <v>Variable</v>
      </c>
      <c r="G279" s="96" t="n">
        <v>862</v>
      </c>
      <c r="H279" s="68" t="str">
        <f aca="false">"E"&amp;TEXT(A279,"yyyymm")&amp;"-"&amp;TEXT(VLOOKUP(D279,Map_Table,2,FALSE()),"0")</f>
        <v>E202410-6102</v>
      </c>
    </row>
    <row r="280" customFormat="false" ht="15" hidden="false" customHeight="false" outlineLevel="0" collapsed="false">
      <c r="A280" s="101" t="n">
        <v>45596</v>
      </c>
      <c r="B280" s="102" t="n">
        <f aca="false">YEAR(A280)</f>
        <v>2024</v>
      </c>
      <c r="C280" s="102" t="n">
        <f aca="false">MONTH(A280)</f>
        <v>10</v>
      </c>
      <c r="D280" s="100" t="s">
        <v>299</v>
      </c>
      <c r="E280" s="68" t="str">
        <f aca="false">VLOOKUP(D280,Map_Table,3,FALSE())</f>
        <v>Selling &amp; Distribution</v>
      </c>
      <c r="F280" s="68" t="str">
        <f aca="false">VLOOKUP(D280,Map_Table,4,FALSE())</f>
        <v>Variable</v>
      </c>
      <c r="G280" s="96" t="n">
        <v>1796</v>
      </c>
      <c r="H280" s="68" t="str">
        <f aca="false">"E"&amp;TEXT(A280,"yyyymm")&amp;"-"&amp;TEXT(VLOOKUP(D280,Map_Table,2,FALSE()),"0")</f>
        <v>E202410-6103</v>
      </c>
    </row>
    <row r="281" customFormat="false" ht="15" hidden="false" customHeight="false" outlineLevel="0" collapsed="false">
      <c r="A281" s="101" t="n">
        <v>45596</v>
      </c>
      <c r="B281" s="102" t="n">
        <f aca="false">YEAR(A281)</f>
        <v>2024</v>
      </c>
      <c r="C281" s="102" t="n">
        <f aca="false">MONTH(A281)</f>
        <v>10</v>
      </c>
      <c r="D281" s="100" t="s">
        <v>300</v>
      </c>
      <c r="E281" s="68" t="str">
        <f aca="false">VLOOKUP(D281,Map_Table,3,FALSE())</f>
        <v>Selling &amp; Distribution</v>
      </c>
      <c r="F281" s="68" t="str">
        <f aca="false">VLOOKUP(D281,Map_Table,4,FALSE())</f>
        <v>Fixed</v>
      </c>
      <c r="G281" s="96" t="n">
        <v>1973</v>
      </c>
      <c r="H281" s="68" t="str">
        <f aca="false">"E"&amp;TEXT(A281,"yyyymm")&amp;"-"&amp;TEXT(VLOOKUP(D281,Map_Table,2,FALSE()),"0")</f>
        <v>E202410-6104</v>
      </c>
    </row>
    <row r="282" customFormat="false" ht="15" hidden="false" customHeight="false" outlineLevel="0" collapsed="false">
      <c r="A282" s="101" t="n">
        <v>45596</v>
      </c>
      <c r="B282" s="102" t="n">
        <f aca="false">YEAR(A282)</f>
        <v>2024</v>
      </c>
      <c r="C282" s="102" t="n">
        <f aca="false">MONTH(A282)</f>
        <v>10</v>
      </c>
      <c r="D282" s="100" t="s">
        <v>301</v>
      </c>
      <c r="E282" s="68" t="str">
        <f aca="false">VLOOKUP(D282,Map_Table,3,FALSE())</f>
        <v>Selling &amp; Distribution</v>
      </c>
      <c r="F282" s="68" t="str">
        <f aca="false">VLOOKUP(D282,Map_Table,4,FALSE())</f>
        <v>Fixed</v>
      </c>
      <c r="G282" s="96" t="n">
        <v>2608</v>
      </c>
      <c r="H282" s="68" t="str">
        <f aca="false">"E"&amp;TEXT(A282,"yyyymm")&amp;"-"&amp;TEXT(VLOOKUP(D282,Map_Table,2,FALSE()),"0")</f>
        <v>E202410-6105</v>
      </c>
    </row>
    <row r="283" customFormat="false" ht="15" hidden="false" customHeight="false" outlineLevel="0" collapsed="false">
      <c r="A283" s="101" t="n">
        <v>45596</v>
      </c>
      <c r="B283" s="102" t="n">
        <f aca="false">YEAR(A283)</f>
        <v>2024</v>
      </c>
      <c r="C283" s="102" t="n">
        <f aca="false">MONTH(A283)</f>
        <v>10</v>
      </c>
      <c r="D283" s="100" t="s">
        <v>302</v>
      </c>
      <c r="E283" s="68" t="str">
        <f aca="false">VLOOKUP(D283,Map_Table,3,FALSE())</f>
        <v>General &amp; Administrative</v>
      </c>
      <c r="F283" s="68" t="str">
        <f aca="false">VLOOKUP(D283,Map_Table,4,FALSE())</f>
        <v>Fixed</v>
      </c>
      <c r="G283" s="96" t="n">
        <v>2376</v>
      </c>
      <c r="H283" s="68" t="str">
        <f aca="false">"E"&amp;TEXT(A283,"yyyymm")&amp;"-"&amp;TEXT(VLOOKUP(D283,Map_Table,2,FALSE()),"0")</f>
        <v>E202410-6201</v>
      </c>
    </row>
    <row r="284" customFormat="false" ht="15" hidden="false" customHeight="false" outlineLevel="0" collapsed="false">
      <c r="A284" s="101" t="n">
        <v>45596</v>
      </c>
      <c r="B284" s="102" t="n">
        <f aca="false">YEAR(A284)</f>
        <v>2024</v>
      </c>
      <c r="C284" s="102" t="n">
        <f aca="false">MONTH(A284)</f>
        <v>10</v>
      </c>
      <c r="D284" s="100" t="s">
        <v>303</v>
      </c>
      <c r="E284" s="68" t="str">
        <f aca="false">VLOOKUP(D284,Map_Table,3,FALSE())</f>
        <v>General &amp; Administrative</v>
      </c>
      <c r="F284" s="68" t="str">
        <f aca="false">VLOOKUP(D284,Map_Table,4,FALSE())</f>
        <v>Fixed</v>
      </c>
      <c r="G284" s="96" t="n">
        <v>652</v>
      </c>
      <c r="H284" s="68" t="str">
        <f aca="false">"E"&amp;TEXT(A284,"yyyymm")&amp;"-"&amp;TEXT(VLOOKUP(D284,Map_Table,2,FALSE()),"0")</f>
        <v>E202410-6202</v>
      </c>
    </row>
    <row r="285" customFormat="false" ht="15" hidden="false" customHeight="false" outlineLevel="0" collapsed="false">
      <c r="A285" s="101" t="n">
        <v>45596</v>
      </c>
      <c r="B285" s="102" t="n">
        <f aca="false">YEAR(A285)</f>
        <v>2024</v>
      </c>
      <c r="C285" s="102" t="n">
        <f aca="false">MONTH(A285)</f>
        <v>10</v>
      </c>
      <c r="D285" s="100" t="s">
        <v>304</v>
      </c>
      <c r="E285" s="68" t="str">
        <f aca="false">VLOOKUP(D285,Map_Table,3,FALSE())</f>
        <v>General &amp; Administrative</v>
      </c>
      <c r="F285" s="68" t="str">
        <f aca="false">VLOOKUP(D285,Map_Table,4,FALSE())</f>
        <v>Fixed</v>
      </c>
      <c r="G285" s="96" t="n">
        <v>310</v>
      </c>
      <c r="H285" s="68" t="str">
        <f aca="false">"E"&amp;TEXT(A285,"yyyymm")&amp;"-"&amp;TEXT(VLOOKUP(D285,Map_Table,2,FALSE()),"0")</f>
        <v>E202410-6203</v>
      </c>
    </row>
    <row r="286" customFormat="false" ht="15" hidden="false" customHeight="false" outlineLevel="0" collapsed="false">
      <c r="A286" s="101" t="n">
        <v>45596</v>
      </c>
      <c r="B286" s="102" t="n">
        <f aca="false">YEAR(A286)</f>
        <v>2024</v>
      </c>
      <c r="C286" s="102" t="n">
        <f aca="false">MONTH(A286)</f>
        <v>10</v>
      </c>
      <c r="D286" s="100" t="s">
        <v>305</v>
      </c>
      <c r="E286" s="68" t="str">
        <f aca="false">VLOOKUP(D286,Map_Table,3,FALSE())</f>
        <v>General &amp; Administrative</v>
      </c>
      <c r="F286" s="68" t="str">
        <f aca="false">VLOOKUP(D286,Map_Table,4,FALSE())</f>
        <v>Fixed</v>
      </c>
      <c r="G286" s="96" t="n">
        <v>547</v>
      </c>
      <c r="H286" s="68" t="str">
        <f aca="false">"E"&amp;TEXT(A286,"yyyymm")&amp;"-"&amp;TEXT(VLOOKUP(D286,Map_Table,2,FALSE()),"0")</f>
        <v>E202410-6204</v>
      </c>
    </row>
    <row r="287" customFormat="false" ht="15" hidden="false" customHeight="false" outlineLevel="0" collapsed="false">
      <c r="A287" s="101" t="n">
        <v>45596</v>
      </c>
      <c r="B287" s="102" t="n">
        <f aca="false">YEAR(A287)</f>
        <v>2024</v>
      </c>
      <c r="C287" s="102" t="n">
        <f aca="false">MONTH(A287)</f>
        <v>10</v>
      </c>
      <c r="D287" s="100" t="s">
        <v>306</v>
      </c>
      <c r="E287" s="68" t="str">
        <f aca="false">VLOOKUP(D287,Map_Table,3,FALSE())</f>
        <v>General &amp; Administrative</v>
      </c>
      <c r="F287" s="68" t="str">
        <f aca="false">VLOOKUP(D287,Map_Table,4,FALSE())</f>
        <v>Fixed</v>
      </c>
      <c r="G287" s="96" t="n">
        <v>220</v>
      </c>
      <c r="H287" s="68" t="str">
        <f aca="false">"E"&amp;TEXT(A287,"yyyymm")&amp;"-"&amp;TEXT(VLOOKUP(D287,Map_Table,2,FALSE()),"0")</f>
        <v>E202410-6205</v>
      </c>
    </row>
    <row r="288" customFormat="false" ht="15" hidden="false" customHeight="false" outlineLevel="0" collapsed="false">
      <c r="A288" s="101" t="n">
        <v>45596</v>
      </c>
      <c r="B288" s="102" t="n">
        <f aca="false">YEAR(A288)</f>
        <v>2024</v>
      </c>
      <c r="C288" s="102" t="n">
        <f aca="false">MONTH(A288)</f>
        <v>10</v>
      </c>
      <c r="D288" s="100" t="s">
        <v>307</v>
      </c>
      <c r="E288" s="68" t="str">
        <f aca="false">VLOOKUP(D288,Map_Table,3,FALSE())</f>
        <v>General &amp; Administrative</v>
      </c>
      <c r="F288" s="68" t="str">
        <f aca="false">VLOOKUP(D288,Map_Table,4,FALSE())</f>
        <v>Fixed</v>
      </c>
      <c r="G288" s="96" t="n">
        <v>438</v>
      </c>
      <c r="H288" s="68" t="str">
        <f aca="false">"E"&amp;TEXT(A288,"yyyymm")&amp;"-"&amp;TEXT(VLOOKUP(D288,Map_Table,2,FALSE()),"0")</f>
        <v>E202410-6206</v>
      </c>
    </row>
    <row r="289" customFormat="false" ht="15" hidden="false" customHeight="false" outlineLevel="0" collapsed="false">
      <c r="A289" s="101" t="n">
        <v>45596</v>
      </c>
      <c r="B289" s="102" t="n">
        <f aca="false">YEAR(A289)</f>
        <v>2024</v>
      </c>
      <c r="C289" s="102" t="n">
        <f aca="false">MONTH(A289)</f>
        <v>10</v>
      </c>
      <c r="D289" s="100" t="s">
        <v>308</v>
      </c>
      <c r="E289" s="68" t="str">
        <f aca="false">VLOOKUP(D289,Map_Table,3,FALSE())</f>
        <v>General &amp; Administrative</v>
      </c>
      <c r="F289" s="68" t="str">
        <f aca="false">VLOOKUP(D289,Map_Table,4,FALSE())</f>
        <v>Fixed</v>
      </c>
      <c r="G289" s="96" t="n">
        <v>361</v>
      </c>
      <c r="H289" s="68" t="str">
        <f aca="false">"E"&amp;TEXT(A289,"yyyymm")&amp;"-"&amp;TEXT(VLOOKUP(D289,Map_Table,2,FALSE()),"0")</f>
        <v>E202410-6207</v>
      </c>
    </row>
    <row r="290" customFormat="false" ht="15" hidden="false" customHeight="false" outlineLevel="0" collapsed="false">
      <c r="A290" s="101" t="n">
        <v>45596</v>
      </c>
      <c r="B290" s="102" t="n">
        <f aca="false">YEAR(A290)</f>
        <v>2024</v>
      </c>
      <c r="C290" s="102" t="n">
        <f aca="false">MONTH(A290)</f>
        <v>10</v>
      </c>
      <c r="D290" s="100" t="s">
        <v>309</v>
      </c>
      <c r="E290" s="68" t="str">
        <f aca="false">VLOOKUP(D290,Map_Table,3,FALSE())</f>
        <v>General &amp; Administrative</v>
      </c>
      <c r="F290" s="68" t="str">
        <f aca="false">VLOOKUP(D290,Map_Table,4,FALSE())</f>
        <v>Variable</v>
      </c>
      <c r="G290" s="96" t="n">
        <v>111</v>
      </c>
      <c r="H290" s="68" t="str">
        <f aca="false">"E"&amp;TEXT(A290,"yyyymm")&amp;"-"&amp;TEXT(VLOOKUP(D290,Map_Table,2,FALSE()),"0")</f>
        <v>E202410-6208</v>
      </c>
    </row>
    <row r="291" customFormat="false" ht="15" hidden="false" customHeight="false" outlineLevel="0" collapsed="false">
      <c r="A291" s="101" t="n">
        <v>45626</v>
      </c>
      <c r="B291" s="102" t="n">
        <f aca="false">YEAR(A291)</f>
        <v>2024</v>
      </c>
      <c r="C291" s="102" t="n">
        <f aca="false">MONTH(A291)</f>
        <v>11</v>
      </c>
      <c r="D291" s="100" t="s">
        <v>297</v>
      </c>
      <c r="E291" s="68" t="str">
        <f aca="false">VLOOKUP(D291,Map_Table,3,FALSE())</f>
        <v>Selling &amp; Distribution</v>
      </c>
      <c r="F291" s="68" t="str">
        <f aca="false">VLOOKUP(D291,Map_Table,4,FALSE())</f>
        <v>Variable</v>
      </c>
      <c r="G291" s="96" t="n">
        <v>1240</v>
      </c>
      <c r="H291" s="68" t="str">
        <f aca="false">"E"&amp;TEXT(A291,"yyyymm")&amp;"-"&amp;TEXT(VLOOKUP(D291,Map_Table,2,FALSE()),"0")</f>
        <v>E202411-6101</v>
      </c>
    </row>
    <row r="292" customFormat="false" ht="15" hidden="false" customHeight="false" outlineLevel="0" collapsed="false">
      <c r="A292" s="101" t="n">
        <v>45626</v>
      </c>
      <c r="B292" s="102" t="n">
        <f aca="false">YEAR(A292)</f>
        <v>2024</v>
      </c>
      <c r="C292" s="102" t="n">
        <f aca="false">MONTH(A292)</f>
        <v>11</v>
      </c>
      <c r="D292" s="100" t="s">
        <v>298</v>
      </c>
      <c r="E292" s="68" t="str">
        <f aca="false">VLOOKUP(D292,Map_Table,3,FALSE())</f>
        <v>Selling &amp; Distribution</v>
      </c>
      <c r="F292" s="68" t="str">
        <f aca="false">VLOOKUP(D292,Map_Table,4,FALSE())</f>
        <v>Variable</v>
      </c>
      <c r="G292" s="96" t="n">
        <v>893</v>
      </c>
      <c r="H292" s="68" t="str">
        <f aca="false">"E"&amp;TEXT(A292,"yyyymm")&amp;"-"&amp;TEXT(VLOOKUP(D292,Map_Table,2,FALSE()),"0")</f>
        <v>E202411-6102</v>
      </c>
    </row>
    <row r="293" customFormat="false" ht="15" hidden="false" customHeight="false" outlineLevel="0" collapsed="false">
      <c r="A293" s="101" t="n">
        <v>45626</v>
      </c>
      <c r="B293" s="102" t="n">
        <f aca="false">YEAR(A293)</f>
        <v>2024</v>
      </c>
      <c r="C293" s="102" t="n">
        <f aca="false">MONTH(A293)</f>
        <v>11</v>
      </c>
      <c r="D293" s="100" t="s">
        <v>299</v>
      </c>
      <c r="E293" s="68" t="str">
        <f aca="false">VLOOKUP(D293,Map_Table,3,FALSE())</f>
        <v>Selling &amp; Distribution</v>
      </c>
      <c r="F293" s="68" t="str">
        <f aca="false">VLOOKUP(D293,Map_Table,4,FALSE())</f>
        <v>Variable</v>
      </c>
      <c r="G293" s="96" t="n">
        <v>1920</v>
      </c>
      <c r="H293" s="68" t="str">
        <f aca="false">"E"&amp;TEXT(A293,"yyyymm")&amp;"-"&amp;TEXT(VLOOKUP(D293,Map_Table,2,FALSE()),"0")</f>
        <v>E202411-6103</v>
      </c>
    </row>
    <row r="294" customFormat="false" ht="15" hidden="false" customHeight="false" outlineLevel="0" collapsed="false">
      <c r="A294" s="101" t="n">
        <v>45626</v>
      </c>
      <c r="B294" s="102" t="n">
        <f aca="false">YEAR(A294)</f>
        <v>2024</v>
      </c>
      <c r="C294" s="102" t="n">
        <f aca="false">MONTH(A294)</f>
        <v>11</v>
      </c>
      <c r="D294" s="100" t="s">
        <v>300</v>
      </c>
      <c r="E294" s="68" t="str">
        <f aca="false">VLOOKUP(D294,Map_Table,3,FALSE())</f>
        <v>Selling &amp; Distribution</v>
      </c>
      <c r="F294" s="68" t="str">
        <f aca="false">VLOOKUP(D294,Map_Table,4,FALSE())</f>
        <v>Fixed</v>
      </c>
      <c r="G294" s="96" t="n">
        <v>1986</v>
      </c>
      <c r="H294" s="68" t="str">
        <f aca="false">"E"&amp;TEXT(A294,"yyyymm")&amp;"-"&amp;TEXT(VLOOKUP(D294,Map_Table,2,FALSE()),"0")</f>
        <v>E202411-6104</v>
      </c>
    </row>
    <row r="295" customFormat="false" ht="15" hidden="false" customHeight="false" outlineLevel="0" collapsed="false">
      <c r="A295" s="101" t="n">
        <v>45626</v>
      </c>
      <c r="B295" s="102" t="n">
        <f aca="false">YEAR(A295)</f>
        <v>2024</v>
      </c>
      <c r="C295" s="102" t="n">
        <f aca="false">MONTH(A295)</f>
        <v>11</v>
      </c>
      <c r="D295" s="100" t="s">
        <v>301</v>
      </c>
      <c r="E295" s="68" t="str">
        <f aca="false">VLOOKUP(D295,Map_Table,3,FALSE())</f>
        <v>Selling &amp; Distribution</v>
      </c>
      <c r="F295" s="68" t="str">
        <f aca="false">VLOOKUP(D295,Map_Table,4,FALSE())</f>
        <v>Fixed</v>
      </c>
      <c r="G295" s="96" t="n">
        <v>2634</v>
      </c>
      <c r="H295" s="68" t="str">
        <f aca="false">"E"&amp;TEXT(A295,"yyyymm")&amp;"-"&amp;TEXT(VLOOKUP(D295,Map_Table,2,FALSE()),"0")</f>
        <v>E202411-6105</v>
      </c>
    </row>
    <row r="296" customFormat="false" ht="15" hidden="false" customHeight="false" outlineLevel="0" collapsed="false">
      <c r="A296" s="101" t="n">
        <v>45626</v>
      </c>
      <c r="B296" s="102" t="n">
        <f aca="false">YEAR(A296)</f>
        <v>2024</v>
      </c>
      <c r="C296" s="102" t="n">
        <f aca="false">MONTH(A296)</f>
        <v>11</v>
      </c>
      <c r="D296" s="100" t="s">
        <v>302</v>
      </c>
      <c r="E296" s="68" t="str">
        <f aca="false">VLOOKUP(D296,Map_Table,3,FALSE())</f>
        <v>General &amp; Administrative</v>
      </c>
      <c r="F296" s="68" t="str">
        <f aca="false">VLOOKUP(D296,Map_Table,4,FALSE())</f>
        <v>Fixed</v>
      </c>
      <c r="G296" s="96" t="n">
        <v>2412</v>
      </c>
      <c r="H296" s="68" t="str">
        <f aca="false">"E"&amp;TEXT(A296,"yyyymm")&amp;"-"&amp;TEXT(VLOOKUP(D296,Map_Table,2,FALSE()),"0")</f>
        <v>E202411-6201</v>
      </c>
    </row>
    <row r="297" customFormat="false" ht="15" hidden="false" customHeight="false" outlineLevel="0" collapsed="false">
      <c r="A297" s="101" t="n">
        <v>45626</v>
      </c>
      <c r="B297" s="102" t="n">
        <f aca="false">YEAR(A297)</f>
        <v>2024</v>
      </c>
      <c r="C297" s="102" t="n">
        <f aca="false">MONTH(A297)</f>
        <v>11</v>
      </c>
      <c r="D297" s="100" t="s">
        <v>303</v>
      </c>
      <c r="E297" s="68" t="str">
        <f aca="false">VLOOKUP(D297,Map_Table,3,FALSE())</f>
        <v>General &amp; Administrative</v>
      </c>
      <c r="F297" s="68" t="str">
        <f aca="false">VLOOKUP(D297,Map_Table,4,FALSE())</f>
        <v>Fixed</v>
      </c>
      <c r="G297" s="96" t="n">
        <v>643</v>
      </c>
      <c r="H297" s="68" t="str">
        <f aca="false">"E"&amp;TEXT(A297,"yyyymm")&amp;"-"&amp;TEXT(VLOOKUP(D297,Map_Table,2,FALSE()),"0")</f>
        <v>E202411-6202</v>
      </c>
    </row>
    <row r="298" customFormat="false" ht="15" hidden="false" customHeight="false" outlineLevel="0" collapsed="false">
      <c r="A298" s="101" t="n">
        <v>45626</v>
      </c>
      <c r="B298" s="102" t="n">
        <f aca="false">YEAR(A298)</f>
        <v>2024</v>
      </c>
      <c r="C298" s="102" t="n">
        <f aca="false">MONTH(A298)</f>
        <v>11</v>
      </c>
      <c r="D298" s="100" t="s">
        <v>304</v>
      </c>
      <c r="E298" s="68" t="str">
        <f aca="false">VLOOKUP(D298,Map_Table,3,FALSE())</f>
        <v>General &amp; Administrative</v>
      </c>
      <c r="F298" s="68" t="str">
        <f aca="false">VLOOKUP(D298,Map_Table,4,FALSE())</f>
        <v>Fixed</v>
      </c>
      <c r="G298" s="96" t="n">
        <v>318</v>
      </c>
      <c r="H298" s="68" t="str">
        <f aca="false">"E"&amp;TEXT(A298,"yyyymm")&amp;"-"&amp;TEXT(VLOOKUP(D298,Map_Table,2,FALSE()),"0")</f>
        <v>E202411-6203</v>
      </c>
    </row>
    <row r="299" customFormat="false" ht="15" hidden="false" customHeight="false" outlineLevel="0" collapsed="false">
      <c r="A299" s="101" t="n">
        <v>45626</v>
      </c>
      <c r="B299" s="102" t="n">
        <f aca="false">YEAR(A299)</f>
        <v>2024</v>
      </c>
      <c r="C299" s="102" t="n">
        <f aca="false">MONTH(A299)</f>
        <v>11</v>
      </c>
      <c r="D299" s="100" t="s">
        <v>305</v>
      </c>
      <c r="E299" s="68" t="str">
        <f aca="false">VLOOKUP(D299,Map_Table,3,FALSE())</f>
        <v>General &amp; Administrative</v>
      </c>
      <c r="F299" s="68" t="str">
        <f aca="false">VLOOKUP(D299,Map_Table,4,FALSE())</f>
        <v>Fixed</v>
      </c>
      <c r="G299" s="96" t="n">
        <v>556</v>
      </c>
      <c r="H299" s="68" t="str">
        <f aca="false">"E"&amp;TEXT(A299,"yyyymm")&amp;"-"&amp;TEXT(VLOOKUP(D299,Map_Table,2,FALSE()),"0")</f>
        <v>E202411-6204</v>
      </c>
    </row>
    <row r="300" customFormat="false" ht="15" hidden="false" customHeight="false" outlineLevel="0" collapsed="false">
      <c r="A300" s="101" t="n">
        <v>45626</v>
      </c>
      <c r="B300" s="102" t="n">
        <f aca="false">YEAR(A300)</f>
        <v>2024</v>
      </c>
      <c r="C300" s="102" t="n">
        <f aca="false">MONTH(A300)</f>
        <v>11</v>
      </c>
      <c r="D300" s="100" t="s">
        <v>306</v>
      </c>
      <c r="E300" s="68" t="str">
        <f aca="false">VLOOKUP(D300,Map_Table,3,FALSE())</f>
        <v>General &amp; Administrative</v>
      </c>
      <c r="F300" s="68" t="str">
        <f aca="false">VLOOKUP(D300,Map_Table,4,FALSE())</f>
        <v>Fixed</v>
      </c>
      <c r="G300" s="96" t="n">
        <v>242</v>
      </c>
      <c r="H300" s="68" t="str">
        <f aca="false">"E"&amp;TEXT(A300,"yyyymm")&amp;"-"&amp;TEXT(VLOOKUP(D300,Map_Table,2,FALSE()),"0")</f>
        <v>E202411-6205</v>
      </c>
    </row>
    <row r="301" customFormat="false" ht="15" hidden="false" customHeight="false" outlineLevel="0" collapsed="false">
      <c r="A301" s="101" t="n">
        <v>45626</v>
      </c>
      <c r="B301" s="102" t="n">
        <f aca="false">YEAR(A301)</f>
        <v>2024</v>
      </c>
      <c r="C301" s="102" t="n">
        <f aca="false">MONTH(A301)</f>
        <v>11</v>
      </c>
      <c r="D301" s="100" t="s">
        <v>307</v>
      </c>
      <c r="E301" s="68" t="str">
        <f aca="false">VLOOKUP(D301,Map_Table,3,FALSE())</f>
        <v>General &amp; Administrative</v>
      </c>
      <c r="F301" s="68" t="str">
        <f aca="false">VLOOKUP(D301,Map_Table,4,FALSE())</f>
        <v>Fixed</v>
      </c>
      <c r="G301" s="96" t="n">
        <v>443</v>
      </c>
      <c r="H301" s="68" t="str">
        <f aca="false">"E"&amp;TEXT(A301,"yyyymm")&amp;"-"&amp;TEXT(VLOOKUP(D301,Map_Table,2,FALSE()),"0")</f>
        <v>E202411-6206</v>
      </c>
    </row>
    <row r="302" customFormat="false" ht="15" hidden="false" customHeight="false" outlineLevel="0" collapsed="false">
      <c r="A302" s="101" t="n">
        <v>45626</v>
      </c>
      <c r="B302" s="102" t="n">
        <f aca="false">YEAR(A302)</f>
        <v>2024</v>
      </c>
      <c r="C302" s="102" t="n">
        <f aca="false">MONTH(A302)</f>
        <v>11</v>
      </c>
      <c r="D302" s="100" t="s">
        <v>308</v>
      </c>
      <c r="E302" s="68" t="str">
        <f aca="false">VLOOKUP(D302,Map_Table,3,FALSE())</f>
        <v>General &amp; Administrative</v>
      </c>
      <c r="F302" s="68" t="str">
        <f aca="false">VLOOKUP(D302,Map_Table,4,FALSE())</f>
        <v>Fixed</v>
      </c>
      <c r="G302" s="96" t="n">
        <v>359</v>
      </c>
      <c r="H302" s="68" t="str">
        <f aca="false">"E"&amp;TEXT(A302,"yyyymm")&amp;"-"&amp;TEXT(VLOOKUP(D302,Map_Table,2,FALSE()),"0")</f>
        <v>E202411-6207</v>
      </c>
    </row>
    <row r="303" customFormat="false" ht="15" hidden="false" customHeight="false" outlineLevel="0" collapsed="false">
      <c r="A303" s="101" t="n">
        <v>45626</v>
      </c>
      <c r="B303" s="102" t="n">
        <f aca="false">YEAR(A303)</f>
        <v>2024</v>
      </c>
      <c r="C303" s="102" t="n">
        <f aca="false">MONTH(A303)</f>
        <v>11</v>
      </c>
      <c r="D303" s="100" t="s">
        <v>309</v>
      </c>
      <c r="E303" s="68" t="str">
        <f aca="false">VLOOKUP(D303,Map_Table,3,FALSE())</f>
        <v>General &amp; Administrative</v>
      </c>
      <c r="F303" s="68" t="str">
        <f aca="false">VLOOKUP(D303,Map_Table,4,FALSE())</f>
        <v>Variable</v>
      </c>
      <c r="G303" s="96" t="n">
        <v>117</v>
      </c>
      <c r="H303" s="68" t="str">
        <f aca="false">"E"&amp;TEXT(A303,"yyyymm")&amp;"-"&amp;TEXT(VLOOKUP(D303,Map_Table,2,FALSE()),"0")</f>
        <v>E202411-6208</v>
      </c>
    </row>
    <row r="304" customFormat="false" ht="15" hidden="false" customHeight="false" outlineLevel="0" collapsed="false">
      <c r="A304" s="101" t="n">
        <v>45657</v>
      </c>
      <c r="B304" s="102" t="n">
        <f aca="false">YEAR(A304)</f>
        <v>2024</v>
      </c>
      <c r="C304" s="102" t="n">
        <f aca="false">MONTH(A304)</f>
        <v>12</v>
      </c>
      <c r="D304" s="100" t="s">
        <v>297</v>
      </c>
      <c r="E304" s="68" t="str">
        <f aca="false">VLOOKUP(D304,Map_Table,3,FALSE())</f>
        <v>Selling &amp; Distribution</v>
      </c>
      <c r="F304" s="68" t="str">
        <f aca="false">VLOOKUP(D304,Map_Table,4,FALSE())</f>
        <v>Variable</v>
      </c>
      <c r="G304" s="96" t="n">
        <v>1428</v>
      </c>
      <c r="H304" s="68" t="str">
        <f aca="false">"E"&amp;TEXT(A304,"yyyymm")&amp;"-"&amp;TEXT(VLOOKUP(D304,Map_Table,2,FALSE()),"0")</f>
        <v>E202412-6101</v>
      </c>
    </row>
    <row r="305" customFormat="false" ht="15" hidden="false" customHeight="false" outlineLevel="0" collapsed="false">
      <c r="A305" s="101" t="n">
        <v>45657</v>
      </c>
      <c r="B305" s="102" t="n">
        <f aca="false">YEAR(A305)</f>
        <v>2024</v>
      </c>
      <c r="C305" s="102" t="n">
        <f aca="false">MONTH(A305)</f>
        <v>12</v>
      </c>
      <c r="D305" s="100" t="s">
        <v>298</v>
      </c>
      <c r="E305" s="68" t="str">
        <f aca="false">VLOOKUP(D305,Map_Table,3,FALSE())</f>
        <v>Selling &amp; Distribution</v>
      </c>
      <c r="F305" s="68" t="str">
        <f aca="false">VLOOKUP(D305,Map_Table,4,FALSE())</f>
        <v>Variable</v>
      </c>
      <c r="G305" s="96" t="n">
        <v>978</v>
      </c>
      <c r="H305" s="68" t="str">
        <f aca="false">"E"&amp;TEXT(A305,"yyyymm")&amp;"-"&amp;TEXT(VLOOKUP(D305,Map_Table,2,FALSE()),"0")</f>
        <v>E202412-6102</v>
      </c>
    </row>
    <row r="306" customFormat="false" ht="15" hidden="false" customHeight="false" outlineLevel="0" collapsed="false">
      <c r="A306" s="101" t="n">
        <v>45657</v>
      </c>
      <c r="B306" s="102" t="n">
        <f aca="false">YEAR(A306)</f>
        <v>2024</v>
      </c>
      <c r="C306" s="102" t="n">
        <f aca="false">MONTH(A306)</f>
        <v>12</v>
      </c>
      <c r="D306" s="100" t="s">
        <v>299</v>
      </c>
      <c r="E306" s="68" t="str">
        <f aca="false">VLOOKUP(D306,Map_Table,3,FALSE())</f>
        <v>Selling &amp; Distribution</v>
      </c>
      <c r="F306" s="68" t="str">
        <f aca="false">VLOOKUP(D306,Map_Table,4,FALSE())</f>
        <v>Variable</v>
      </c>
      <c r="G306" s="96" t="n">
        <v>2143</v>
      </c>
      <c r="H306" s="68" t="str">
        <f aca="false">"E"&amp;TEXT(A306,"yyyymm")&amp;"-"&amp;TEXT(VLOOKUP(D306,Map_Table,2,FALSE()),"0")</f>
        <v>E202412-6103</v>
      </c>
    </row>
    <row r="307" customFormat="false" ht="15" hidden="false" customHeight="false" outlineLevel="0" collapsed="false">
      <c r="A307" s="101" t="n">
        <v>45657</v>
      </c>
      <c r="B307" s="102" t="n">
        <f aca="false">YEAR(A307)</f>
        <v>2024</v>
      </c>
      <c r="C307" s="102" t="n">
        <f aca="false">MONTH(A307)</f>
        <v>12</v>
      </c>
      <c r="D307" s="100" t="s">
        <v>300</v>
      </c>
      <c r="E307" s="68" t="str">
        <f aca="false">VLOOKUP(D307,Map_Table,3,FALSE())</f>
        <v>Selling &amp; Distribution</v>
      </c>
      <c r="F307" s="68" t="str">
        <f aca="false">VLOOKUP(D307,Map_Table,4,FALSE())</f>
        <v>Fixed</v>
      </c>
      <c r="G307" s="96" t="n">
        <v>1983</v>
      </c>
      <c r="H307" s="68" t="str">
        <f aca="false">"E"&amp;TEXT(A307,"yyyymm")&amp;"-"&amp;TEXT(VLOOKUP(D307,Map_Table,2,FALSE()),"0")</f>
        <v>E202412-6104</v>
      </c>
    </row>
    <row r="308" customFormat="false" ht="15" hidden="false" customHeight="false" outlineLevel="0" collapsed="false">
      <c r="A308" s="101" t="n">
        <v>45657</v>
      </c>
      <c r="B308" s="102" t="n">
        <f aca="false">YEAR(A308)</f>
        <v>2024</v>
      </c>
      <c r="C308" s="102" t="n">
        <f aca="false">MONTH(A308)</f>
        <v>12</v>
      </c>
      <c r="D308" s="100" t="s">
        <v>301</v>
      </c>
      <c r="E308" s="68" t="str">
        <f aca="false">VLOOKUP(D308,Map_Table,3,FALSE())</f>
        <v>Selling &amp; Distribution</v>
      </c>
      <c r="F308" s="68" t="str">
        <f aca="false">VLOOKUP(D308,Map_Table,4,FALSE())</f>
        <v>Fixed</v>
      </c>
      <c r="G308" s="96" t="n">
        <v>2671</v>
      </c>
      <c r="H308" s="68" t="str">
        <f aca="false">"E"&amp;TEXT(A308,"yyyymm")&amp;"-"&amp;TEXT(VLOOKUP(D308,Map_Table,2,FALSE()),"0")</f>
        <v>E202412-6105</v>
      </c>
    </row>
    <row r="309" customFormat="false" ht="15" hidden="false" customHeight="false" outlineLevel="0" collapsed="false">
      <c r="A309" s="101" t="n">
        <v>45657</v>
      </c>
      <c r="B309" s="102" t="n">
        <f aca="false">YEAR(A309)</f>
        <v>2024</v>
      </c>
      <c r="C309" s="102" t="n">
        <f aca="false">MONTH(A309)</f>
        <v>12</v>
      </c>
      <c r="D309" s="100" t="s">
        <v>302</v>
      </c>
      <c r="E309" s="68" t="str">
        <f aca="false">VLOOKUP(D309,Map_Table,3,FALSE())</f>
        <v>General &amp; Administrative</v>
      </c>
      <c r="F309" s="68" t="str">
        <f aca="false">VLOOKUP(D309,Map_Table,4,FALSE())</f>
        <v>Fixed</v>
      </c>
      <c r="G309" s="96" t="n">
        <v>2436</v>
      </c>
      <c r="H309" s="68" t="str">
        <f aca="false">"E"&amp;TEXT(A309,"yyyymm")&amp;"-"&amp;TEXT(VLOOKUP(D309,Map_Table,2,FALSE()),"0")</f>
        <v>E202412-6201</v>
      </c>
    </row>
    <row r="310" customFormat="false" ht="15" hidden="false" customHeight="false" outlineLevel="0" collapsed="false">
      <c r="A310" s="101" t="n">
        <v>45657</v>
      </c>
      <c r="B310" s="102" t="n">
        <f aca="false">YEAR(A310)</f>
        <v>2024</v>
      </c>
      <c r="C310" s="102" t="n">
        <f aca="false">MONTH(A310)</f>
        <v>12</v>
      </c>
      <c r="D310" s="100" t="s">
        <v>303</v>
      </c>
      <c r="E310" s="68" t="str">
        <f aca="false">VLOOKUP(D310,Map_Table,3,FALSE())</f>
        <v>General &amp; Administrative</v>
      </c>
      <c r="F310" s="68" t="str">
        <f aca="false">VLOOKUP(D310,Map_Table,4,FALSE())</f>
        <v>Fixed</v>
      </c>
      <c r="G310" s="96" t="n">
        <v>650</v>
      </c>
      <c r="H310" s="68" t="str">
        <f aca="false">"E"&amp;TEXT(A310,"yyyymm")&amp;"-"&amp;TEXT(VLOOKUP(D310,Map_Table,2,FALSE()),"0")</f>
        <v>E202412-6202</v>
      </c>
    </row>
    <row r="311" customFormat="false" ht="15" hidden="false" customHeight="false" outlineLevel="0" collapsed="false">
      <c r="A311" s="101" t="n">
        <v>45657</v>
      </c>
      <c r="B311" s="102" t="n">
        <f aca="false">YEAR(A311)</f>
        <v>2024</v>
      </c>
      <c r="C311" s="102" t="n">
        <f aca="false">MONTH(A311)</f>
        <v>12</v>
      </c>
      <c r="D311" s="100" t="s">
        <v>304</v>
      </c>
      <c r="E311" s="68" t="str">
        <f aca="false">VLOOKUP(D311,Map_Table,3,FALSE())</f>
        <v>General &amp; Administrative</v>
      </c>
      <c r="F311" s="68" t="str">
        <f aca="false">VLOOKUP(D311,Map_Table,4,FALSE())</f>
        <v>Fixed</v>
      </c>
      <c r="G311" s="96" t="n">
        <v>320</v>
      </c>
      <c r="H311" s="68" t="str">
        <f aca="false">"E"&amp;TEXT(A311,"yyyymm")&amp;"-"&amp;TEXT(VLOOKUP(D311,Map_Table,2,FALSE()),"0")</f>
        <v>E202412-6203</v>
      </c>
    </row>
    <row r="312" customFormat="false" ht="15" hidden="false" customHeight="false" outlineLevel="0" collapsed="false">
      <c r="A312" s="101" t="n">
        <v>45657</v>
      </c>
      <c r="B312" s="102" t="n">
        <f aca="false">YEAR(A312)</f>
        <v>2024</v>
      </c>
      <c r="C312" s="102" t="n">
        <f aca="false">MONTH(A312)</f>
        <v>12</v>
      </c>
      <c r="D312" s="100" t="s">
        <v>305</v>
      </c>
      <c r="E312" s="68" t="str">
        <f aca="false">VLOOKUP(D312,Map_Table,3,FALSE())</f>
        <v>General &amp; Administrative</v>
      </c>
      <c r="F312" s="68" t="str">
        <f aca="false">VLOOKUP(D312,Map_Table,4,FALSE())</f>
        <v>Fixed</v>
      </c>
      <c r="G312" s="96" t="n">
        <v>555</v>
      </c>
      <c r="H312" s="68" t="str">
        <f aca="false">"E"&amp;TEXT(A312,"yyyymm")&amp;"-"&amp;TEXT(VLOOKUP(D312,Map_Table,2,FALSE()),"0")</f>
        <v>E202412-6204</v>
      </c>
    </row>
    <row r="313" customFormat="false" ht="15" hidden="false" customHeight="false" outlineLevel="0" collapsed="false">
      <c r="A313" s="101" t="n">
        <v>45657</v>
      </c>
      <c r="B313" s="102" t="n">
        <f aca="false">YEAR(A313)</f>
        <v>2024</v>
      </c>
      <c r="C313" s="102" t="n">
        <f aca="false">MONTH(A313)</f>
        <v>12</v>
      </c>
      <c r="D313" s="100" t="s">
        <v>306</v>
      </c>
      <c r="E313" s="68" t="str">
        <f aca="false">VLOOKUP(D313,Map_Table,3,FALSE())</f>
        <v>General &amp; Administrative</v>
      </c>
      <c r="F313" s="68" t="str">
        <f aca="false">VLOOKUP(D313,Map_Table,4,FALSE())</f>
        <v>Fixed</v>
      </c>
      <c r="G313" s="96" t="n">
        <v>215</v>
      </c>
      <c r="H313" s="68" t="str">
        <f aca="false">"E"&amp;TEXT(A313,"yyyymm")&amp;"-"&amp;TEXT(VLOOKUP(D313,Map_Table,2,FALSE()),"0")</f>
        <v>E202412-6205</v>
      </c>
    </row>
    <row r="314" customFormat="false" ht="15" hidden="false" customHeight="false" outlineLevel="0" collapsed="false">
      <c r="A314" s="101" t="n">
        <v>45657</v>
      </c>
      <c r="B314" s="102" t="n">
        <f aca="false">YEAR(A314)</f>
        <v>2024</v>
      </c>
      <c r="C314" s="102" t="n">
        <f aca="false">MONTH(A314)</f>
        <v>12</v>
      </c>
      <c r="D314" s="100" t="s">
        <v>307</v>
      </c>
      <c r="E314" s="68" t="str">
        <f aca="false">VLOOKUP(D314,Map_Table,3,FALSE())</f>
        <v>General &amp; Administrative</v>
      </c>
      <c r="F314" s="68" t="str">
        <f aca="false">VLOOKUP(D314,Map_Table,4,FALSE())</f>
        <v>Fixed</v>
      </c>
      <c r="G314" s="96" t="n">
        <v>448</v>
      </c>
      <c r="H314" s="68" t="str">
        <f aca="false">"E"&amp;TEXT(A314,"yyyymm")&amp;"-"&amp;TEXT(VLOOKUP(D314,Map_Table,2,FALSE()),"0")</f>
        <v>E202412-6206</v>
      </c>
    </row>
    <row r="315" customFormat="false" ht="15" hidden="false" customHeight="false" outlineLevel="0" collapsed="false">
      <c r="A315" s="101" t="n">
        <v>45657</v>
      </c>
      <c r="B315" s="102" t="n">
        <f aca="false">YEAR(A315)</f>
        <v>2024</v>
      </c>
      <c r="C315" s="102" t="n">
        <f aca="false">MONTH(A315)</f>
        <v>12</v>
      </c>
      <c r="D315" s="100" t="s">
        <v>308</v>
      </c>
      <c r="E315" s="68" t="str">
        <f aca="false">VLOOKUP(D315,Map_Table,3,FALSE())</f>
        <v>General &amp; Administrative</v>
      </c>
      <c r="F315" s="68" t="str">
        <f aca="false">VLOOKUP(D315,Map_Table,4,FALSE())</f>
        <v>Fixed</v>
      </c>
      <c r="G315" s="96" t="n">
        <v>363</v>
      </c>
      <c r="H315" s="68" t="str">
        <f aca="false">"E"&amp;TEXT(A315,"yyyymm")&amp;"-"&amp;TEXT(VLOOKUP(D315,Map_Table,2,FALSE()),"0")</f>
        <v>E202412-6207</v>
      </c>
    </row>
    <row r="316" customFormat="false" ht="15" hidden="false" customHeight="false" outlineLevel="0" collapsed="false">
      <c r="A316" s="101" t="n">
        <v>45657</v>
      </c>
      <c r="B316" s="102" t="n">
        <f aca="false">YEAR(A316)</f>
        <v>2024</v>
      </c>
      <c r="C316" s="102" t="n">
        <f aca="false">MONTH(A316)</f>
        <v>12</v>
      </c>
      <c r="D316" s="100" t="s">
        <v>309</v>
      </c>
      <c r="E316" s="68" t="str">
        <f aca="false">VLOOKUP(D316,Map_Table,3,FALSE())</f>
        <v>General &amp; Administrative</v>
      </c>
      <c r="F316" s="68" t="str">
        <f aca="false">VLOOKUP(D316,Map_Table,4,FALSE())</f>
        <v>Variable</v>
      </c>
      <c r="G316" s="96" t="n">
        <v>132</v>
      </c>
      <c r="H316" s="68" t="str">
        <f aca="false">"E"&amp;TEXT(A316,"yyyymm")&amp;"-"&amp;TEXT(VLOOKUP(D316,Map_Table,2,FALSE()),"0")</f>
        <v>E202412-6208</v>
      </c>
    </row>
    <row r="317" customFormat="false" ht="15" hidden="false" customHeight="false" outlineLevel="0" collapsed="false">
      <c r="A317" s="101" t="n">
        <v>45688</v>
      </c>
      <c r="B317" s="102" t="n">
        <f aca="false">YEAR(A317)</f>
        <v>2025</v>
      </c>
      <c r="C317" s="102" t="n">
        <f aca="false">MONTH(A317)</f>
        <v>1</v>
      </c>
      <c r="D317" s="100" t="s">
        <v>297</v>
      </c>
      <c r="E317" s="68" t="str">
        <f aca="false">VLOOKUP(D317,Map_Table,3,FALSE())</f>
        <v>Selling &amp; Distribution</v>
      </c>
      <c r="F317" s="68" t="str">
        <f aca="false">VLOOKUP(D317,Map_Table,4,FALSE())</f>
        <v>Variable</v>
      </c>
      <c r="G317" s="96" t="n">
        <v>1171</v>
      </c>
      <c r="H317" s="68" t="str">
        <f aca="false">"E"&amp;TEXT(A317,"yyyymm")&amp;"-"&amp;TEXT(VLOOKUP(D317,Map_Table,2,FALSE()),"0")</f>
        <v>E202501-6101</v>
      </c>
    </row>
    <row r="318" customFormat="false" ht="15" hidden="false" customHeight="false" outlineLevel="0" collapsed="false">
      <c r="A318" s="101" t="n">
        <v>45688</v>
      </c>
      <c r="B318" s="102" t="n">
        <f aca="false">YEAR(A318)</f>
        <v>2025</v>
      </c>
      <c r="C318" s="102" t="n">
        <f aca="false">MONTH(A318)</f>
        <v>1</v>
      </c>
      <c r="D318" s="100" t="s">
        <v>298</v>
      </c>
      <c r="E318" s="68" t="str">
        <f aca="false">VLOOKUP(D318,Map_Table,3,FALSE())</f>
        <v>Selling &amp; Distribution</v>
      </c>
      <c r="F318" s="68" t="str">
        <f aca="false">VLOOKUP(D318,Map_Table,4,FALSE())</f>
        <v>Variable</v>
      </c>
      <c r="G318" s="96" t="n">
        <v>655</v>
      </c>
      <c r="H318" s="68" t="str">
        <f aca="false">"E"&amp;TEXT(A318,"yyyymm")&amp;"-"&amp;TEXT(VLOOKUP(D318,Map_Table,2,FALSE()),"0")</f>
        <v>E202501-6102</v>
      </c>
    </row>
    <row r="319" customFormat="false" ht="15" hidden="false" customHeight="false" outlineLevel="0" collapsed="false">
      <c r="A319" s="101" t="n">
        <v>45688</v>
      </c>
      <c r="B319" s="102" t="n">
        <f aca="false">YEAR(A319)</f>
        <v>2025</v>
      </c>
      <c r="C319" s="102" t="n">
        <f aca="false">MONTH(A319)</f>
        <v>1</v>
      </c>
      <c r="D319" s="100" t="s">
        <v>299</v>
      </c>
      <c r="E319" s="68" t="str">
        <f aca="false">VLOOKUP(D319,Map_Table,3,FALSE())</f>
        <v>Selling &amp; Distribution</v>
      </c>
      <c r="F319" s="68" t="str">
        <f aca="false">VLOOKUP(D319,Map_Table,4,FALSE())</f>
        <v>Variable</v>
      </c>
      <c r="G319" s="96" t="n">
        <v>1837</v>
      </c>
      <c r="H319" s="68" t="str">
        <f aca="false">"E"&amp;TEXT(A319,"yyyymm")&amp;"-"&amp;TEXT(VLOOKUP(D319,Map_Table,2,FALSE()),"0")</f>
        <v>E202501-6103</v>
      </c>
    </row>
    <row r="320" customFormat="false" ht="15" hidden="false" customHeight="false" outlineLevel="0" collapsed="false">
      <c r="A320" s="101" t="n">
        <v>45688</v>
      </c>
      <c r="B320" s="102" t="n">
        <f aca="false">YEAR(A320)</f>
        <v>2025</v>
      </c>
      <c r="C320" s="102" t="n">
        <f aca="false">MONTH(A320)</f>
        <v>1</v>
      </c>
      <c r="D320" s="100" t="s">
        <v>300</v>
      </c>
      <c r="E320" s="68" t="str">
        <f aca="false">VLOOKUP(D320,Map_Table,3,FALSE())</f>
        <v>Selling &amp; Distribution</v>
      </c>
      <c r="F320" s="68" t="str">
        <f aca="false">VLOOKUP(D320,Map_Table,4,FALSE())</f>
        <v>Fixed</v>
      </c>
      <c r="G320" s="96" t="n">
        <v>2107</v>
      </c>
      <c r="H320" s="68" t="str">
        <f aca="false">"E"&amp;TEXT(A320,"yyyymm")&amp;"-"&amp;TEXT(VLOOKUP(D320,Map_Table,2,FALSE()),"0")</f>
        <v>E202501-6104</v>
      </c>
    </row>
    <row r="321" customFormat="false" ht="15" hidden="false" customHeight="false" outlineLevel="0" collapsed="false">
      <c r="A321" s="101" t="n">
        <v>45688</v>
      </c>
      <c r="B321" s="102" t="n">
        <f aca="false">YEAR(A321)</f>
        <v>2025</v>
      </c>
      <c r="C321" s="102" t="n">
        <f aca="false">MONTH(A321)</f>
        <v>1</v>
      </c>
      <c r="D321" s="100" t="s">
        <v>301</v>
      </c>
      <c r="E321" s="68" t="str">
        <f aca="false">VLOOKUP(D321,Map_Table,3,FALSE())</f>
        <v>Selling &amp; Distribution</v>
      </c>
      <c r="F321" s="68" t="str">
        <f aca="false">VLOOKUP(D321,Map_Table,4,FALSE())</f>
        <v>Fixed</v>
      </c>
      <c r="G321" s="96" t="n">
        <v>2691</v>
      </c>
      <c r="H321" s="68" t="str">
        <f aca="false">"E"&amp;TEXT(A321,"yyyymm")&amp;"-"&amp;TEXT(VLOOKUP(D321,Map_Table,2,FALSE()),"0")</f>
        <v>E202501-6105</v>
      </c>
    </row>
    <row r="322" customFormat="false" ht="15" hidden="false" customHeight="false" outlineLevel="0" collapsed="false">
      <c r="A322" s="101" t="n">
        <v>45688</v>
      </c>
      <c r="B322" s="102" t="n">
        <f aca="false">YEAR(A322)</f>
        <v>2025</v>
      </c>
      <c r="C322" s="102" t="n">
        <f aca="false">MONTH(A322)</f>
        <v>1</v>
      </c>
      <c r="D322" s="100" t="s">
        <v>302</v>
      </c>
      <c r="E322" s="68" t="str">
        <f aca="false">VLOOKUP(D322,Map_Table,3,FALSE())</f>
        <v>General &amp; Administrative</v>
      </c>
      <c r="F322" s="68" t="str">
        <f aca="false">VLOOKUP(D322,Map_Table,4,FALSE())</f>
        <v>Fixed</v>
      </c>
      <c r="G322" s="96" t="n">
        <v>2500</v>
      </c>
      <c r="H322" s="68" t="str">
        <f aca="false">"E"&amp;TEXT(A322,"yyyymm")&amp;"-"&amp;TEXT(VLOOKUP(D322,Map_Table,2,FALSE()),"0")</f>
        <v>E202501-6201</v>
      </c>
    </row>
    <row r="323" customFormat="false" ht="15" hidden="false" customHeight="false" outlineLevel="0" collapsed="false">
      <c r="A323" s="101" t="n">
        <v>45688</v>
      </c>
      <c r="B323" s="102" t="n">
        <f aca="false">YEAR(A323)</f>
        <v>2025</v>
      </c>
      <c r="C323" s="102" t="n">
        <f aca="false">MONTH(A323)</f>
        <v>1</v>
      </c>
      <c r="D323" s="100" t="s">
        <v>303</v>
      </c>
      <c r="E323" s="68" t="str">
        <f aca="false">VLOOKUP(D323,Map_Table,3,FALSE())</f>
        <v>General &amp; Administrative</v>
      </c>
      <c r="F323" s="68" t="str">
        <f aca="false">VLOOKUP(D323,Map_Table,4,FALSE())</f>
        <v>Fixed</v>
      </c>
      <c r="G323" s="96" t="n">
        <v>673</v>
      </c>
      <c r="H323" s="68" t="str">
        <f aca="false">"E"&amp;TEXT(A323,"yyyymm")&amp;"-"&amp;TEXT(VLOOKUP(D323,Map_Table,2,FALSE()),"0")</f>
        <v>E202501-6202</v>
      </c>
    </row>
    <row r="324" customFormat="false" ht="15" hidden="false" customHeight="false" outlineLevel="0" collapsed="false">
      <c r="A324" s="101" t="n">
        <v>45688</v>
      </c>
      <c r="B324" s="102" t="n">
        <f aca="false">YEAR(A324)</f>
        <v>2025</v>
      </c>
      <c r="C324" s="102" t="n">
        <f aca="false">MONTH(A324)</f>
        <v>1</v>
      </c>
      <c r="D324" s="100" t="s">
        <v>304</v>
      </c>
      <c r="E324" s="68" t="str">
        <f aca="false">VLOOKUP(D324,Map_Table,3,FALSE())</f>
        <v>General &amp; Administrative</v>
      </c>
      <c r="F324" s="68" t="str">
        <f aca="false">VLOOKUP(D324,Map_Table,4,FALSE())</f>
        <v>Fixed</v>
      </c>
      <c r="G324" s="96" t="n">
        <v>335</v>
      </c>
      <c r="H324" s="68" t="str">
        <f aca="false">"E"&amp;TEXT(A324,"yyyymm")&amp;"-"&amp;TEXT(VLOOKUP(D324,Map_Table,2,FALSE()),"0")</f>
        <v>E202501-6203</v>
      </c>
    </row>
    <row r="325" customFormat="false" ht="15" hidden="false" customHeight="false" outlineLevel="0" collapsed="false">
      <c r="A325" s="101" t="n">
        <v>45688</v>
      </c>
      <c r="B325" s="102" t="n">
        <f aca="false">YEAR(A325)</f>
        <v>2025</v>
      </c>
      <c r="C325" s="102" t="n">
        <f aca="false">MONTH(A325)</f>
        <v>1</v>
      </c>
      <c r="D325" s="100" t="s">
        <v>305</v>
      </c>
      <c r="E325" s="68" t="str">
        <f aca="false">VLOOKUP(D325,Map_Table,3,FALSE())</f>
        <v>General &amp; Administrative</v>
      </c>
      <c r="F325" s="68" t="str">
        <f aca="false">VLOOKUP(D325,Map_Table,4,FALSE())</f>
        <v>Fixed</v>
      </c>
      <c r="G325" s="96" t="n">
        <v>574</v>
      </c>
      <c r="H325" s="68" t="str">
        <f aca="false">"E"&amp;TEXT(A325,"yyyymm")&amp;"-"&amp;TEXT(VLOOKUP(D325,Map_Table,2,FALSE()),"0")</f>
        <v>E202501-6204</v>
      </c>
    </row>
    <row r="326" customFormat="false" ht="15" hidden="false" customHeight="false" outlineLevel="0" collapsed="false">
      <c r="A326" s="101" t="n">
        <v>45688</v>
      </c>
      <c r="B326" s="102" t="n">
        <f aca="false">YEAR(A326)</f>
        <v>2025</v>
      </c>
      <c r="C326" s="102" t="n">
        <f aca="false">MONTH(A326)</f>
        <v>1</v>
      </c>
      <c r="D326" s="100" t="s">
        <v>306</v>
      </c>
      <c r="E326" s="68" t="str">
        <f aca="false">VLOOKUP(D326,Map_Table,3,FALSE())</f>
        <v>General &amp; Administrative</v>
      </c>
      <c r="F326" s="68" t="str">
        <f aca="false">VLOOKUP(D326,Map_Table,4,FALSE())</f>
        <v>Fixed</v>
      </c>
      <c r="G326" s="96" t="n">
        <v>257</v>
      </c>
      <c r="H326" s="68" t="str">
        <f aca="false">"E"&amp;TEXT(A326,"yyyymm")&amp;"-"&amp;TEXT(VLOOKUP(D326,Map_Table,2,FALSE()),"0")</f>
        <v>E202501-6205</v>
      </c>
    </row>
    <row r="327" customFormat="false" ht="15" hidden="false" customHeight="false" outlineLevel="0" collapsed="false">
      <c r="A327" s="101" t="n">
        <v>45688</v>
      </c>
      <c r="B327" s="102" t="n">
        <f aca="false">YEAR(A327)</f>
        <v>2025</v>
      </c>
      <c r="C327" s="102" t="n">
        <f aca="false">MONTH(A327)</f>
        <v>1</v>
      </c>
      <c r="D327" s="100" t="s">
        <v>307</v>
      </c>
      <c r="E327" s="68" t="str">
        <f aca="false">VLOOKUP(D327,Map_Table,3,FALSE())</f>
        <v>General &amp; Administrative</v>
      </c>
      <c r="F327" s="68" t="str">
        <f aca="false">VLOOKUP(D327,Map_Table,4,FALSE())</f>
        <v>Fixed</v>
      </c>
      <c r="G327" s="96" t="n">
        <v>456</v>
      </c>
      <c r="H327" s="68" t="str">
        <f aca="false">"E"&amp;TEXT(A327,"yyyymm")&amp;"-"&amp;TEXT(VLOOKUP(D327,Map_Table,2,FALSE()),"0")</f>
        <v>E202501-6206</v>
      </c>
    </row>
    <row r="328" customFormat="false" ht="15" hidden="false" customHeight="false" outlineLevel="0" collapsed="false">
      <c r="A328" s="101" t="n">
        <v>45688</v>
      </c>
      <c r="B328" s="102" t="n">
        <f aca="false">YEAR(A328)</f>
        <v>2025</v>
      </c>
      <c r="C328" s="102" t="n">
        <f aca="false">MONTH(A328)</f>
        <v>1</v>
      </c>
      <c r="D328" s="100" t="s">
        <v>308</v>
      </c>
      <c r="E328" s="68" t="str">
        <f aca="false">VLOOKUP(D328,Map_Table,3,FALSE())</f>
        <v>General &amp; Administrative</v>
      </c>
      <c r="F328" s="68" t="str">
        <f aca="false">VLOOKUP(D328,Map_Table,4,FALSE())</f>
        <v>Fixed</v>
      </c>
      <c r="G328" s="96" t="n">
        <v>371</v>
      </c>
      <c r="H328" s="68" t="str">
        <f aca="false">"E"&amp;TEXT(A328,"yyyymm")&amp;"-"&amp;TEXT(VLOOKUP(D328,Map_Table,2,FALSE()),"0")</f>
        <v>E202501-6207</v>
      </c>
    </row>
    <row r="329" customFormat="false" ht="15" hidden="false" customHeight="false" outlineLevel="0" collapsed="false">
      <c r="A329" s="101" t="n">
        <v>45688</v>
      </c>
      <c r="B329" s="102" t="n">
        <f aca="false">YEAR(A329)</f>
        <v>2025</v>
      </c>
      <c r="C329" s="102" t="n">
        <f aca="false">MONTH(A329)</f>
        <v>1</v>
      </c>
      <c r="D329" s="100" t="s">
        <v>309</v>
      </c>
      <c r="E329" s="68" t="str">
        <f aca="false">VLOOKUP(D329,Map_Table,3,FALSE())</f>
        <v>General &amp; Administrative</v>
      </c>
      <c r="F329" s="68" t="str">
        <f aca="false">VLOOKUP(D329,Map_Table,4,FALSE())</f>
        <v>Variable</v>
      </c>
      <c r="G329" s="96" t="n">
        <v>114</v>
      </c>
      <c r="H329" s="68" t="str">
        <f aca="false">"E"&amp;TEXT(A329,"yyyymm")&amp;"-"&amp;TEXT(VLOOKUP(D329,Map_Table,2,FALSE()),"0")</f>
        <v>E202501-6208</v>
      </c>
    </row>
    <row r="330" customFormat="false" ht="15" hidden="false" customHeight="false" outlineLevel="0" collapsed="false">
      <c r="A330" s="101" t="n">
        <v>45716</v>
      </c>
      <c r="B330" s="102" t="n">
        <f aca="false">YEAR(A330)</f>
        <v>2025</v>
      </c>
      <c r="C330" s="102" t="n">
        <f aca="false">MONTH(A330)</f>
        <v>2</v>
      </c>
      <c r="D330" s="100" t="s">
        <v>297</v>
      </c>
      <c r="E330" s="68" t="str">
        <f aca="false">VLOOKUP(D330,Map_Table,3,FALSE())</f>
        <v>Selling &amp; Distribution</v>
      </c>
      <c r="F330" s="68" t="str">
        <f aca="false">VLOOKUP(D330,Map_Table,4,FALSE())</f>
        <v>Variable</v>
      </c>
      <c r="G330" s="96" t="n">
        <v>1158</v>
      </c>
      <c r="H330" s="68" t="str">
        <f aca="false">"E"&amp;TEXT(A330,"yyyymm")&amp;"-"&amp;TEXT(VLOOKUP(D330,Map_Table,2,FALSE()),"0")</f>
        <v>E202502-6101</v>
      </c>
    </row>
    <row r="331" customFormat="false" ht="15" hidden="false" customHeight="false" outlineLevel="0" collapsed="false">
      <c r="A331" s="101" t="n">
        <v>45716</v>
      </c>
      <c r="B331" s="102" t="n">
        <f aca="false">YEAR(A331)</f>
        <v>2025</v>
      </c>
      <c r="C331" s="102" t="n">
        <f aca="false">MONTH(A331)</f>
        <v>2</v>
      </c>
      <c r="D331" s="100" t="s">
        <v>298</v>
      </c>
      <c r="E331" s="68" t="str">
        <f aca="false">VLOOKUP(D331,Map_Table,3,FALSE())</f>
        <v>Selling &amp; Distribution</v>
      </c>
      <c r="F331" s="68" t="str">
        <f aca="false">VLOOKUP(D331,Map_Table,4,FALSE())</f>
        <v>Variable</v>
      </c>
      <c r="G331" s="96" t="n">
        <v>662</v>
      </c>
      <c r="H331" s="68" t="str">
        <f aca="false">"E"&amp;TEXT(A331,"yyyymm")&amp;"-"&amp;TEXT(VLOOKUP(D331,Map_Table,2,FALSE()),"0")</f>
        <v>E202502-6102</v>
      </c>
    </row>
    <row r="332" customFormat="false" ht="15" hidden="false" customHeight="false" outlineLevel="0" collapsed="false">
      <c r="A332" s="101" t="n">
        <v>45716</v>
      </c>
      <c r="B332" s="102" t="n">
        <f aca="false">YEAR(A332)</f>
        <v>2025</v>
      </c>
      <c r="C332" s="102" t="n">
        <f aca="false">MONTH(A332)</f>
        <v>2</v>
      </c>
      <c r="D332" s="100" t="s">
        <v>299</v>
      </c>
      <c r="E332" s="68" t="str">
        <f aca="false">VLOOKUP(D332,Map_Table,3,FALSE())</f>
        <v>Selling &amp; Distribution</v>
      </c>
      <c r="F332" s="68" t="str">
        <f aca="false">VLOOKUP(D332,Map_Table,4,FALSE())</f>
        <v>Variable</v>
      </c>
      <c r="G332" s="96" t="n">
        <v>1670</v>
      </c>
      <c r="H332" s="68" t="str">
        <f aca="false">"E"&amp;TEXT(A332,"yyyymm")&amp;"-"&amp;TEXT(VLOOKUP(D332,Map_Table,2,FALSE()),"0")</f>
        <v>E202502-6103</v>
      </c>
    </row>
    <row r="333" customFormat="false" ht="15" hidden="false" customHeight="false" outlineLevel="0" collapsed="false">
      <c r="A333" s="101" t="n">
        <v>45716</v>
      </c>
      <c r="B333" s="102" t="n">
        <f aca="false">YEAR(A333)</f>
        <v>2025</v>
      </c>
      <c r="C333" s="102" t="n">
        <f aca="false">MONTH(A333)</f>
        <v>2</v>
      </c>
      <c r="D333" s="100" t="s">
        <v>300</v>
      </c>
      <c r="E333" s="68" t="str">
        <f aca="false">VLOOKUP(D333,Map_Table,3,FALSE())</f>
        <v>Selling &amp; Distribution</v>
      </c>
      <c r="F333" s="68" t="str">
        <f aca="false">VLOOKUP(D333,Map_Table,4,FALSE())</f>
        <v>Fixed</v>
      </c>
      <c r="G333" s="96" t="n">
        <v>2121</v>
      </c>
      <c r="H333" s="68" t="str">
        <f aca="false">"E"&amp;TEXT(A333,"yyyymm")&amp;"-"&amp;TEXT(VLOOKUP(D333,Map_Table,2,FALSE()),"0")</f>
        <v>E202502-6104</v>
      </c>
    </row>
    <row r="334" customFormat="false" ht="15" hidden="false" customHeight="false" outlineLevel="0" collapsed="false">
      <c r="A334" s="101" t="n">
        <v>45716</v>
      </c>
      <c r="B334" s="102" t="n">
        <f aca="false">YEAR(A334)</f>
        <v>2025</v>
      </c>
      <c r="C334" s="102" t="n">
        <f aca="false">MONTH(A334)</f>
        <v>2</v>
      </c>
      <c r="D334" s="100" t="s">
        <v>301</v>
      </c>
      <c r="E334" s="68" t="str">
        <f aca="false">VLOOKUP(D334,Map_Table,3,FALSE())</f>
        <v>Selling &amp; Distribution</v>
      </c>
      <c r="F334" s="68" t="str">
        <f aca="false">VLOOKUP(D334,Map_Table,4,FALSE())</f>
        <v>Fixed</v>
      </c>
      <c r="G334" s="96" t="n">
        <v>2705</v>
      </c>
      <c r="H334" s="68" t="str">
        <f aca="false">"E"&amp;TEXT(A334,"yyyymm")&amp;"-"&amp;TEXT(VLOOKUP(D334,Map_Table,2,FALSE()),"0")</f>
        <v>E202502-6105</v>
      </c>
    </row>
    <row r="335" customFormat="false" ht="15" hidden="false" customHeight="false" outlineLevel="0" collapsed="false">
      <c r="A335" s="101" t="n">
        <v>45716</v>
      </c>
      <c r="B335" s="102" t="n">
        <f aca="false">YEAR(A335)</f>
        <v>2025</v>
      </c>
      <c r="C335" s="102" t="n">
        <f aca="false">MONTH(A335)</f>
        <v>2</v>
      </c>
      <c r="D335" s="100" t="s">
        <v>302</v>
      </c>
      <c r="E335" s="68" t="str">
        <f aca="false">VLOOKUP(D335,Map_Table,3,FALSE())</f>
        <v>General &amp; Administrative</v>
      </c>
      <c r="F335" s="68" t="str">
        <f aca="false">VLOOKUP(D335,Map_Table,4,FALSE())</f>
        <v>Fixed</v>
      </c>
      <c r="G335" s="96" t="n">
        <v>2531</v>
      </c>
      <c r="H335" s="68" t="str">
        <f aca="false">"E"&amp;TEXT(A335,"yyyymm")&amp;"-"&amp;TEXT(VLOOKUP(D335,Map_Table,2,FALSE()),"0")</f>
        <v>E202502-6201</v>
      </c>
    </row>
    <row r="336" customFormat="false" ht="15" hidden="false" customHeight="false" outlineLevel="0" collapsed="false">
      <c r="A336" s="101" t="n">
        <v>45716</v>
      </c>
      <c r="B336" s="102" t="n">
        <f aca="false">YEAR(A336)</f>
        <v>2025</v>
      </c>
      <c r="C336" s="102" t="n">
        <f aca="false">MONTH(A336)</f>
        <v>2</v>
      </c>
      <c r="D336" s="100" t="s">
        <v>303</v>
      </c>
      <c r="E336" s="68" t="str">
        <f aca="false">VLOOKUP(D336,Map_Table,3,FALSE())</f>
        <v>General &amp; Administrative</v>
      </c>
      <c r="F336" s="68" t="str">
        <f aca="false">VLOOKUP(D336,Map_Table,4,FALSE())</f>
        <v>Fixed</v>
      </c>
      <c r="G336" s="96" t="n">
        <v>674</v>
      </c>
      <c r="H336" s="68" t="str">
        <f aca="false">"E"&amp;TEXT(A336,"yyyymm")&amp;"-"&amp;TEXT(VLOOKUP(D336,Map_Table,2,FALSE()),"0")</f>
        <v>E202502-6202</v>
      </c>
    </row>
    <row r="337" customFormat="false" ht="15" hidden="false" customHeight="false" outlineLevel="0" collapsed="false">
      <c r="A337" s="101" t="n">
        <v>45716</v>
      </c>
      <c r="B337" s="102" t="n">
        <f aca="false">YEAR(A337)</f>
        <v>2025</v>
      </c>
      <c r="C337" s="102" t="n">
        <f aca="false">MONTH(A337)</f>
        <v>2</v>
      </c>
      <c r="D337" s="100" t="s">
        <v>304</v>
      </c>
      <c r="E337" s="68" t="str">
        <f aca="false">VLOOKUP(D337,Map_Table,3,FALSE())</f>
        <v>General &amp; Administrative</v>
      </c>
      <c r="F337" s="68" t="str">
        <f aca="false">VLOOKUP(D337,Map_Table,4,FALSE())</f>
        <v>Fixed</v>
      </c>
      <c r="G337" s="96" t="n">
        <v>325</v>
      </c>
      <c r="H337" s="68" t="str">
        <f aca="false">"E"&amp;TEXT(A337,"yyyymm")&amp;"-"&amp;TEXT(VLOOKUP(D337,Map_Table,2,FALSE()),"0")</f>
        <v>E202502-6203</v>
      </c>
    </row>
    <row r="338" customFormat="false" ht="15" hidden="false" customHeight="false" outlineLevel="0" collapsed="false">
      <c r="A338" s="101" t="n">
        <v>45716</v>
      </c>
      <c r="B338" s="102" t="n">
        <f aca="false">YEAR(A338)</f>
        <v>2025</v>
      </c>
      <c r="C338" s="102" t="n">
        <f aca="false">MONTH(A338)</f>
        <v>2</v>
      </c>
      <c r="D338" s="100" t="s">
        <v>305</v>
      </c>
      <c r="E338" s="68" t="str">
        <f aca="false">VLOOKUP(D338,Map_Table,3,FALSE())</f>
        <v>General &amp; Administrative</v>
      </c>
      <c r="F338" s="68" t="str">
        <f aca="false">VLOOKUP(D338,Map_Table,4,FALSE())</f>
        <v>Fixed</v>
      </c>
      <c r="G338" s="96" t="n">
        <v>580</v>
      </c>
      <c r="H338" s="68" t="str">
        <f aca="false">"E"&amp;TEXT(A338,"yyyymm")&amp;"-"&amp;TEXT(VLOOKUP(D338,Map_Table,2,FALSE()),"0")</f>
        <v>E202502-6204</v>
      </c>
    </row>
    <row r="339" customFormat="false" ht="15" hidden="false" customHeight="false" outlineLevel="0" collapsed="false">
      <c r="A339" s="101" t="n">
        <v>45716</v>
      </c>
      <c r="B339" s="102" t="n">
        <f aca="false">YEAR(A339)</f>
        <v>2025</v>
      </c>
      <c r="C339" s="102" t="n">
        <f aca="false">MONTH(A339)</f>
        <v>2</v>
      </c>
      <c r="D339" s="100" t="s">
        <v>306</v>
      </c>
      <c r="E339" s="68" t="str">
        <f aca="false">VLOOKUP(D339,Map_Table,3,FALSE())</f>
        <v>General &amp; Administrative</v>
      </c>
      <c r="F339" s="68" t="str">
        <f aca="false">VLOOKUP(D339,Map_Table,4,FALSE())</f>
        <v>Fixed</v>
      </c>
      <c r="G339" s="96" t="n">
        <v>243</v>
      </c>
      <c r="H339" s="68" t="str">
        <f aca="false">"E"&amp;TEXT(A339,"yyyymm")&amp;"-"&amp;TEXT(VLOOKUP(D339,Map_Table,2,FALSE()),"0")</f>
        <v>E202502-6205</v>
      </c>
    </row>
    <row r="340" customFormat="false" ht="15" hidden="false" customHeight="false" outlineLevel="0" collapsed="false">
      <c r="A340" s="101" t="n">
        <v>45716</v>
      </c>
      <c r="B340" s="102" t="n">
        <f aca="false">YEAR(A340)</f>
        <v>2025</v>
      </c>
      <c r="C340" s="102" t="n">
        <f aca="false">MONTH(A340)</f>
        <v>2</v>
      </c>
      <c r="D340" s="100" t="s">
        <v>307</v>
      </c>
      <c r="E340" s="68" t="str">
        <f aca="false">VLOOKUP(D340,Map_Table,3,FALSE())</f>
        <v>General &amp; Administrative</v>
      </c>
      <c r="F340" s="68" t="str">
        <f aca="false">VLOOKUP(D340,Map_Table,4,FALSE())</f>
        <v>Fixed</v>
      </c>
      <c r="G340" s="96" t="n">
        <v>461</v>
      </c>
      <c r="H340" s="68" t="str">
        <f aca="false">"E"&amp;TEXT(A340,"yyyymm")&amp;"-"&amp;TEXT(VLOOKUP(D340,Map_Table,2,FALSE()),"0")</f>
        <v>E202502-6206</v>
      </c>
    </row>
    <row r="341" customFormat="false" ht="15" hidden="false" customHeight="false" outlineLevel="0" collapsed="false">
      <c r="A341" s="101" t="n">
        <v>45716</v>
      </c>
      <c r="B341" s="102" t="n">
        <f aca="false">YEAR(A341)</f>
        <v>2025</v>
      </c>
      <c r="C341" s="102" t="n">
        <f aca="false">MONTH(A341)</f>
        <v>2</v>
      </c>
      <c r="D341" s="100" t="s">
        <v>308</v>
      </c>
      <c r="E341" s="68" t="str">
        <f aca="false">VLOOKUP(D341,Map_Table,3,FALSE())</f>
        <v>General &amp; Administrative</v>
      </c>
      <c r="F341" s="68" t="str">
        <f aca="false">VLOOKUP(D341,Map_Table,4,FALSE())</f>
        <v>Fixed</v>
      </c>
      <c r="G341" s="96" t="n">
        <v>374</v>
      </c>
      <c r="H341" s="68" t="str">
        <f aca="false">"E"&amp;TEXT(A341,"yyyymm")&amp;"-"&amp;TEXT(VLOOKUP(D341,Map_Table,2,FALSE()),"0")</f>
        <v>E202502-6207</v>
      </c>
    </row>
    <row r="342" customFormat="false" ht="15" hidden="false" customHeight="false" outlineLevel="0" collapsed="false">
      <c r="A342" s="101" t="n">
        <v>45716</v>
      </c>
      <c r="B342" s="102" t="n">
        <f aca="false">YEAR(A342)</f>
        <v>2025</v>
      </c>
      <c r="C342" s="102" t="n">
        <f aca="false">MONTH(A342)</f>
        <v>2</v>
      </c>
      <c r="D342" s="100" t="s">
        <v>309</v>
      </c>
      <c r="E342" s="68" t="str">
        <f aca="false">VLOOKUP(D342,Map_Table,3,FALSE())</f>
        <v>General &amp; Administrative</v>
      </c>
      <c r="F342" s="68" t="str">
        <f aca="false">VLOOKUP(D342,Map_Table,4,FALSE())</f>
        <v>Variable</v>
      </c>
      <c r="G342" s="96" t="n">
        <v>105</v>
      </c>
      <c r="H342" s="68" t="str">
        <f aca="false">"E"&amp;TEXT(A342,"yyyymm")&amp;"-"&amp;TEXT(VLOOKUP(D342,Map_Table,2,FALSE()),"0")</f>
        <v>E202502-6208</v>
      </c>
    </row>
    <row r="343" customFormat="false" ht="15" hidden="false" customHeight="false" outlineLevel="0" collapsed="false">
      <c r="A343" s="101" t="n">
        <v>45747</v>
      </c>
      <c r="B343" s="102" t="n">
        <f aca="false">YEAR(A343)</f>
        <v>2025</v>
      </c>
      <c r="C343" s="102" t="n">
        <f aca="false">MONTH(A343)</f>
        <v>3</v>
      </c>
      <c r="D343" s="100" t="s">
        <v>297</v>
      </c>
      <c r="E343" s="68" t="str">
        <f aca="false">VLOOKUP(D343,Map_Table,3,FALSE())</f>
        <v>Selling &amp; Distribution</v>
      </c>
      <c r="F343" s="68" t="str">
        <f aca="false">VLOOKUP(D343,Map_Table,4,FALSE())</f>
        <v>Variable</v>
      </c>
      <c r="G343" s="96" t="n">
        <v>1270</v>
      </c>
      <c r="H343" s="68" t="str">
        <f aca="false">"E"&amp;TEXT(A343,"yyyymm")&amp;"-"&amp;TEXT(VLOOKUP(D343,Map_Table,2,FALSE()),"0")</f>
        <v>E202503-6101</v>
      </c>
    </row>
    <row r="344" customFormat="false" ht="15" hidden="false" customHeight="false" outlineLevel="0" collapsed="false">
      <c r="A344" s="101" t="n">
        <v>45747</v>
      </c>
      <c r="B344" s="102" t="n">
        <f aca="false">YEAR(A344)</f>
        <v>2025</v>
      </c>
      <c r="C344" s="102" t="n">
        <f aca="false">MONTH(A344)</f>
        <v>3</v>
      </c>
      <c r="D344" s="100" t="s">
        <v>298</v>
      </c>
      <c r="E344" s="68" t="str">
        <f aca="false">VLOOKUP(D344,Map_Table,3,FALSE())</f>
        <v>Selling &amp; Distribution</v>
      </c>
      <c r="F344" s="68" t="str">
        <f aca="false">VLOOKUP(D344,Map_Table,4,FALSE())</f>
        <v>Variable</v>
      </c>
      <c r="G344" s="96" t="n">
        <v>703</v>
      </c>
      <c r="H344" s="68" t="str">
        <f aca="false">"E"&amp;TEXT(A344,"yyyymm")&amp;"-"&amp;TEXT(VLOOKUP(D344,Map_Table,2,FALSE()),"0")</f>
        <v>E202503-6102</v>
      </c>
    </row>
    <row r="345" customFormat="false" ht="15" hidden="false" customHeight="false" outlineLevel="0" collapsed="false">
      <c r="A345" s="101" t="n">
        <v>45747</v>
      </c>
      <c r="B345" s="102" t="n">
        <f aca="false">YEAR(A345)</f>
        <v>2025</v>
      </c>
      <c r="C345" s="102" t="n">
        <f aca="false">MONTH(A345)</f>
        <v>3</v>
      </c>
      <c r="D345" s="100" t="s">
        <v>299</v>
      </c>
      <c r="E345" s="68" t="str">
        <f aca="false">VLOOKUP(D345,Map_Table,3,FALSE())</f>
        <v>Selling &amp; Distribution</v>
      </c>
      <c r="F345" s="68" t="str">
        <f aca="false">VLOOKUP(D345,Map_Table,4,FALSE())</f>
        <v>Variable</v>
      </c>
      <c r="G345" s="96" t="n">
        <v>1865</v>
      </c>
      <c r="H345" s="68" t="str">
        <f aca="false">"E"&amp;TEXT(A345,"yyyymm")&amp;"-"&amp;TEXT(VLOOKUP(D345,Map_Table,2,FALSE()),"0")</f>
        <v>E202503-6103</v>
      </c>
    </row>
    <row r="346" customFormat="false" ht="15" hidden="false" customHeight="false" outlineLevel="0" collapsed="false">
      <c r="A346" s="101" t="n">
        <v>45747</v>
      </c>
      <c r="B346" s="102" t="n">
        <f aca="false">YEAR(A346)</f>
        <v>2025</v>
      </c>
      <c r="C346" s="102" t="n">
        <f aca="false">MONTH(A346)</f>
        <v>3</v>
      </c>
      <c r="D346" s="100" t="s">
        <v>300</v>
      </c>
      <c r="E346" s="68" t="str">
        <f aca="false">VLOOKUP(D346,Map_Table,3,FALSE())</f>
        <v>Selling &amp; Distribution</v>
      </c>
      <c r="F346" s="68" t="str">
        <f aca="false">VLOOKUP(D346,Map_Table,4,FALSE())</f>
        <v>Fixed</v>
      </c>
      <c r="G346" s="96" t="n">
        <v>2096</v>
      </c>
      <c r="H346" s="68" t="str">
        <f aca="false">"E"&amp;TEXT(A346,"yyyymm")&amp;"-"&amp;TEXT(VLOOKUP(D346,Map_Table,2,FALSE()),"0")</f>
        <v>E202503-6104</v>
      </c>
    </row>
    <row r="347" customFormat="false" ht="15" hidden="false" customHeight="false" outlineLevel="0" collapsed="false">
      <c r="A347" s="101" t="n">
        <v>45747</v>
      </c>
      <c r="B347" s="102" t="n">
        <f aca="false">YEAR(A347)</f>
        <v>2025</v>
      </c>
      <c r="C347" s="102" t="n">
        <f aca="false">MONTH(A347)</f>
        <v>3</v>
      </c>
      <c r="D347" s="100" t="s">
        <v>301</v>
      </c>
      <c r="E347" s="68" t="str">
        <f aca="false">VLOOKUP(D347,Map_Table,3,FALSE())</f>
        <v>Selling &amp; Distribution</v>
      </c>
      <c r="F347" s="68" t="str">
        <f aca="false">VLOOKUP(D347,Map_Table,4,FALSE())</f>
        <v>Fixed</v>
      </c>
      <c r="G347" s="96" t="n">
        <v>2758</v>
      </c>
      <c r="H347" s="68" t="str">
        <f aca="false">"E"&amp;TEXT(A347,"yyyymm")&amp;"-"&amp;TEXT(VLOOKUP(D347,Map_Table,2,FALSE()),"0")</f>
        <v>E202503-6105</v>
      </c>
    </row>
    <row r="348" customFormat="false" ht="15" hidden="false" customHeight="false" outlineLevel="0" collapsed="false">
      <c r="A348" s="101" t="n">
        <v>45747</v>
      </c>
      <c r="B348" s="102" t="n">
        <f aca="false">YEAR(A348)</f>
        <v>2025</v>
      </c>
      <c r="C348" s="102" t="n">
        <f aca="false">MONTH(A348)</f>
        <v>3</v>
      </c>
      <c r="D348" s="100" t="s">
        <v>302</v>
      </c>
      <c r="E348" s="68" t="str">
        <f aca="false">VLOOKUP(D348,Map_Table,3,FALSE())</f>
        <v>General &amp; Administrative</v>
      </c>
      <c r="F348" s="68" t="str">
        <f aca="false">VLOOKUP(D348,Map_Table,4,FALSE())</f>
        <v>Fixed</v>
      </c>
      <c r="G348" s="96" t="n">
        <v>2474</v>
      </c>
      <c r="H348" s="68" t="str">
        <f aca="false">"E"&amp;TEXT(A348,"yyyymm")&amp;"-"&amp;TEXT(VLOOKUP(D348,Map_Table,2,FALSE()),"0")</f>
        <v>E202503-6201</v>
      </c>
    </row>
    <row r="349" customFormat="false" ht="15" hidden="false" customHeight="false" outlineLevel="0" collapsed="false">
      <c r="A349" s="101" t="n">
        <v>45747</v>
      </c>
      <c r="B349" s="102" t="n">
        <f aca="false">YEAR(A349)</f>
        <v>2025</v>
      </c>
      <c r="C349" s="102" t="n">
        <f aca="false">MONTH(A349)</f>
        <v>3</v>
      </c>
      <c r="D349" s="100" t="s">
        <v>303</v>
      </c>
      <c r="E349" s="68" t="str">
        <f aca="false">VLOOKUP(D349,Map_Table,3,FALSE())</f>
        <v>General &amp; Administrative</v>
      </c>
      <c r="F349" s="68" t="str">
        <f aca="false">VLOOKUP(D349,Map_Table,4,FALSE())</f>
        <v>Fixed</v>
      </c>
      <c r="G349" s="96" t="n">
        <v>683</v>
      </c>
      <c r="H349" s="68" t="str">
        <f aca="false">"E"&amp;TEXT(A349,"yyyymm")&amp;"-"&amp;TEXT(VLOOKUP(D349,Map_Table,2,FALSE()),"0")</f>
        <v>E202503-6202</v>
      </c>
    </row>
    <row r="350" customFormat="false" ht="15" hidden="false" customHeight="false" outlineLevel="0" collapsed="false">
      <c r="A350" s="101" t="n">
        <v>45747</v>
      </c>
      <c r="B350" s="102" t="n">
        <f aca="false">YEAR(A350)</f>
        <v>2025</v>
      </c>
      <c r="C350" s="102" t="n">
        <f aca="false">MONTH(A350)</f>
        <v>3</v>
      </c>
      <c r="D350" s="100" t="s">
        <v>304</v>
      </c>
      <c r="E350" s="68" t="str">
        <f aca="false">VLOOKUP(D350,Map_Table,3,FALSE())</f>
        <v>General &amp; Administrative</v>
      </c>
      <c r="F350" s="68" t="str">
        <f aca="false">VLOOKUP(D350,Map_Table,4,FALSE())</f>
        <v>Fixed</v>
      </c>
      <c r="G350" s="96" t="n">
        <v>867</v>
      </c>
      <c r="H350" s="68" t="str">
        <f aca="false">"E"&amp;TEXT(A350,"yyyymm")&amp;"-"&amp;TEXT(VLOOKUP(D350,Map_Table,2,FALSE()),"0")</f>
        <v>E202503-6203</v>
      </c>
    </row>
    <row r="351" customFormat="false" ht="15" hidden="false" customHeight="false" outlineLevel="0" collapsed="false">
      <c r="A351" s="101" t="n">
        <v>45747</v>
      </c>
      <c r="B351" s="102" t="n">
        <f aca="false">YEAR(A351)</f>
        <v>2025</v>
      </c>
      <c r="C351" s="102" t="n">
        <f aca="false">MONTH(A351)</f>
        <v>3</v>
      </c>
      <c r="D351" s="100" t="s">
        <v>305</v>
      </c>
      <c r="E351" s="68" t="str">
        <f aca="false">VLOOKUP(D351,Map_Table,3,FALSE())</f>
        <v>General &amp; Administrative</v>
      </c>
      <c r="F351" s="68" t="str">
        <f aca="false">VLOOKUP(D351,Map_Table,4,FALSE())</f>
        <v>Fixed</v>
      </c>
      <c r="G351" s="96" t="n">
        <v>563</v>
      </c>
      <c r="H351" s="68" t="str">
        <f aca="false">"E"&amp;TEXT(A351,"yyyymm")&amp;"-"&amp;TEXT(VLOOKUP(D351,Map_Table,2,FALSE()),"0")</f>
        <v>E202503-6204</v>
      </c>
    </row>
    <row r="352" customFormat="false" ht="15" hidden="false" customHeight="false" outlineLevel="0" collapsed="false">
      <c r="A352" s="101" t="n">
        <v>45747</v>
      </c>
      <c r="B352" s="102" t="n">
        <f aca="false">YEAR(A352)</f>
        <v>2025</v>
      </c>
      <c r="C352" s="102" t="n">
        <f aca="false">MONTH(A352)</f>
        <v>3</v>
      </c>
      <c r="D352" s="100" t="s">
        <v>306</v>
      </c>
      <c r="E352" s="68" t="str">
        <f aca="false">VLOOKUP(D352,Map_Table,3,FALSE())</f>
        <v>General &amp; Administrative</v>
      </c>
      <c r="F352" s="68" t="str">
        <f aca="false">VLOOKUP(D352,Map_Table,4,FALSE())</f>
        <v>Fixed</v>
      </c>
      <c r="G352" s="96" t="n">
        <v>237</v>
      </c>
      <c r="H352" s="68" t="str">
        <f aca="false">"E"&amp;TEXT(A352,"yyyymm")&amp;"-"&amp;TEXT(VLOOKUP(D352,Map_Table,2,FALSE()),"0")</f>
        <v>E202503-6205</v>
      </c>
    </row>
    <row r="353" customFormat="false" ht="15" hidden="false" customHeight="false" outlineLevel="0" collapsed="false">
      <c r="A353" s="101" t="n">
        <v>45747</v>
      </c>
      <c r="B353" s="102" t="n">
        <f aca="false">YEAR(A353)</f>
        <v>2025</v>
      </c>
      <c r="C353" s="102" t="n">
        <f aca="false">MONTH(A353)</f>
        <v>3</v>
      </c>
      <c r="D353" s="100" t="s">
        <v>307</v>
      </c>
      <c r="E353" s="68" t="str">
        <f aca="false">VLOOKUP(D353,Map_Table,3,FALSE())</f>
        <v>General &amp; Administrative</v>
      </c>
      <c r="F353" s="68" t="str">
        <f aca="false">VLOOKUP(D353,Map_Table,4,FALSE())</f>
        <v>Fixed</v>
      </c>
      <c r="G353" s="96" t="n">
        <v>460</v>
      </c>
      <c r="H353" s="68" t="str">
        <f aca="false">"E"&amp;TEXT(A353,"yyyymm")&amp;"-"&amp;TEXT(VLOOKUP(D353,Map_Table,2,FALSE()),"0")</f>
        <v>E202503-6206</v>
      </c>
    </row>
    <row r="354" customFormat="false" ht="15" hidden="false" customHeight="false" outlineLevel="0" collapsed="false">
      <c r="A354" s="101" t="n">
        <v>45747</v>
      </c>
      <c r="B354" s="102" t="n">
        <f aca="false">YEAR(A354)</f>
        <v>2025</v>
      </c>
      <c r="C354" s="102" t="n">
        <f aca="false">MONTH(A354)</f>
        <v>3</v>
      </c>
      <c r="D354" s="100" t="s">
        <v>308</v>
      </c>
      <c r="E354" s="68" t="str">
        <f aca="false">VLOOKUP(D354,Map_Table,3,FALSE())</f>
        <v>General &amp; Administrative</v>
      </c>
      <c r="F354" s="68" t="str">
        <f aca="false">VLOOKUP(D354,Map_Table,4,FALSE())</f>
        <v>Fixed</v>
      </c>
      <c r="G354" s="96" t="n">
        <v>377</v>
      </c>
      <c r="H354" s="68" t="str">
        <f aca="false">"E"&amp;TEXT(A354,"yyyymm")&amp;"-"&amp;TEXT(VLOOKUP(D354,Map_Table,2,FALSE()),"0")</f>
        <v>E202503-6207</v>
      </c>
    </row>
    <row r="355" customFormat="false" ht="15" hidden="false" customHeight="false" outlineLevel="0" collapsed="false">
      <c r="A355" s="101" t="n">
        <v>45747</v>
      </c>
      <c r="B355" s="102" t="n">
        <f aca="false">YEAR(A355)</f>
        <v>2025</v>
      </c>
      <c r="C355" s="102" t="n">
        <f aca="false">MONTH(A355)</f>
        <v>3</v>
      </c>
      <c r="D355" s="100" t="s">
        <v>309</v>
      </c>
      <c r="E355" s="68" t="str">
        <f aca="false">VLOOKUP(D355,Map_Table,3,FALSE())</f>
        <v>General &amp; Administrative</v>
      </c>
      <c r="F355" s="68" t="str">
        <f aca="false">VLOOKUP(D355,Map_Table,4,FALSE())</f>
        <v>Variable</v>
      </c>
      <c r="G355" s="96" t="n">
        <v>117</v>
      </c>
      <c r="H355" s="68" t="str">
        <f aca="false">"E"&amp;TEXT(A355,"yyyymm")&amp;"-"&amp;TEXT(VLOOKUP(D355,Map_Table,2,FALSE()),"0")</f>
        <v>E202503-6208</v>
      </c>
    </row>
    <row r="356" customFormat="false" ht="15" hidden="false" customHeight="false" outlineLevel="0" collapsed="false">
      <c r="A356" s="101" t="n">
        <v>45777</v>
      </c>
      <c r="B356" s="102" t="n">
        <f aca="false">YEAR(A356)</f>
        <v>2025</v>
      </c>
      <c r="C356" s="102" t="n">
        <f aca="false">MONTH(A356)</f>
        <v>4</v>
      </c>
      <c r="D356" s="100" t="s">
        <v>297</v>
      </c>
      <c r="E356" s="68" t="str">
        <f aca="false">VLOOKUP(D356,Map_Table,3,FALSE())</f>
        <v>Selling &amp; Distribution</v>
      </c>
      <c r="F356" s="68" t="str">
        <f aca="false">VLOOKUP(D356,Map_Table,4,FALSE())</f>
        <v>Variable</v>
      </c>
      <c r="G356" s="96" t="n">
        <v>1284</v>
      </c>
      <c r="H356" s="68" t="str">
        <f aca="false">"E"&amp;TEXT(A356,"yyyymm")&amp;"-"&amp;TEXT(VLOOKUP(D356,Map_Table,2,FALSE()),"0")</f>
        <v>E202504-6101</v>
      </c>
    </row>
    <row r="357" customFormat="false" ht="15" hidden="false" customHeight="false" outlineLevel="0" collapsed="false">
      <c r="A357" s="101" t="n">
        <v>45777</v>
      </c>
      <c r="B357" s="102" t="n">
        <f aca="false">YEAR(A357)</f>
        <v>2025</v>
      </c>
      <c r="C357" s="102" t="n">
        <f aca="false">MONTH(A357)</f>
        <v>4</v>
      </c>
      <c r="D357" s="100" t="s">
        <v>298</v>
      </c>
      <c r="E357" s="68" t="str">
        <f aca="false">VLOOKUP(D357,Map_Table,3,FALSE())</f>
        <v>Selling &amp; Distribution</v>
      </c>
      <c r="F357" s="68" t="str">
        <f aca="false">VLOOKUP(D357,Map_Table,4,FALSE())</f>
        <v>Variable</v>
      </c>
      <c r="G357" s="96" t="n">
        <v>717</v>
      </c>
      <c r="H357" s="68" t="str">
        <f aca="false">"E"&amp;TEXT(A357,"yyyymm")&amp;"-"&amp;TEXT(VLOOKUP(D357,Map_Table,2,FALSE()),"0")</f>
        <v>E202504-6102</v>
      </c>
    </row>
    <row r="358" customFormat="false" ht="15" hidden="false" customHeight="false" outlineLevel="0" collapsed="false">
      <c r="A358" s="101" t="n">
        <v>45777</v>
      </c>
      <c r="B358" s="102" t="n">
        <f aca="false">YEAR(A358)</f>
        <v>2025</v>
      </c>
      <c r="C358" s="102" t="n">
        <f aca="false">MONTH(A358)</f>
        <v>4</v>
      </c>
      <c r="D358" s="100" t="s">
        <v>299</v>
      </c>
      <c r="E358" s="68" t="str">
        <f aca="false">VLOOKUP(D358,Map_Table,3,FALSE())</f>
        <v>Selling &amp; Distribution</v>
      </c>
      <c r="F358" s="68" t="str">
        <f aca="false">VLOOKUP(D358,Map_Table,4,FALSE())</f>
        <v>Variable</v>
      </c>
      <c r="G358" s="96" t="n">
        <v>1941</v>
      </c>
      <c r="H358" s="68" t="str">
        <f aca="false">"E"&amp;TEXT(A358,"yyyymm")&amp;"-"&amp;TEXT(VLOOKUP(D358,Map_Table,2,FALSE()),"0")</f>
        <v>E202504-6103</v>
      </c>
    </row>
    <row r="359" customFormat="false" ht="15" hidden="false" customHeight="false" outlineLevel="0" collapsed="false">
      <c r="A359" s="101" t="n">
        <v>45777</v>
      </c>
      <c r="B359" s="102" t="n">
        <f aca="false">YEAR(A359)</f>
        <v>2025</v>
      </c>
      <c r="C359" s="102" t="n">
        <f aca="false">MONTH(A359)</f>
        <v>4</v>
      </c>
      <c r="D359" s="100" t="s">
        <v>300</v>
      </c>
      <c r="E359" s="68" t="str">
        <f aca="false">VLOOKUP(D359,Map_Table,3,FALSE())</f>
        <v>Selling &amp; Distribution</v>
      </c>
      <c r="F359" s="68" t="str">
        <f aca="false">VLOOKUP(D359,Map_Table,4,FALSE())</f>
        <v>Fixed</v>
      </c>
      <c r="G359" s="96" t="n">
        <v>2104</v>
      </c>
      <c r="H359" s="68" t="str">
        <f aca="false">"E"&amp;TEXT(A359,"yyyymm")&amp;"-"&amp;TEXT(VLOOKUP(D359,Map_Table,2,FALSE()),"0")</f>
        <v>E202504-6104</v>
      </c>
    </row>
    <row r="360" customFormat="false" ht="15" hidden="false" customHeight="false" outlineLevel="0" collapsed="false">
      <c r="A360" s="101" t="n">
        <v>45777</v>
      </c>
      <c r="B360" s="102" t="n">
        <f aca="false">YEAR(A360)</f>
        <v>2025</v>
      </c>
      <c r="C360" s="102" t="n">
        <f aca="false">MONTH(A360)</f>
        <v>4</v>
      </c>
      <c r="D360" s="100" t="s">
        <v>301</v>
      </c>
      <c r="E360" s="68" t="str">
        <f aca="false">VLOOKUP(D360,Map_Table,3,FALSE())</f>
        <v>Selling &amp; Distribution</v>
      </c>
      <c r="F360" s="68" t="str">
        <f aca="false">VLOOKUP(D360,Map_Table,4,FALSE())</f>
        <v>Fixed</v>
      </c>
      <c r="G360" s="96" t="n">
        <v>2730</v>
      </c>
      <c r="H360" s="68" t="str">
        <f aca="false">"E"&amp;TEXT(A360,"yyyymm")&amp;"-"&amp;TEXT(VLOOKUP(D360,Map_Table,2,FALSE()),"0")</f>
        <v>E202504-6105</v>
      </c>
    </row>
    <row r="361" customFormat="false" ht="15" hidden="false" customHeight="false" outlineLevel="0" collapsed="false">
      <c r="A361" s="101" t="n">
        <v>45777</v>
      </c>
      <c r="B361" s="102" t="n">
        <f aca="false">YEAR(A361)</f>
        <v>2025</v>
      </c>
      <c r="C361" s="102" t="n">
        <f aca="false">MONTH(A361)</f>
        <v>4</v>
      </c>
      <c r="D361" s="100" t="s">
        <v>302</v>
      </c>
      <c r="E361" s="68" t="str">
        <f aca="false">VLOOKUP(D361,Map_Table,3,FALSE())</f>
        <v>General &amp; Administrative</v>
      </c>
      <c r="F361" s="68" t="str">
        <f aca="false">VLOOKUP(D361,Map_Table,4,FALSE())</f>
        <v>Fixed</v>
      </c>
      <c r="G361" s="96" t="n">
        <v>2562</v>
      </c>
      <c r="H361" s="68" t="str">
        <f aca="false">"E"&amp;TEXT(A361,"yyyymm")&amp;"-"&amp;TEXT(VLOOKUP(D361,Map_Table,2,FALSE()),"0")</f>
        <v>E202504-6201</v>
      </c>
    </row>
    <row r="362" customFormat="false" ht="15" hidden="false" customHeight="false" outlineLevel="0" collapsed="false">
      <c r="A362" s="101" t="n">
        <v>45777</v>
      </c>
      <c r="B362" s="102" t="n">
        <f aca="false">YEAR(A362)</f>
        <v>2025</v>
      </c>
      <c r="C362" s="102" t="n">
        <f aca="false">MONTH(A362)</f>
        <v>4</v>
      </c>
      <c r="D362" s="100" t="s">
        <v>303</v>
      </c>
      <c r="E362" s="68" t="str">
        <f aca="false">VLOOKUP(D362,Map_Table,3,FALSE())</f>
        <v>General &amp; Administrative</v>
      </c>
      <c r="F362" s="68" t="str">
        <f aca="false">VLOOKUP(D362,Map_Table,4,FALSE())</f>
        <v>Fixed</v>
      </c>
      <c r="G362" s="96" t="n">
        <v>667</v>
      </c>
      <c r="H362" s="68" t="str">
        <f aca="false">"E"&amp;TEXT(A362,"yyyymm")&amp;"-"&amp;TEXT(VLOOKUP(D362,Map_Table,2,FALSE()),"0")</f>
        <v>E202504-6202</v>
      </c>
    </row>
    <row r="363" customFormat="false" ht="15" hidden="false" customHeight="false" outlineLevel="0" collapsed="false">
      <c r="A363" s="101" t="n">
        <v>45777</v>
      </c>
      <c r="B363" s="102" t="n">
        <f aca="false">YEAR(A363)</f>
        <v>2025</v>
      </c>
      <c r="C363" s="102" t="n">
        <f aca="false">MONTH(A363)</f>
        <v>4</v>
      </c>
      <c r="D363" s="100" t="s">
        <v>304</v>
      </c>
      <c r="E363" s="68" t="str">
        <f aca="false">VLOOKUP(D363,Map_Table,3,FALSE())</f>
        <v>General &amp; Administrative</v>
      </c>
      <c r="F363" s="68" t="str">
        <f aca="false">VLOOKUP(D363,Map_Table,4,FALSE())</f>
        <v>Fixed</v>
      </c>
      <c r="G363" s="96" t="n">
        <v>330</v>
      </c>
      <c r="H363" s="68" t="str">
        <f aca="false">"E"&amp;TEXT(A363,"yyyymm")&amp;"-"&amp;TEXT(VLOOKUP(D363,Map_Table,2,FALSE()),"0")</f>
        <v>E202504-6203</v>
      </c>
    </row>
    <row r="364" customFormat="false" ht="15" hidden="false" customHeight="false" outlineLevel="0" collapsed="false">
      <c r="A364" s="101" t="n">
        <v>45777</v>
      </c>
      <c r="B364" s="102" t="n">
        <f aca="false">YEAR(A364)</f>
        <v>2025</v>
      </c>
      <c r="C364" s="102" t="n">
        <f aca="false">MONTH(A364)</f>
        <v>4</v>
      </c>
      <c r="D364" s="100" t="s">
        <v>305</v>
      </c>
      <c r="E364" s="68" t="str">
        <f aca="false">VLOOKUP(D364,Map_Table,3,FALSE())</f>
        <v>General &amp; Administrative</v>
      </c>
      <c r="F364" s="68" t="str">
        <f aca="false">VLOOKUP(D364,Map_Table,4,FALSE())</f>
        <v>Fixed</v>
      </c>
      <c r="G364" s="96" t="n">
        <v>569</v>
      </c>
      <c r="H364" s="68" t="str">
        <f aca="false">"E"&amp;TEXT(A364,"yyyymm")&amp;"-"&amp;TEXT(VLOOKUP(D364,Map_Table,2,FALSE()),"0")</f>
        <v>E202504-6204</v>
      </c>
    </row>
    <row r="365" customFormat="false" ht="15" hidden="false" customHeight="false" outlineLevel="0" collapsed="false">
      <c r="A365" s="101" t="n">
        <v>45777</v>
      </c>
      <c r="B365" s="102" t="n">
        <f aca="false">YEAR(A365)</f>
        <v>2025</v>
      </c>
      <c r="C365" s="102" t="n">
        <f aca="false">MONTH(A365)</f>
        <v>4</v>
      </c>
      <c r="D365" s="100" t="s">
        <v>306</v>
      </c>
      <c r="E365" s="68" t="str">
        <f aca="false">VLOOKUP(D365,Map_Table,3,FALSE())</f>
        <v>General &amp; Administrative</v>
      </c>
      <c r="F365" s="68" t="str">
        <f aca="false">VLOOKUP(D365,Map_Table,4,FALSE())</f>
        <v>Fixed</v>
      </c>
      <c r="G365" s="96" t="n">
        <v>232</v>
      </c>
      <c r="H365" s="68" t="str">
        <f aca="false">"E"&amp;TEXT(A365,"yyyymm")&amp;"-"&amp;TEXT(VLOOKUP(D365,Map_Table,2,FALSE()),"0")</f>
        <v>E202504-6205</v>
      </c>
    </row>
    <row r="366" customFormat="false" ht="15" hidden="false" customHeight="false" outlineLevel="0" collapsed="false">
      <c r="A366" s="101" t="n">
        <v>45777</v>
      </c>
      <c r="B366" s="102" t="n">
        <f aca="false">YEAR(A366)</f>
        <v>2025</v>
      </c>
      <c r="C366" s="102" t="n">
        <f aca="false">MONTH(A366)</f>
        <v>4</v>
      </c>
      <c r="D366" s="100" t="s">
        <v>307</v>
      </c>
      <c r="E366" s="68" t="str">
        <f aca="false">VLOOKUP(D366,Map_Table,3,FALSE())</f>
        <v>General &amp; Administrative</v>
      </c>
      <c r="F366" s="68" t="str">
        <f aca="false">VLOOKUP(D366,Map_Table,4,FALSE())</f>
        <v>Fixed</v>
      </c>
      <c r="G366" s="96" t="n">
        <v>453</v>
      </c>
      <c r="H366" s="68" t="str">
        <f aca="false">"E"&amp;TEXT(A366,"yyyymm")&amp;"-"&amp;TEXT(VLOOKUP(D366,Map_Table,2,FALSE()),"0")</f>
        <v>E202504-6206</v>
      </c>
    </row>
    <row r="367" customFormat="false" ht="15" hidden="false" customHeight="false" outlineLevel="0" collapsed="false">
      <c r="A367" s="101" t="n">
        <v>45777</v>
      </c>
      <c r="B367" s="102" t="n">
        <f aca="false">YEAR(A367)</f>
        <v>2025</v>
      </c>
      <c r="C367" s="102" t="n">
        <f aca="false">MONTH(A367)</f>
        <v>4</v>
      </c>
      <c r="D367" s="100" t="s">
        <v>308</v>
      </c>
      <c r="E367" s="68" t="str">
        <f aca="false">VLOOKUP(D367,Map_Table,3,FALSE())</f>
        <v>General &amp; Administrative</v>
      </c>
      <c r="F367" s="68" t="str">
        <f aca="false">VLOOKUP(D367,Map_Table,4,FALSE())</f>
        <v>Fixed</v>
      </c>
      <c r="G367" s="96" t="n">
        <v>378</v>
      </c>
      <c r="H367" s="68" t="str">
        <f aca="false">"E"&amp;TEXT(A367,"yyyymm")&amp;"-"&amp;TEXT(VLOOKUP(D367,Map_Table,2,FALSE()),"0")</f>
        <v>E202504-6207</v>
      </c>
    </row>
    <row r="368" customFormat="false" ht="15" hidden="false" customHeight="false" outlineLevel="0" collapsed="false">
      <c r="A368" s="101" t="n">
        <v>45777</v>
      </c>
      <c r="B368" s="102" t="n">
        <f aca="false">YEAR(A368)</f>
        <v>2025</v>
      </c>
      <c r="C368" s="102" t="n">
        <f aca="false">MONTH(A368)</f>
        <v>4</v>
      </c>
      <c r="D368" s="100" t="s">
        <v>309</v>
      </c>
      <c r="E368" s="68" t="str">
        <f aca="false">VLOOKUP(D368,Map_Table,3,FALSE())</f>
        <v>General &amp; Administrative</v>
      </c>
      <c r="F368" s="68" t="str">
        <f aca="false">VLOOKUP(D368,Map_Table,4,FALSE())</f>
        <v>Variable</v>
      </c>
      <c r="G368" s="96" t="n">
        <v>121</v>
      </c>
      <c r="H368" s="68" t="str">
        <f aca="false">"E"&amp;TEXT(A368,"yyyymm")&amp;"-"&amp;TEXT(VLOOKUP(D368,Map_Table,2,FALSE()),"0")</f>
        <v>E202504-6208</v>
      </c>
    </row>
    <row r="369" customFormat="false" ht="15" hidden="false" customHeight="false" outlineLevel="0" collapsed="false">
      <c r="A369" s="101" t="n">
        <v>45808</v>
      </c>
      <c r="B369" s="102" t="n">
        <f aca="false">YEAR(A369)</f>
        <v>2025</v>
      </c>
      <c r="C369" s="102" t="n">
        <f aca="false">MONTH(A369)</f>
        <v>5</v>
      </c>
      <c r="D369" s="100" t="s">
        <v>297</v>
      </c>
      <c r="E369" s="68" t="str">
        <f aca="false">VLOOKUP(D369,Map_Table,3,FALSE())</f>
        <v>Selling &amp; Distribution</v>
      </c>
      <c r="F369" s="68" t="str">
        <f aca="false">VLOOKUP(D369,Map_Table,4,FALSE())</f>
        <v>Variable</v>
      </c>
      <c r="G369" s="96" t="n">
        <v>1347</v>
      </c>
      <c r="H369" s="68" t="str">
        <f aca="false">"E"&amp;TEXT(A369,"yyyymm")&amp;"-"&amp;TEXT(VLOOKUP(D369,Map_Table,2,FALSE()),"0")</f>
        <v>E202505-6101</v>
      </c>
    </row>
    <row r="370" customFormat="false" ht="15" hidden="false" customHeight="false" outlineLevel="0" collapsed="false">
      <c r="A370" s="101" t="n">
        <v>45808</v>
      </c>
      <c r="B370" s="102" t="n">
        <f aca="false">YEAR(A370)</f>
        <v>2025</v>
      </c>
      <c r="C370" s="102" t="n">
        <f aca="false">MONTH(A370)</f>
        <v>5</v>
      </c>
      <c r="D370" s="100" t="s">
        <v>298</v>
      </c>
      <c r="E370" s="68" t="str">
        <f aca="false">VLOOKUP(D370,Map_Table,3,FALSE())</f>
        <v>Selling &amp; Distribution</v>
      </c>
      <c r="F370" s="68" t="str">
        <f aca="false">VLOOKUP(D370,Map_Table,4,FALSE())</f>
        <v>Variable</v>
      </c>
      <c r="G370" s="96" t="n">
        <v>727</v>
      </c>
      <c r="H370" s="68" t="str">
        <f aca="false">"E"&amp;TEXT(A370,"yyyymm")&amp;"-"&amp;TEXT(VLOOKUP(D370,Map_Table,2,FALSE()),"0")</f>
        <v>E202505-6102</v>
      </c>
    </row>
    <row r="371" customFormat="false" ht="15" hidden="false" customHeight="false" outlineLevel="0" collapsed="false">
      <c r="A371" s="101" t="n">
        <v>45808</v>
      </c>
      <c r="B371" s="102" t="n">
        <f aca="false">YEAR(A371)</f>
        <v>2025</v>
      </c>
      <c r="C371" s="102" t="n">
        <f aca="false">MONTH(A371)</f>
        <v>5</v>
      </c>
      <c r="D371" s="100" t="s">
        <v>299</v>
      </c>
      <c r="E371" s="68" t="str">
        <f aca="false">VLOOKUP(D371,Map_Table,3,FALSE())</f>
        <v>Selling &amp; Distribution</v>
      </c>
      <c r="F371" s="68" t="str">
        <f aca="false">VLOOKUP(D371,Map_Table,4,FALSE())</f>
        <v>Variable</v>
      </c>
      <c r="G371" s="96" t="n">
        <v>1936</v>
      </c>
      <c r="H371" s="68" t="str">
        <f aca="false">"E"&amp;TEXT(A371,"yyyymm")&amp;"-"&amp;TEXT(VLOOKUP(D371,Map_Table,2,FALSE()),"0")</f>
        <v>E202505-6103</v>
      </c>
    </row>
    <row r="372" customFormat="false" ht="15" hidden="false" customHeight="false" outlineLevel="0" collapsed="false">
      <c r="A372" s="101" t="n">
        <v>45808</v>
      </c>
      <c r="B372" s="102" t="n">
        <f aca="false">YEAR(A372)</f>
        <v>2025</v>
      </c>
      <c r="C372" s="102" t="n">
        <f aca="false">MONTH(A372)</f>
        <v>5</v>
      </c>
      <c r="D372" s="100" t="s">
        <v>300</v>
      </c>
      <c r="E372" s="68" t="str">
        <f aca="false">VLOOKUP(D372,Map_Table,3,FALSE())</f>
        <v>Selling &amp; Distribution</v>
      </c>
      <c r="F372" s="68" t="str">
        <f aca="false">VLOOKUP(D372,Map_Table,4,FALSE())</f>
        <v>Fixed</v>
      </c>
      <c r="G372" s="96" t="n">
        <v>2058</v>
      </c>
      <c r="H372" s="68" t="str">
        <f aca="false">"E"&amp;TEXT(A372,"yyyymm")&amp;"-"&amp;TEXT(VLOOKUP(D372,Map_Table,2,FALSE()),"0")</f>
        <v>E202505-6104</v>
      </c>
    </row>
    <row r="373" customFormat="false" ht="15" hidden="false" customHeight="false" outlineLevel="0" collapsed="false">
      <c r="A373" s="101" t="n">
        <v>45808</v>
      </c>
      <c r="B373" s="102" t="n">
        <f aca="false">YEAR(A373)</f>
        <v>2025</v>
      </c>
      <c r="C373" s="102" t="n">
        <f aca="false">MONTH(A373)</f>
        <v>5</v>
      </c>
      <c r="D373" s="100" t="s">
        <v>301</v>
      </c>
      <c r="E373" s="68" t="str">
        <f aca="false">VLOOKUP(D373,Map_Table,3,FALSE())</f>
        <v>Selling &amp; Distribution</v>
      </c>
      <c r="F373" s="68" t="str">
        <f aca="false">VLOOKUP(D373,Map_Table,4,FALSE())</f>
        <v>Fixed</v>
      </c>
      <c r="G373" s="96" t="n">
        <v>2705</v>
      </c>
      <c r="H373" s="68" t="str">
        <f aca="false">"E"&amp;TEXT(A373,"yyyymm")&amp;"-"&amp;TEXT(VLOOKUP(D373,Map_Table,2,FALSE()),"0")</f>
        <v>E202505-6105</v>
      </c>
    </row>
    <row r="374" customFormat="false" ht="15" hidden="false" customHeight="false" outlineLevel="0" collapsed="false">
      <c r="A374" s="101" t="n">
        <v>45808</v>
      </c>
      <c r="B374" s="102" t="n">
        <f aca="false">YEAR(A374)</f>
        <v>2025</v>
      </c>
      <c r="C374" s="102" t="n">
        <f aca="false">MONTH(A374)</f>
        <v>5</v>
      </c>
      <c r="D374" s="100" t="s">
        <v>302</v>
      </c>
      <c r="E374" s="68" t="str">
        <f aca="false">VLOOKUP(D374,Map_Table,3,FALSE())</f>
        <v>General &amp; Administrative</v>
      </c>
      <c r="F374" s="68" t="str">
        <f aca="false">VLOOKUP(D374,Map_Table,4,FALSE())</f>
        <v>Fixed</v>
      </c>
      <c r="G374" s="96" t="n">
        <v>2567</v>
      </c>
      <c r="H374" s="68" t="str">
        <f aca="false">"E"&amp;TEXT(A374,"yyyymm")&amp;"-"&amp;TEXT(VLOOKUP(D374,Map_Table,2,FALSE()),"0")</f>
        <v>E202505-6201</v>
      </c>
    </row>
    <row r="375" customFormat="false" ht="15" hidden="false" customHeight="false" outlineLevel="0" collapsed="false">
      <c r="A375" s="101" t="n">
        <v>45808</v>
      </c>
      <c r="B375" s="102" t="n">
        <f aca="false">YEAR(A375)</f>
        <v>2025</v>
      </c>
      <c r="C375" s="102" t="n">
        <f aca="false">MONTH(A375)</f>
        <v>5</v>
      </c>
      <c r="D375" s="100" t="s">
        <v>303</v>
      </c>
      <c r="E375" s="68" t="str">
        <f aca="false">VLOOKUP(D375,Map_Table,3,FALSE())</f>
        <v>General &amp; Administrative</v>
      </c>
      <c r="F375" s="68" t="str">
        <f aca="false">VLOOKUP(D375,Map_Table,4,FALSE())</f>
        <v>Fixed</v>
      </c>
      <c r="G375" s="96" t="n">
        <v>678</v>
      </c>
      <c r="H375" s="68" t="str">
        <f aca="false">"E"&amp;TEXT(A375,"yyyymm")&amp;"-"&amp;TEXT(VLOOKUP(D375,Map_Table,2,FALSE()),"0")</f>
        <v>E202505-6202</v>
      </c>
    </row>
    <row r="376" customFormat="false" ht="15" hidden="false" customHeight="false" outlineLevel="0" collapsed="false">
      <c r="A376" s="101" t="n">
        <v>45808</v>
      </c>
      <c r="B376" s="102" t="n">
        <f aca="false">YEAR(A376)</f>
        <v>2025</v>
      </c>
      <c r="C376" s="102" t="n">
        <f aca="false">MONTH(A376)</f>
        <v>5</v>
      </c>
      <c r="D376" s="100" t="s">
        <v>304</v>
      </c>
      <c r="E376" s="68" t="str">
        <f aca="false">VLOOKUP(D376,Map_Table,3,FALSE())</f>
        <v>General &amp; Administrative</v>
      </c>
      <c r="F376" s="68" t="str">
        <f aca="false">VLOOKUP(D376,Map_Table,4,FALSE())</f>
        <v>Fixed</v>
      </c>
      <c r="G376" s="96" t="n">
        <v>331</v>
      </c>
      <c r="H376" s="68" t="str">
        <f aca="false">"E"&amp;TEXT(A376,"yyyymm")&amp;"-"&amp;TEXT(VLOOKUP(D376,Map_Table,2,FALSE()),"0")</f>
        <v>E202505-6203</v>
      </c>
    </row>
    <row r="377" customFormat="false" ht="15" hidden="false" customHeight="false" outlineLevel="0" collapsed="false">
      <c r="A377" s="101" t="n">
        <v>45808</v>
      </c>
      <c r="B377" s="102" t="n">
        <f aca="false">YEAR(A377)</f>
        <v>2025</v>
      </c>
      <c r="C377" s="102" t="n">
        <f aca="false">MONTH(A377)</f>
        <v>5</v>
      </c>
      <c r="D377" s="100" t="s">
        <v>305</v>
      </c>
      <c r="E377" s="68" t="str">
        <f aca="false">VLOOKUP(D377,Map_Table,3,FALSE())</f>
        <v>General &amp; Administrative</v>
      </c>
      <c r="F377" s="68" t="str">
        <f aca="false">VLOOKUP(D377,Map_Table,4,FALSE())</f>
        <v>Fixed</v>
      </c>
      <c r="G377" s="96" t="n">
        <v>561</v>
      </c>
      <c r="H377" s="68" t="str">
        <f aca="false">"E"&amp;TEXT(A377,"yyyymm")&amp;"-"&amp;TEXT(VLOOKUP(D377,Map_Table,2,FALSE()),"0")</f>
        <v>E202505-6204</v>
      </c>
    </row>
    <row r="378" customFormat="false" ht="15" hidden="false" customHeight="false" outlineLevel="0" collapsed="false">
      <c r="A378" s="101" t="n">
        <v>45808</v>
      </c>
      <c r="B378" s="102" t="n">
        <f aca="false">YEAR(A378)</f>
        <v>2025</v>
      </c>
      <c r="C378" s="102" t="n">
        <f aca="false">MONTH(A378)</f>
        <v>5</v>
      </c>
      <c r="D378" s="100" t="s">
        <v>306</v>
      </c>
      <c r="E378" s="68" t="str">
        <f aca="false">VLOOKUP(D378,Map_Table,3,FALSE())</f>
        <v>General &amp; Administrative</v>
      </c>
      <c r="F378" s="68" t="str">
        <f aca="false">VLOOKUP(D378,Map_Table,4,FALSE())</f>
        <v>Fixed</v>
      </c>
      <c r="G378" s="96" t="n">
        <v>234</v>
      </c>
      <c r="H378" s="68" t="str">
        <f aca="false">"E"&amp;TEXT(A378,"yyyymm")&amp;"-"&amp;TEXT(VLOOKUP(D378,Map_Table,2,FALSE()),"0")</f>
        <v>E202505-6205</v>
      </c>
    </row>
    <row r="379" customFormat="false" ht="15" hidden="false" customHeight="false" outlineLevel="0" collapsed="false">
      <c r="A379" s="101" t="n">
        <v>45808</v>
      </c>
      <c r="B379" s="102" t="n">
        <f aca="false">YEAR(A379)</f>
        <v>2025</v>
      </c>
      <c r="C379" s="102" t="n">
        <f aca="false">MONTH(A379)</f>
        <v>5</v>
      </c>
      <c r="D379" s="100" t="s">
        <v>307</v>
      </c>
      <c r="E379" s="68" t="str">
        <f aca="false">VLOOKUP(D379,Map_Table,3,FALSE())</f>
        <v>General &amp; Administrative</v>
      </c>
      <c r="F379" s="68" t="str">
        <f aca="false">VLOOKUP(D379,Map_Table,4,FALSE())</f>
        <v>Fixed</v>
      </c>
      <c r="G379" s="96" t="n">
        <v>457</v>
      </c>
      <c r="H379" s="68" t="str">
        <f aca="false">"E"&amp;TEXT(A379,"yyyymm")&amp;"-"&amp;TEXT(VLOOKUP(D379,Map_Table,2,FALSE()),"0")</f>
        <v>E202505-6206</v>
      </c>
    </row>
    <row r="380" customFormat="false" ht="15" hidden="false" customHeight="false" outlineLevel="0" collapsed="false">
      <c r="A380" s="101" t="n">
        <v>45808</v>
      </c>
      <c r="B380" s="102" t="n">
        <f aca="false">YEAR(A380)</f>
        <v>2025</v>
      </c>
      <c r="C380" s="102" t="n">
        <f aca="false">MONTH(A380)</f>
        <v>5</v>
      </c>
      <c r="D380" s="100" t="s">
        <v>308</v>
      </c>
      <c r="E380" s="68" t="str">
        <f aca="false">VLOOKUP(D380,Map_Table,3,FALSE())</f>
        <v>General &amp; Administrative</v>
      </c>
      <c r="F380" s="68" t="str">
        <f aca="false">VLOOKUP(D380,Map_Table,4,FALSE())</f>
        <v>Fixed</v>
      </c>
      <c r="G380" s="96" t="n">
        <v>371</v>
      </c>
      <c r="H380" s="68" t="str">
        <f aca="false">"E"&amp;TEXT(A380,"yyyymm")&amp;"-"&amp;TEXT(VLOOKUP(D380,Map_Table,2,FALSE()),"0")</f>
        <v>E202505-6207</v>
      </c>
    </row>
    <row r="381" customFormat="false" ht="15" hidden="false" customHeight="false" outlineLevel="0" collapsed="false">
      <c r="A381" s="101" t="n">
        <v>45808</v>
      </c>
      <c r="B381" s="102" t="n">
        <f aca="false">YEAR(A381)</f>
        <v>2025</v>
      </c>
      <c r="C381" s="102" t="n">
        <f aca="false">MONTH(A381)</f>
        <v>5</v>
      </c>
      <c r="D381" s="100" t="s">
        <v>309</v>
      </c>
      <c r="E381" s="68" t="str">
        <f aca="false">VLOOKUP(D381,Map_Table,3,FALSE())</f>
        <v>General &amp; Administrative</v>
      </c>
      <c r="F381" s="68" t="str">
        <f aca="false">VLOOKUP(D381,Map_Table,4,FALSE())</f>
        <v>Variable</v>
      </c>
      <c r="G381" s="96" t="n">
        <v>125</v>
      </c>
      <c r="H381" s="68" t="str">
        <f aca="false">"E"&amp;TEXT(A381,"yyyymm")&amp;"-"&amp;TEXT(VLOOKUP(D381,Map_Table,2,FALSE()),"0")</f>
        <v>E202505-6208</v>
      </c>
    </row>
    <row r="382" customFormat="false" ht="15" hidden="false" customHeight="false" outlineLevel="0" collapsed="false">
      <c r="A382" s="101" t="n">
        <v>45838</v>
      </c>
      <c r="B382" s="102" t="n">
        <f aca="false">YEAR(A382)</f>
        <v>2025</v>
      </c>
      <c r="C382" s="102" t="n">
        <f aca="false">MONTH(A382)</f>
        <v>6</v>
      </c>
      <c r="D382" s="100" t="s">
        <v>297</v>
      </c>
      <c r="E382" s="68" t="str">
        <f aca="false">VLOOKUP(D382,Map_Table,3,FALSE())</f>
        <v>Selling &amp; Distribution</v>
      </c>
      <c r="F382" s="68" t="str">
        <f aca="false">VLOOKUP(D382,Map_Table,4,FALSE())</f>
        <v>Variable</v>
      </c>
      <c r="G382" s="96" t="n">
        <v>1282</v>
      </c>
      <c r="H382" s="68" t="str">
        <f aca="false">"E"&amp;TEXT(A382,"yyyymm")&amp;"-"&amp;TEXT(VLOOKUP(D382,Map_Table,2,FALSE()),"0")</f>
        <v>E202506-6101</v>
      </c>
    </row>
    <row r="383" customFormat="false" ht="15" hidden="false" customHeight="false" outlineLevel="0" collapsed="false">
      <c r="A383" s="101" t="n">
        <v>45838</v>
      </c>
      <c r="B383" s="102" t="n">
        <f aca="false">YEAR(A383)</f>
        <v>2025</v>
      </c>
      <c r="C383" s="102" t="n">
        <f aca="false">MONTH(A383)</f>
        <v>6</v>
      </c>
      <c r="D383" s="100" t="s">
        <v>298</v>
      </c>
      <c r="E383" s="68" t="str">
        <f aca="false">VLOOKUP(D383,Map_Table,3,FALSE())</f>
        <v>Selling &amp; Distribution</v>
      </c>
      <c r="F383" s="68" t="str">
        <f aca="false">VLOOKUP(D383,Map_Table,4,FALSE())</f>
        <v>Variable</v>
      </c>
      <c r="G383" s="96" t="n">
        <v>728</v>
      </c>
      <c r="H383" s="68" t="str">
        <f aca="false">"E"&amp;TEXT(A383,"yyyymm")&amp;"-"&amp;TEXT(VLOOKUP(D383,Map_Table,2,FALSE()),"0")</f>
        <v>E202506-6102</v>
      </c>
    </row>
    <row r="384" customFormat="false" ht="15" hidden="false" customHeight="false" outlineLevel="0" collapsed="false">
      <c r="A384" s="101" t="n">
        <v>45838</v>
      </c>
      <c r="B384" s="102" t="n">
        <f aca="false">YEAR(A384)</f>
        <v>2025</v>
      </c>
      <c r="C384" s="102" t="n">
        <f aca="false">MONTH(A384)</f>
        <v>6</v>
      </c>
      <c r="D384" s="100" t="s">
        <v>299</v>
      </c>
      <c r="E384" s="68" t="str">
        <f aca="false">VLOOKUP(D384,Map_Table,3,FALSE())</f>
        <v>Selling &amp; Distribution</v>
      </c>
      <c r="F384" s="68" t="str">
        <f aca="false">VLOOKUP(D384,Map_Table,4,FALSE())</f>
        <v>Variable</v>
      </c>
      <c r="G384" s="96" t="n">
        <v>1929</v>
      </c>
      <c r="H384" s="68" t="str">
        <f aca="false">"E"&amp;TEXT(A384,"yyyymm")&amp;"-"&amp;TEXT(VLOOKUP(D384,Map_Table,2,FALSE()),"0")</f>
        <v>E202506-6103</v>
      </c>
    </row>
    <row r="385" customFormat="false" ht="15" hidden="false" customHeight="false" outlineLevel="0" collapsed="false">
      <c r="A385" s="101" t="n">
        <v>45838</v>
      </c>
      <c r="B385" s="102" t="n">
        <f aca="false">YEAR(A385)</f>
        <v>2025</v>
      </c>
      <c r="C385" s="102" t="n">
        <f aca="false">MONTH(A385)</f>
        <v>6</v>
      </c>
      <c r="D385" s="100" t="s">
        <v>300</v>
      </c>
      <c r="E385" s="68" t="str">
        <f aca="false">VLOOKUP(D385,Map_Table,3,FALSE())</f>
        <v>Selling &amp; Distribution</v>
      </c>
      <c r="F385" s="68" t="str">
        <f aca="false">VLOOKUP(D385,Map_Table,4,FALSE())</f>
        <v>Fixed</v>
      </c>
      <c r="G385" s="96" t="n">
        <v>2064</v>
      </c>
      <c r="H385" s="68" t="str">
        <f aca="false">"E"&amp;TEXT(A385,"yyyymm")&amp;"-"&amp;TEXT(VLOOKUP(D385,Map_Table,2,FALSE()),"0")</f>
        <v>E202506-6104</v>
      </c>
    </row>
    <row r="386" customFormat="false" ht="15" hidden="false" customHeight="false" outlineLevel="0" collapsed="false">
      <c r="A386" s="101" t="n">
        <v>45838</v>
      </c>
      <c r="B386" s="102" t="n">
        <f aca="false">YEAR(A386)</f>
        <v>2025</v>
      </c>
      <c r="C386" s="102" t="n">
        <f aca="false">MONTH(A386)</f>
        <v>6</v>
      </c>
      <c r="D386" s="100" t="s">
        <v>301</v>
      </c>
      <c r="E386" s="68" t="str">
        <f aca="false">VLOOKUP(D386,Map_Table,3,FALSE())</f>
        <v>Selling &amp; Distribution</v>
      </c>
      <c r="F386" s="68" t="str">
        <f aca="false">VLOOKUP(D386,Map_Table,4,FALSE())</f>
        <v>Fixed</v>
      </c>
      <c r="G386" s="96" t="n">
        <v>2716</v>
      </c>
      <c r="H386" s="68" t="str">
        <f aca="false">"E"&amp;TEXT(A386,"yyyymm")&amp;"-"&amp;TEXT(VLOOKUP(D386,Map_Table,2,FALSE()),"0")</f>
        <v>E202506-6105</v>
      </c>
    </row>
    <row r="387" customFormat="false" ht="15" hidden="false" customHeight="false" outlineLevel="0" collapsed="false">
      <c r="A387" s="101" t="n">
        <v>45838</v>
      </c>
      <c r="B387" s="102" t="n">
        <f aca="false">YEAR(A387)</f>
        <v>2025</v>
      </c>
      <c r="C387" s="102" t="n">
        <f aca="false">MONTH(A387)</f>
        <v>6</v>
      </c>
      <c r="D387" s="100" t="s">
        <v>302</v>
      </c>
      <c r="E387" s="68" t="str">
        <f aca="false">VLOOKUP(D387,Map_Table,3,FALSE())</f>
        <v>General &amp; Administrative</v>
      </c>
      <c r="F387" s="68" t="str">
        <f aca="false">VLOOKUP(D387,Map_Table,4,FALSE())</f>
        <v>Fixed</v>
      </c>
      <c r="G387" s="96" t="n">
        <v>2512</v>
      </c>
      <c r="H387" s="68" t="str">
        <f aca="false">"E"&amp;TEXT(A387,"yyyymm")&amp;"-"&amp;TEXT(VLOOKUP(D387,Map_Table,2,FALSE()),"0")</f>
        <v>E202506-6201</v>
      </c>
    </row>
    <row r="388" customFormat="false" ht="15" hidden="false" customHeight="false" outlineLevel="0" collapsed="false">
      <c r="A388" s="101" t="n">
        <v>45838</v>
      </c>
      <c r="B388" s="102" t="n">
        <f aca="false">YEAR(A388)</f>
        <v>2025</v>
      </c>
      <c r="C388" s="102" t="n">
        <f aca="false">MONTH(A388)</f>
        <v>6</v>
      </c>
      <c r="D388" s="100" t="s">
        <v>303</v>
      </c>
      <c r="E388" s="68" t="str">
        <f aca="false">VLOOKUP(D388,Map_Table,3,FALSE())</f>
        <v>General &amp; Administrative</v>
      </c>
      <c r="F388" s="68" t="str">
        <f aca="false">VLOOKUP(D388,Map_Table,4,FALSE())</f>
        <v>Fixed</v>
      </c>
      <c r="G388" s="96" t="n">
        <v>677</v>
      </c>
      <c r="H388" s="68" t="str">
        <f aca="false">"E"&amp;TEXT(A388,"yyyymm")&amp;"-"&amp;TEXT(VLOOKUP(D388,Map_Table,2,FALSE()),"0")</f>
        <v>E202506-6202</v>
      </c>
    </row>
    <row r="389" customFormat="false" ht="15" hidden="false" customHeight="false" outlineLevel="0" collapsed="false">
      <c r="A389" s="101" t="n">
        <v>45838</v>
      </c>
      <c r="B389" s="102" t="n">
        <f aca="false">YEAR(A389)</f>
        <v>2025</v>
      </c>
      <c r="C389" s="102" t="n">
        <f aca="false">MONTH(A389)</f>
        <v>6</v>
      </c>
      <c r="D389" s="100" t="s">
        <v>304</v>
      </c>
      <c r="E389" s="68" t="str">
        <f aca="false">VLOOKUP(D389,Map_Table,3,FALSE())</f>
        <v>General &amp; Administrative</v>
      </c>
      <c r="F389" s="68" t="str">
        <f aca="false">VLOOKUP(D389,Map_Table,4,FALSE())</f>
        <v>Fixed</v>
      </c>
      <c r="G389" s="96" t="n">
        <v>328</v>
      </c>
      <c r="H389" s="68" t="str">
        <f aca="false">"E"&amp;TEXT(A389,"yyyymm")&amp;"-"&amp;TEXT(VLOOKUP(D389,Map_Table,2,FALSE()),"0")</f>
        <v>E202506-6203</v>
      </c>
    </row>
    <row r="390" customFormat="false" ht="15" hidden="false" customHeight="false" outlineLevel="0" collapsed="false">
      <c r="A390" s="101" t="n">
        <v>45838</v>
      </c>
      <c r="B390" s="102" t="n">
        <f aca="false">YEAR(A390)</f>
        <v>2025</v>
      </c>
      <c r="C390" s="102" t="n">
        <f aca="false">MONTH(A390)</f>
        <v>6</v>
      </c>
      <c r="D390" s="100" t="s">
        <v>305</v>
      </c>
      <c r="E390" s="68" t="str">
        <f aca="false">VLOOKUP(D390,Map_Table,3,FALSE())</f>
        <v>General &amp; Administrative</v>
      </c>
      <c r="F390" s="68" t="str">
        <f aca="false">VLOOKUP(D390,Map_Table,4,FALSE())</f>
        <v>Fixed</v>
      </c>
      <c r="G390" s="96" t="n">
        <v>568</v>
      </c>
      <c r="H390" s="68" t="str">
        <f aca="false">"E"&amp;TEXT(A390,"yyyymm")&amp;"-"&amp;TEXT(VLOOKUP(D390,Map_Table,2,FALSE()),"0")</f>
        <v>E202506-6204</v>
      </c>
    </row>
    <row r="391" customFormat="false" ht="15" hidden="false" customHeight="false" outlineLevel="0" collapsed="false">
      <c r="A391" s="101" t="n">
        <v>45838</v>
      </c>
      <c r="B391" s="102" t="n">
        <f aca="false">YEAR(A391)</f>
        <v>2025</v>
      </c>
      <c r="C391" s="102" t="n">
        <f aca="false">MONTH(A391)</f>
        <v>6</v>
      </c>
      <c r="D391" s="100" t="s">
        <v>306</v>
      </c>
      <c r="E391" s="68" t="str">
        <f aca="false">VLOOKUP(D391,Map_Table,3,FALSE())</f>
        <v>General &amp; Administrative</v>
      </c>
      <c r="F391" s="68" t="str">
        <f aca="false">VLOOKUP(D391,Map_Table,4,FALSE())</f>
        <v>Fixed</v>
      </c>
      <c r="G391" s="96" t="n">
        <v>219</v>
      </c>
      <c r="H391" s="68" t="str">
        <f aca="false">"E"&amp;TEXT(A391,"yyyymm")&amp;"-"&amp;TEXT(VLOOKUP(D391,Map_Table,2,FALSE()),"0")</f>
        <v>E202506-6205</v>
      </c>
    </row>
    <row r="392" customFormat="false" ht="15" hidden="false" customHeight="false" outlineLevel="0" collapsed="false">
      <c r="A392" s="101" t="n">
        <v>45838</v>
      </c>
      <c r="B392" s="102" t="n">
        <f aca="false">YEAR(A392)</f>
        <v>2025</v>
      </c>
      <c r="C392" s="102" t="n">
        <f aca="false">MONTH(A392)</f>
        <v>6</v>
      </c>
      <c r="D392" s="100" t="s">
        <v>307</v>
      </c>
      <c r="E392" s="68" t="str">
        <f aca="false">VLOOKUP(D392,Map_Table,3,FALSE())</f>
        <v>General &amp; Administrative</v>
      </c>
      <c r="F392" s="68" t="str">
        <f aca="false">VLOOKUP(D392,Map_Table,4,FALSE())</f>
        <v>Fixed</v>
      </c>
      <c r="G392" s="96" t="n">
        <v>457</v>
      </c>
      <c r="H392" s="68" t="str">
        <f aca="false">"E"&amp;TEXT(A392,"yyyymm")&amp;"-"&amp;TEXT(VLOOKUP(D392,Map_Table,2,FALSE()),"0")</f>
        <v>E202506-6206</v>
      </c>
    </row>
    <row r="393" customFormat="false" ht="15" hidden="false" customHeight="false" outlineLevel="0" collapsed="false">
      <c r="A393" s="101" t="n">
        <v>45838</v>
      </c>
      <c r="B393" s="102" t="n">
        <f aca="false">YEAR(A393)</f>
        <v>2025</v>
      </c>
      <c r="C393" s="102" t="n">
        <f aca="false">MONTH(A393)</f>
        <v>6</v>
      </c>
      <c r="D393" s="100" t="s">
        <v>308</v>
      </c>
      <c r="E393" s="68" t="str">
        <f aca="false">VLOOKUP(D393,Map_Table,3,FALSE())</f>
        <v>General &amp; Administrative</v>
      </c>
      <c r="F393" s="68" t="str">
        <f aca="false">VLOOKUP(D393,Map_Table,4,FALSE())</f>
        <v>Fixed</v>
      </c>
      <c r="G393" s="96" t="n">
        <v>368</v>
      </c>
      <c r="H393" s="68" t="str">
        <f aca="false">"E"&amp;TEXT(A393,"yyyymm")&amp;"-"&amp;TEXT(VLOOKUP(D393,Map_Table,2,FALSE()),"0")</f>
        <v>E202506-6207</v>
      </c>
    </row>
    <row r="394" customFormat="false" ht="15" hidden="false" customHeight="false" outlineLevel="0" collapsed="false">
      <c r="A394" s="101" t="n">
        <v>45838</v>
      </c>
      <c r="B394" s="102" t="n">
        <f aca="false">YEAR(A394)</f>
        <v>2025</v>
      </c>
      <c r="C394" s="102" t="n">
        <f aca="false">MONTH(A394)</f>
        <v>6</v>
      </c>
      <c r="D394" s="100" t="s">
        <v>309</v>
      </c>
      <c r="E394" s="68" t="str">
        <f aca="false">VLOOKUP(D394,Map_Table,3,FALSE())</f>
        <v>General &amp; Administrative</v>
      </c>
      <c r="F394" s="68" t="str">
        <f aca="false">VLOOKUP(D394,Map_Table,4,FALSE())</f>
        <v>Variable</v>
      </c>
      <c r="G394" s="96" t="n">
        <v>119</v>
      </c>
      <c r="H394" s="68" t="str">
        <f aca="false">"E"&amp;TEXT(A394,"yyyymm")&amp;"-"&amp;TEXT(VLOOKUP(D394,Map_Table,2,FALSE()),"0")</f>
        <v>E202506-6208</v>
      </c>
    </row>
    <row r="395" customFormat="false" ht="15" hidden="false" customHeight="false" outlineLevel="0" collapsed="false">
      <c r="A395" s="101" t="n">
        <v>45869</v>
      </c>
      <c r="B395" s="102" t="n">
        <f aca="false">YEAR(A395)</f>
        <v>2025</v>
      </c>
      <c r="C395" s="102" t="n">
        <f aca="false">MONTH(A395)</f>
        <v>7</v>
      </c>
      <c r="D395" s="100" t="s">
        <v>297</v>
      </c>
      <c r="E395" s="68" t="str">
        <f aca="false">VLOOKUP(D395,Map_Table,3,FALSE())</f>
        <v>Selling &amp; Distribution</v>
      </c>
      <c r="F395" s="68" t="str">
        <f aca="false">VLOOKUP(D395,Map_Table,4,FALSE())</f>
        <v>Variable</v>
      </c>
      <c r="G395" s="96" t="n">
        <v>1314</v>
      </c>
      <c r="H395" s="68" t="str">
        <f aca="false">"E"&amp;TEXT(A395,"yyyymm")&amp;"-"&amp;TEXT(VLOOKUP(D395,Map_Table,2,FALSE()),"0")</f>
        <v>E202507-6101</v>
      </c>
    </row>
    <row r="396" customFormat="false" ht="15" hidden="false" customHeight="false" outlineLevel="0" collapsed="false">
      <c r="A396" s="101" t="n">
        <v>45869</v>
      </c>
      <c r="B396" s="102" t="n">
        <f aca="false">YEAR(A396)</f>
        <v>2025</v>
      </c>
      <c r="C396" s="102" t="n">
        <f aca="false">MONTH(A396)</f>
        <v>7</v>
      </c>
      <c r="D396" s="100" t="s">
        <v>298</v>
      </c>
      <c r="E396" s="68" t="str">
        <f aca="false">VLOOKUP(D396,Map_Table,3,FALSE())</f>
        <v>Selling &amp; Distribution</v>
      </c>
      <c r="F396" s="68" t="str">
        <f aca="false">VLOOKUP(D396,Map_Table,4,FALSE())</f>
        <v>Variable</v>
      </c>
      <c r="G396" s="96" t="n">
        <v>747</v>
      </c>
      <c r="H396" s="68" t="str">
        <f aca="false">"E"&amp;TEXT(A396,"yyyymm")&amp;"-"&amp;TEXT(VLOOKUP(D396,Map_Table,2,FALSE()),"0")</f>
        <v>E202507-6102</v>
      </c>
    </row>
    <row r="397" customFormat="false" ht="15" hidden="false" customHeight="false" outlineLevel="0" collapsed="false">
      <c r="A397" s="101" t="n">
        <v>45869</v>
      </c>
      <c r="B397" s="102" t="n">
        <f aca="false">YEAR(A397)</f>
        <v>2025</v>
      </c>
      <c r="C397" s="102" t="n">
        <f aca="false">MONTH(A397)</f>
        <v>7</v>
      </c>
      <c r="D397" s="100" t="s">
        <v>299</v>
      </c>
      <c r="E397" s="68" t="str">
        <f aca="false">VLOOKUP(D397,Map_Table,3,FALSE())</f>
        <v>Selling &amp; Distribution</v>
      </c>
      <c r="F397" s="68" t="str">
        <f aca="false">VLOOKUP(D397,Map_Table,4,FALSE())</f>
        <v>Variable</v>
      </c>
      <c r="G397" s="96" t="n">
        <v>2014</v>
      </c>
      <c r="H397" s="68" t="str">
        <f aca="false">"E"&amp;TEXT(A397,"yyyymm")&amp;"-"&amp;TEXT(VLOOKUP(D397,Map_Table,2,FALSE()),"0")</f>
        <v>E202507-6103</v>
      </c>
    </row>
    <row r="398" customFormat="false" ht="15" hidden="false" customHeight="false" outlineLevel="0" collapsed="false">
      <c r="A398" s="101" t="n">
        <v>45869</v>
      </c>
      <c r="B398" s="102" t="n">
        <f aca="false">YEAR(A398)</f>
        <v>2025</v>
      </c>
      <c r="C398" s="102" t="n">
        <f aca="false">MONTH(A398)</f>
        <v>7</v>
      </c>
      <c r="D398" s="100" t="s">
        <v>300</v>
      </c>
      <c r="E398" s="68" t="str">
        <f aca="false">VLOOKUP(D398,Map_Table,3,FALSE())</f>
        <v>Selling &amp; Distribution</v>
      </c>
      <c r="F398" s="68" t="str">
        <f aca="false">VLOOKUP(D398,Map_Table,4,FALSE())</f>
        <v>Fixed</v>
      </c>
      <c r="G398" s="96" t="n">
        <v>2061</v>
      </c>
      <c r="H398" s="68" t="str">
        <f aca="false">"E"&amp;TEXT(A398,"yyyymm")&amp;"-"&amp;TEXT(VLOOKUP(D398,Map_Table,2,FALSE()),"0")</f>
        <v>E202507-6104</v>
      </c>
    </row>
    <row r="399" customFormat="false" ht="15" hidden="false" customHeight="false" outlineLevel="0" collapsed="false">
      <c r="A399" s="101" t="n">
        <v>45869</v>
      </c>
      <c r="B399" s="102" t="n">
        <f aca="false">YEAR(A399)</f>
        <v>2025</v>
      </c>
      <c r="C399" s="102" t="n">
        <f aca="false">MONTH(A399)</f>
        <v>7</v>
      </c>
      <c r="D399" s="100" t="s">
        <v>301</v>
      </c>
      <c r="E399" s="68" t="str">
        <f aca="false">VLOOKUP(D399,Map_Table,3,FALSE())</f>
        <v>Selling &amp; Distribution</v>
      </c>
      <c r="F399" s="68" t="str">
        <f aca="false">VLOOKUP(D399,Map_Table,4,FALSE())</f>
        <v>Fixed</v>
      </c>
      <c r="G399" s="96" t="n">
        <v>2717</v>
      </c>
      <c r="H399" s="68" t="str">
        <f aca="false">"E"&amp;TEXT(A399,"yyyymm")&amp;"-"&amp;TEXT(VLOOKUP(D399,Map_Table,2,FALSE()),"0")</f>
        <v>E202507-6105</v>
      </c>
    </row>
    <row r="400" customFormat="false" ht="15" hidden="false" customHeight="false" outlineLevel="0" collapsed="false">
      <c r="A400" s="101" t="n">
        <v>45869</v>
      </c>
      <c r="B400" s="102" t="n">
        <f aca="false">YEAR(A400)</f>
        <v>2025</v>
      </c>
      <c r="C400" s="102" t="n">
        <f aca="false">MONTH(A400)</f>
        <v>7</v>
      </c>
      <c r="D400" s="100" t="s">
        <v>302</v>
      </c>
      <c r="E400" s="68" t="str">
        <f aca="false">VLOOKUP(D400,Map_Table,3,FALSE())</f>
        <v>General &amp; Administrative</v>
      </c>
      <c r="F400" s="68" t="str">
        <f aca="false">VLOOKUP(D400,Map_Table,4,FALSE())</f>
        <v>Fixed</v>
      </c>
      <c r="G400" s="96" t="n">
        <v>2540</v>
      </c>
      <c r="H400" s="68" t="str">
        <f aca="false">"E"&amp;TEXT(A400,"yyyymm")&amp;"-"&amp;TEXT(VLOOKUP(D400,Map_Table,2,FALSE()),"0")</f>
        <v>E202507-6201</v>
      </c>
    </row>
    <row r="401" customFormat="false" ht="15" hidden="false" customHeight="false" outlineLevel="0" collapsed="false">
      <c r="A401" s="101" t="n">
        <v>45869</v>
      </c>
      <c r="B401" s="102" t="n">
        <f aca="false">YEAR(A401)</f>
        <v>2025</v>
      </c>
      <c r="C401" s="102" t="n">
        <f aca="false">MONTH(A401)</f>
        <v>7</v>
      </c>
      <c r="D401" s="100" t="s">
        <v>303</v>
      </c>
      <c r="E401" s="68" t="str">
        <f aca="false">VLOOKUP(D401,Map_Table,3,FALSE())</f>
        <v>General &amp; Administrative</v>
      </c>
      <c r="F401" s="68" t="str">
        <f aca="false">VLOOKUP(D401,Map_Table,4,FALSE())</f>
        <v>Fixed</v>
      </c>
      <c r="G401" s="96" t="n">
        <v>685</v>
      </c>
      <c r="H401" s="68" t="str">
        <f aca="false">"E"&amp;TEXT(A401,"yyyymm")&amp;"-"&amp;TEXT(VLOOKUP(D401,Map_Table,2,FALSE()),"0")</f>
        <v>E202507-6202</v>
      </c>
    </row>
    <row r="402" customFormat="false" ht="15" hidden="false" customHeight="false" outlineLevel="0" collapsed="false">
      <c r="A402" s="101" t="n">
        <v>45869</v>
      </c>
      <c r="B402" s="102" t="n">
        <f aca="false">YEAR(A402)</f>
        <v>2025</v>
      </c>
      <c r="C402" s="102" t="n">
        <f aca="false">MONTH(A402)</f>
        <v>7</v>
      </c>
      <c r="D402" s="100" t="s">
        <v>304</v>
      </c>
      <c r="E402" s="68" t="str">
        <f aca="false">VLOOKUP(D402,Map_Table,3,FALSE())</f>
        <v>General &amp; Administrative</v>
      </c>
      <c r="F402" s="68" t="str">
        <f aca="false">VLOOKUP(D402,Map_Table,4,FALSE())</f>
        <v>Fixed</v>
      </c>
      <c r="G402" s="96" t="n">
        <v>333</v>
      </c>
      <c r="H402" s="68" t="str">
        <f aca="false">"E"&amp;TEXT(A402,"yyyymm")&amp;"-"&amp;TEXT(VLOOKUP(D402,Map_Table,2,FALSE()),"0")</f>
        <v>E202507-6203</v>
      </c>
    </row>
    <row r="403" customFormat="false" ht="15" hidden="false" customHeight="false" outlineLevel="0" collapsed="false">
      <c r="A403" s="101" t="n">
        <v>45869</v>
      </c>
      <c r="B403" s="102" t="n">
        <f aca="false">YEAR(A403)</f>
        <v>2025</v>
      </c>
      <c r="C403" s="102" t="n">
        <f aca="false">MONTH(A403)</f>
        <v>7</v>
      </c>
      <c r="D403" s="100" t="s">
        <v>305</v>
      </c>
      <c r="E403" s="68" t="str">
        <f aca="false">VLOOKUP(D403,Map_Table,3,FALSE())</f>
        <v>General &amp; Administrative</v>
      </c>
      <c r="F403" s="68" t="str">
        <f aca="false">VLOOKUP(D403,Map_Table,4,FALSE())</f>
        <v>Fixed</v>
      </c>
      <c r="G403" s="96" t="n">
        <v>577</v>
      </c>
      <c r="H403" s="68" t="str">
        <f aca="false">"E"&amp;TEXT(A403,"yyyymm")&amp;"-"&amp;TEXT(VLOOKUP(D403,Map_Table,2,FALSE()),"0")</f>
        <v>E202507-6204</v>
      </c>
    </row>
    <row r="404" customFormat="false" ht="15" hidden="false" customHeight="false" outlineLevel="0" collapsed="false">
      <c r="A404" s="101" t="n">
        <v>45869</v>
      </c>
      <c r="B404" s="102" t="n">
        <f aca="false">YEAR(A404)</f>
        <v>2025</v>
      </c>
      <c r="C404" s="102" t="n">
        <f aca="false">MONTH(A404)</f>
        <v>7</v>
      </c>
      <c r="D404" s="100" t="s">
        <v>306</v>
      </c>
      <c r="E404" s="68" t="str">
        <f aca="false">VLOOKUP(D404,Map_Table,3,FALSE())</f>
        <v>General &amp; Administrative</v>
      </c>
      <c r="F404" s="68" t="str">
        <f aca="false">VLOOKUP(D404,Map_Table,4,FALSE())</f>
        <v>Fixed</v>
      </c>
      <c r="G404" s="96" t="n">
        <v>206</v>
      </c>
      <c r="H404" s="68" t="str">
        <f aca="false">"E"&amp;TEXT(A404,"yyyymm")&amp;"-"&amp;TEXT(VLOOKUP(D404,Map_Table,2,FALSE()),"0")</f>
        <v>E202507-6205</v>
      </c>
    </row>
    <row r="405" customFormat="false" ht="15" hidden="false" customHeight="false" outlineLevel="0" collapsed="false">
      <c r="A405" s="101" t="n">
        <v>45869</v>
      </c>
      <c r="B405" s="102" t="n">
        <f aca="false">YEAR(A405)</f>
        <v>2025</v>
      </c>
      <c r="C405" s="102" t="n">
        <f aca="false">MONTH(A405)</f>
        <v>7</v>
      </c>
      <c r="D405" s="100" t="s">
        <v>307</v>
      </c>
      <c r="E405" s="68" t="str">
        <f aca="false">VLOOKUP(D405,Map_Table,3,FALSE())</f>
        <v>General &amp; Administrative</v>
      </c>
      <c r="F405" s="68" t="str">
        <f aca="false">VLOOKUP(D405,Map_Table,4,FALSE())</f>
        <v>Fixed</v>
      </c>
      <c r="G405" s="96" t="n">
        <v>454</v>
      </c>
      <c r="H405" s="68" t="str">
        <f aca="false">"E"&amp;TEXT(A405,"yyyymm")&amp;"-"&amp;TEXT(VLOOKUP(D405,Map_Table,2,FALSE()),"0")</f>
        <v>E202507-6206</v>
      </c>
    </row>
    <row r="406" customFormat="false" ht="15" hidden="false" customHeight="false" outlineLevel="0" collapsed="false">
      <c r="A406" s="101" t="n">
        <v>45869</v>
      </c>
      <c r="B406" s="102" t="n">
        <f aca="false">YEAR(A406)</f>
        <v>2025</v>
      </c>
      <c r="C406" s="102" t="n">
        <f aca="false">MONTH(A406)</f>
        <v>7</v>
      </c>
      <c r="D406" s="100" t="s">
        <v>308</v>
      </c>
      <c r="E406" s="68" t="str">
        <f aca="false">VLOOKUP(D406,Map_Table,3,FALSE())</f>
        <v>General &amp; Administrative</v>
      </c>
      <c r="F406" s="68" t="str">
        <f aca="false">VLOOKUP(D406,Map_Table,4,FALSE())</f>
        <v>Fixed</v>
      </c>
      <c r="G406" s="96" t="n">
        <v>369</v>
      </c>
      <c r="H406" s="68" t="str">
        <f aca="false">"E"&amp;TEXT(A406,"yyyymm")&amp;"-"&amp;TEXT(VLOOKUP(D406,Map_Table,2,FALSE()),"0")</f>
        <v>E202507-6207</v>
      </c>
    </row>
    <row r="407" customFormat="false" ht="15" hidden="false" customHeight="false" outlineLevel="0" collapsed="false">
      <c r="A407" s="101" t="n">
        <v>45869</v>
      </c>
      <c r="B407" s="102" t="n">
        <f aca="false">YEAR(A407)</f>
        <v>2025</v>
      </c>
      <c r="C407" s="102" t="n">
        <f aca="false">MONTH(A407)</f>
        <v>7</v>
      </c>
      <c r="D407" s="100" t="s">
        <v>309</v>
      </c>
      <c r="E407" s="68" t="str">
        <f aca="false">VLOOKUP(D407,Map_Table,3,FALSE())</f>
        <v>General &amp; Administrative</v>
      </c>
      <c r="F407" s="68" t="str">
        <f aca="false">VLOOKUP(D407,Map_Table,4,FALSE())</f>
        <v>Variable</v>
      </c>
      <c r="G407" s="96" t="n">
        <v>119</v>
      </c>
      <c r="H407" s="68" t="str">
        <f aca="false">"E"&amp;TEXT(A407,"yyyymm")&amp;"-"&amp;TEXT(VLOOKUP(D407,Map_Table,2,FALSE()),"0")</f>
        <v>E202507-6208</v>
      </c>
    </row>
    <row r="408" customFormat="false" ht="15" hidden="false" customHeight="false" outlineLevel="0" collapsed="false">
      <c r="A408" s="101" t="n">
        <v>45900</v>
      </c>
      <c r="B408" s="102" t="n">
        <f aca="false">YEAR(A408)</f>
        <v>2025</v>
      </c>
      <c r="C408" s="102" t="n">
        <f aca="false">MONTH(A408)</f>
        <v>8</v>
      </c>
      <c r="D408" s="100" t="s">
        <v>297</v>
      </c>
      <c r="E408" s="68" t="str">
        <f aca="false">VLOOKUP(D408,Map_Table,3,FALSE())</f>
        <v>Selling &amp; Distribution</v>
      </c>
      <c r="F408" s="68" t="str">
        <f aca="false">VLOOKUP(D408,Map_Table,4,FALSE())</f>
        <v>Variable</v>
      </c>
      <c r="G408" s="96" t="n">
        <v>1272</v>
      </c>
      <c r="H408" s="68" t="str">
        <f aca="false">"E"&amp;TEXT(A408,"yyyymm")&amp;"-"&amp;TEXT(VLOOKUP(D408,Map_Table,2,FALSE()),"0")</f>
        <v>E202508-6101</v>
      </c>
    </row>
    <row r="409" customFormat="false" ht="15" hidden="false" customHeight="false" outlineLevel="0" collapsed="false">
      <c r="A409" s="101" t="n">
        <v>45900</v>
      </c>
      <c r="B409" s="102" t="n">
        <f aca="false">YEAR(A409)</f>
        <v>2025</v>
      </c>
      <c r="C409" s="102" t="n">
        <f aca="false">MONTH(A409)</f>
        <v>8</v>
      </c>
      <c r="D409" s="100" t="s">
        <v>298</v>
      </c>
      <c r="E409" s="68" t="str">
        <f aca="false">VLOOKUP(D409,Map_Table,3,FALSE())</f>
        <v>Selling &amp; Distribution</v>
      </c>
      <c r="F409" s="68" t="str">
        <f aca="false">VLOOKUP(D409,Map_Table,4,FALSE())</f>
        <v>Variable</v>
      </c>
      <c r="G409" s="96" t="n">
        <v>740</v>
      </c>
      <c r="H409" s="68" t="str">
        <f aca="false">"E"&amp;TEXT(A409,"yyyymm")&amp;"-"&amp;TEXT(VLOOKUP(D409,Map_Table,2,FALSE()),"0")</f>
        <v>E202508-6102</v>
      </c>
    </row>
    <row r="410" customFormat="false" ht="15" hidden="false" customHeight="false" outlineLevel="0" collapsed="false">
      <c r="A410" s="101" t="n">
        <v>45900</v>
      </c>
      <c r="B410" s="102" t="n">
        <f aca="false">YEAR(A410)</f>
        <v>2025</v>
      </c>
      <c r="C410" s="102" t="n">
        <f aca="false">MONTH(A410)</f>
        <v>8</v>
      </c>
      <c r="D410" s="100" t="s">
        <v>299</v>
      </c>
      <c r="E410" s="68" t="str">
        <f aca="false">VLOOKUP(D410,Map_Table,3,FALSE())</f>
        <v>Selling &amp; Distribution</v>
      </c>
      <c r="F410" s="68" t="str">
        <f aca="false">VLOOKUP(D410,Map_Table,4,FALSE())</f>
        <v>Variable</v>
      </c>
      <c r="G410" s="96" t="n">
        <v>1914</v>
      </c>
      <c r="H410" s="68" t="str">
        <f aca="false">"E"&amp;TEXT(A410,"yyyymm")&amp;"-"&amp;TEXT(VLOOKUP(D410,Map_Table,2,FALSE()),"0")</f>
        <v>E202508-6103</v>
      </c>
    </row>
    <row r="411" customFormat="false" ht="15" hidden="false" customHeight="false" outlineLevel="0" collapsed="false">
      <c r="A411" s="101" t="n">
        <v>45900</v>
      </c>
      <c r="B411" s="102" t="n">
        <f aca="false">YEAR(A411)</f>
        <v>2025</v>
      </c>
      <c r="C411" s="102" t="n">
        <f aca="false">MONTH(A411)</f>
        <v>8</v>
      </c>
      <c r="D411" s="100" t="s">
        <v>300</v>
      </c>
      <c r="E411" s="68" t="str">
        <f aca="false">VLOOKUP(D411,Map_Table,3,FALSE())</f>
        <v>Selling &amp; Distribution</v>
      </c>
      <c r="F411" s="68" t="str">
        <f aca="false">VLOOKUP(D411,Map_Table,4,FALSE())</f>
        <v>Fixed</v>
      </c>
      <c r="G411" s="96" t="n">
        <v>2065</v>
      </c>
      <c r="H411" s="68" t="str">
        <f aca="false">"E"&amp;TEXT(A411,"yyyymm")&amp;"-"&amp;TEXT(VLOOKUP(D411,Map_Table,2,FALSE()),"0")</f>
        <v>E202508-6104</v>
      </c>
    </row>
    <row r="412" customFormat="false" ht="15" hidden="false" customHeight="false" outlineLevel="0" collapsed="false">
      <c r="A412" s="101" t="n">
        <v>45900</v>
      </c>
      <c r="B412" s="102" t="n">
        <f aca="false">YEAR(A412)</f>
        <v>2025</v>
      </c>
      <c r="C412" s="102" t="n">
        <f aca="false">MONTH(A412)</f>
        <v>8</v>
      </c>
      <c r="D412" s="100" t="s">
        <v>301</v>
      </c>
      <c r="E412" s="68" t="str">
        <f aca="false">VLOOKUP(D412,Map_Table,3,FALSE())</f>
        <v>Selling &amp; Distribution</v>
      </c>
      <c r="F412" s="68" t="str">
        <f aca="false">VLOOKUP(D412,Map_Table,4,FALSE())</f>
        <v>Fixed</v>
      </c>
      <c r="G412" s="96" t="n">
        <v>2727</v>
      </c>
      <c r="H412" s="68" t="str">
        <f aca="false">"E"&amp;TEXT(A412,"yyyymm")&amp;"-"&amp;TEXT(VLOOKUP(D412,Map_Table,2,FALSE()),"0")</f>
        <v>E202508-6105</v>
      </c>
    </row>
    <row r="413" customFormat="false" ht="15" hidden="false" customHeight="false" outlineLevel="0" collapsed="false">
      <c r="A413" s="101" t="n">
        <v>45900</v>
      </c>
      <c r="B413" s="102" t="n">
        <f aca="false">YEAR(A413)</f>
        <v>2025</v>
      </c>
      <c r="C413" s="102" t="n">
        <f aca="false">MONTH(A413)</f>
        <v>8</v>
      </c>
      <c r="D413" s="100" t="s">
        <v>302</v>
      </c>
      <c r="E413" s="68" t="str">
        <f aca="false">VLOOKUP(D413,Map_Table,3,FALSE())</f>
        <v>General &amp; Administrative</v>
      </c>
      <c r="F413" s="68" t="str">
        <f aca="false">VLOOKUP(D413,Map_Table,4,FALSE())</f>
        <v>Fixed</v>
      </c>
      <c r="G413" s="96" t="n">
        <v>2553</v>
      </c>
      <c r="H413" s="68" t="str">
        <f aca="false">"E"&amp;TEXT(A413,"yyyymm")&amp;"-"&amp;TEXT(VLOOKUP(D413,Map_Table,2,FALSE()),"0")</f>
        <v>E202508-6201</v>
      </c>
    </row>
    <row r="414" customFormat="false" ht="15" hidden="false" customHeight="false" outlineLevel="0" collapsed="false">
      <c r="A414" s="101" t="n">
        <v>45900</v>
      </c>
      <c r="B414" s="102" t="n">
        <f aca="false">YEAR(A414)</f>
        <v>2025</v>
      </c>
      <c r="C414" s="102" t="n">
        <f aca="false">MONTH(A414)</f>
        <v>8</v>
      </c>
      <c r="D414" s="100" t="s">
        <v>303</v>
      </c>
      <c r="E414" s="68" t="str">
        <f aca="false">VLOOKUP(D414,Map_Table,3,FALSE())</f>
        <v>General &amp; Administrative</v>
      </c>
      <c r="F414" s="68" t="str">
        <f aca="false">VLOOKUP(D414,Map_Table,4,FALSE())</f>
        <v>Fixed</v>
      </c>
      <c r="G414" s="96" t="n">
        <v>666</v>
      </c>
      <c r="H414" s="68" t="str">
        <f aca="false">"E"&amp;TEXT(A414,"yyyymm")&amp;"-"&amp;TEXT(VLOOKUP(D414,Map_Table,2,FALSE()),"0")</f>
        <v>E202508-6202</v>
      </c>
    </row>
    <row r="415" customFormat="false" ht="15" hidden="false" customHeight="false" outlineLevel="0" collapsed="false">
      <c r="A415" s="101" t="n">
        <v>45900</v>
      </c>
      <c r="B415" s="102" t="n">
        <f aca="false">YEAR(A415)</f>
        <v>2025</v>
      </c>
      <c r="C415" s="102" t="n">
        <f aca="false">MONTH(A415)</f>
        <v>8</v>
      </c>
      <c r="D415" s="100" t="s">
        <v>304</v>
      </c>
      <c r="E415" s="68" t="str">
        <f aca="false">VLOOKUP(D415,Map_Table,3,FALSE())</f>
        <v>General &amp; Administrative</v>
      </c>
      <c r="F415" s="68" t="str">
        <f aca="false">VLOOKUP(D415,Map_Table,4,FALSE())</f>
        <v>Fixed</v>
      </c>
      <c r="G415" s="96" t="n">
        <v>326</v>
      </c>
      <c r="H415" s="68" t="str">
        <f aca="false">"E"&amp;TEXT(A415,"yyyymm")&amp;"-"&amp;TEXT(VLOOKUP(D415,Map_Table,2,FALSE()),"0")</f>
        <v>E202508-6203</v>
      </c>
    </row>
    <row r="416" customFormat="false" ht="15" hidden="false" customHeight="false" outlineLevel="0" collapsed="false">
      <c r="A416" s="101" t="n">
        <v>45900</v>
      </c>
      <c r="B416" s="102" t="n">
        <f aca="false">YEAR(A416)</f>
        <v>2025</v>
      </c>
      <c r="C416" s="102" t="n">
        <f aca="false">MONTH(A416)</f>
        <v>8</v>
      </c>
      <c r="D416" s="100" t="s">
        <v>305</v>
      </c>
      <c r="E416" s="68" t="str">
        <f aca="false">VLOOKUP(D416,Map_Table,3,FALSE())</f>
        <v>General &amp; Administrative</v>
      </c>
      <c r="F416" s="68" t="str">
        <f aca="false">VLOOKUP(D416,Map_Table,4,FALSE())</f>
        <v>Fixed</v>
      </c>
      <c r="G416" s="96" t="n">
        <v>580</v>
      </c>
      <c r="H416" s="68" t="str">
        <f aca="false">"E"&amp;TEXT(A416,"yyyymm")&amp;"-"&amp;TEXT(VLOOKUP(D416,Map_Table,2,FALSE()),"0")</f>
        <v>E202508-6204</v>
      </c>
    </row>
    <row r="417" customFormat="false" ht="15" hidden="false" customHeight="false" outlineLevel="0" collapsed="false">
      <c r="A417" s="101" t="n">
        <v>45900</v>
      </c>
      <c r="B417" s="102" t="n">
        <f aca="false">YEAR(A417)</f>
        <v>2025</v>
      </c>
      <c r="C417" s="102" t="n">
        <f aca="false">MONTH(A417)</f>
        <v>8</v>
      </c>
      <c r="D417" s="100" t="s">
        <v>306</v>
      </c>
      <c r="E417" s="68" t="str">
        <f aca="false">VLOOKUP(D417,Map_Table,3,FALSE())</f>
        <v>General &amp; Administrative</v>
      </c>
      <c r="F417" s="68" t="str">
        <f aca="false">VLOOKUP(D417,Map_Table,4,FALSE())</f>
        <v>Fixed</v>
      </c>
      <c r="G417" s="96" t="n">
        <v>222</v>
      </c>
      <c r="H417" s="68" t="str">
        <f aca="false">"E"&amp;TEXT(A417,"yyyymm")&amp;"-"&amp;TEXT(VLOOKUP(D417,Map_Table,2,FALSE()),"0")</f>
        <v>E202508-6205</v>
      </c>
    </row>
    <row r="418" customFormat="false" ht="15" hidden="false" customHeight="false" outlineLevel="0" collapsed="false">
      <c r="A418" s="101" t="n">
        <v>45900</v>
      </c>
      <c r="B418" s="102" t="n">
        <f aca="false">YEAR(A418)</f>
        <v>2025</v>
      </c>
      <c r="C418" s="102" t="n">
        <f aca="false">MONTH(A418)</f>
        <v>8</v>
      </c>
      <c r="D418" s="100" t="s">
        <v>307</v>
      </c>
      <c r="E418" s="68" t="str">
        <f aca="false">VLOOKUP(D418,Map_Table,3,FALSE())</f>
        <v>General &amp; Administrative</v>
      </c>
      <c r="F418" s="68" t="str">
        <f aca="false">VLOOKUP(D418,Map_Table,4,FALSE())</f>
        <v>Fixed</v>
      </c>
      <c r="G418" s="96" t="n">
        <v>452</v>
      </c>
      <c r="H418" s="68" t="str">
        <f aca="false">"E"&amp;TEXT(A418,"yyyymm")&amp;"-"&amp;TEXT(VLOOKUP(D418,Map_Table,2,FALSE()),"0")</f>
        <v>E202508-6206</v>
      </c>
    </row>
    <row r="419" customFormat="false" ht="15" hidden="false" customHeight="false" outlineLevel="0" collapsed="false">
      <c r="A419" s="101" t="n">
        <v>45900</v>
      </c>
      <c r="B419" s="102" t="n">
        <f aca="false">YEAR(A419)</f>
        <v>2025</v>
      </c>
      <c r="C419" s="102" t="n">
        <f aca="false">MONTH(A419)</f>
        <v>8</v>
      </c>
      <c r="D419" s="100" t="s">
        <v>308</v>
      </c>
      <c r="E419" s="68" t="str">
        <f aca="false">VLOOKUP(D419,Map_Table,3,FALSE())</f>
        <v>General &amp; Administrative</v>
      </c>
      <c r="F419" s="68" t="str">
        <f aca="false">VLOOKUP(D419,Map_Table,4,FALSE())</f>
        <v>Fixed</v>
      </c>
      <c r="G419" s="96" t="n">
        <v>366</v>
      </c>
      <c r="H419" s="68" t="str">
        <f aca="false">"E"&amp;TEXT(A419,"yyyymm")&amp;"-"&amp;TEXT(VLOOKUP(D419,Map_Table,2,FALSE()),"0")</f>
        <v>E202508-6207</v>
      </c>
    </row>
    <row r="420" customFormat="false" ht="15" hidden="false" customHeight="false" outlineLevel="0" collapsed="false">
      <c r="A420" s="101" t="n">
        <v>45900</v>
      </c>
      <c r="B420" s="102" t="n">
        <f aca="false">YEAR(A420)</f>
        <v>2025</v>
      </c>
      <c r="C420" s="102" t="n">
        <f aca="false">MONTH(A420)</f>
        <v>8</v>
      </c>
      <c r="D420" s="100" t="s">
        <v>309</v>
      </c>
      <c r="E420" s="68" t="str">
        <f aca="false">VLOOKUP(D420,Map_Table,3,FALSE())</f>
        <v>General &amp; Administrative</v>
      </c>
      <c r="F420" s="68" t="str">
        <f aca="false">VLOOKUP(D420,Map_Table,4,FALSE())</f>
        <v>Variable</v>
      </c>
      <c r="G420" s="96" t="n">
        <v>124</v>
      </c>
      <c r="H420" s="68" t="str">
        <f aca="false">"E"&amp;TEXT(A420,"yyyymm")&amp;"-"&amp;TEXT(VLOOKUP(D420,Map_Table,2,FALSE()),"0")</f>
        <v>E202508-6208</v>
      </c>
    </row>
    <row r="421" customFormat="false" ht="15" hidden="false" customHeight="false" outlineLevel="0" collapsed="false">
      <c r="A421" s="101" t="n">
        <v>45930</v>
      </c>
      <c r="B421" s="102" t="n">
        <f aca="false">YEAR(A421)</f>
        <v>2025</v>
      </c>
      <c r="C421" s="102" t="n">
        <f aca="false">MONTH(A421)</f>
        <v>9</v>
      </c>
      <c r="D421" s="100" t="s">
        <v>297</v>
      </c>
      <c r="E421" s="68" t="str">
        <f aca="false">VLOOKUP(D421,Map_Table,3,FALSE())</f>
        <v>Selling &amp; Distribution</v>
      </c>
      <c r="F421" s="68" t="str">
        <f aca="false">VLOOKUP(D421,Map_Table,4,FALSE())</f>
        <v>Variable</v>
      </c>
      <c r="G421" s="96" t="n">
        <v>1334</v>
      </c>
      <c r="H421" s="68" t="str">
        <f aca="false">"E"&amp;TEXT(A421,"yyyymm")&amp;"-"&amp;TEXT(VLOOKUP(D421,Map_Table,2,FALSE()),"0")</f>
        <v>E202509-6101</v>
      </c>
    </row>
    <row r="422" customFormat="false" ht="15" hidden="false" customHeight="false" outlineLevel="0" collapsed="false">
      <c r="A422" s="101" t="n">
        <v>45930</v>
      </c>
      <c r="B422" s="102" t="n">
        <f aca="false">YEAR(A422)</f>
        <v>2025</v>
      </c>
      <c r="C422" s="102" t="n">
        <f aca="false">MONTH(A422)</f>
        <v>9</v>
      </c>
      <c r="D422" s="100" t="s">
        <v>298</v>
      </c>
      <c r="E422" s="68" t="str">
        <f aca="false">VLOOKUP(D422,Map_Table,3,FALSE())</f>
        <v>Selling &amp; Distribution</v>
      </c>
      <c r="F422" s="68" t="str">
        <f aca="false">VLOOKUP(D422,Map_Table,4,FALSE())</f>
        <v>Variable</v>
      </c>
      <c r="G422" s="96" t="n">
        <v>731</v>
      </c>
      <c r="H422" s="68" t="str">
        <f aca="false">"E"&amp;TEXT(A422,"yyyymm")&amp;"-"&amp;TEXT(VLOOKUP(D422,Map_Table,2,FALSE()),"0")</f>
        <v>E202509-6102</v>
      </c>
    </row>
    <row r="423" customFormat="false" ht="15" hidden="false" customHeight="false" outlineLevel="0" collapsed="false">
      <c r="A423" s="101" t="n">
        <v>45930</v>
      </c>
      <c r="B423" s="102" t="n">
        <f aca="false">YEAR(A423)</f>
        <v>2025</v>
      </c>
      <c r="C423" s="102" t="n">
        <f aca="false">MONTH(A423)</f>
        <v>9</v>
      </c>
      <c r="D423" s="100" t="s">
        <v>299</v>
      </c>
      <c r="E423" s="68" t="str">
        <f aca="false">VLOOKUP(D423,Map_Table,3,FALSE())</f>
        <v>Selling &amp; Distribution</v>
      </c>
      <c r="F423" s="68" t="str">
        <f aca="false">VLOOKUP(D423,Map_Table,4,FALSE())</f>
        <v>Variable</v>
      </c>
      <c r="G423" s="96" t="n">
        <v>2005</v>
      </c>
      <c r="H423" s="68" t="str">
        <f aca="false">"E"&amp;TEXT(A423,"yyyymm")&amp;"-"&amp;TEXT(VLOOKUP(D423,Map_Table,2,FALSE()),"0")</f>
        <v>E202509-6103</v>
      </c>
    </row>
    <row r="424" customFormat="false" ht="15" hidden="false" customHeight="false" outlineLevel="0" collapsed="false">
      <c r="A424" s="101" t="n">
        <v>45930</v>
      </c>
      <c r="B424" s="102" t="n">
        <f aca="false">YEAR(A424)</f>
        <v>2025</v>
      </c>
      <c r="C424" s="102" t="n">
        <f aca="false">MONTH(A424)</f>
        <v>9</v>
      </c>
      <c r="D424" s="100" t="s">
        <v>300</v>
      </c>
      <c r="E424" s="68" t="str">
        <f aca="false">VLOOKUP(D424,Map_Table,3,FALSE())</f>
        <v>Selling &amp; Distribution</v>
      </c>
      <c r="F424" s="68" t="str">
        <f aca="false">VLOOKUP(D424,Map_Table,4,FALSE())</f>
        <v>Fixed</v>
      </c>
      <c r="G424" s="96" t="n">
        <v>2102</v>
      </c>
      <c r="H424" s="68" t="str">
        <f aca="false">"E"&amp;TEXT(A424,"yyyymm")&amp;"-"&amp;TEXT(VLOOKUP(D424,Map_Table,2,FALSE()),"0")</f>
        <v>E202509-6104</v>
      </c>
    </row>
    <row r="425" customFormat="false" ht="15" hidden="false" customHeight="false" outlineLevel="0" collapsed="false">
      <c r="A425" s="101" t="n">
        <v>45930</v>
      </c>
      <c r="B425" s="102" t="n">
        <f aca="false">YEAR(A425)</f>
        <v>2025</v>
      </c>
      <c r="C425" s="102" t="n">
        <f aca="false">MONTH(A425)</f>
        <v>9</v>
      </c>
      <c r="D425" s="100" t="s">
        <v>301</v>
      </c>
      <c r="E425" s="68" t="str">
        <f aca="false">VLOOKUP(D425,Map_Table,3,FALSE())</f>
        <v>Selling &amp; Distribution</v>
      </c>
      <c r="F425" s="68" t="str">
        <f aca="false">VLOOKUP(D425,Map_Table,4,FALSE())</f>
        <v>Fixed</v>
      </c>
      <c r="G425" s="96" t="n">
        <v>2780</v>
      </c>
      <c r="H425" s="68" t="str">
        <f aca="false">"E"&amp;TEXT(A425,"yyyymm")&amp;"-"&amp;TEXT(VLOOKUP(D425,Map_Table,2,FALSE()),"0")</f>
        <v>E202509-6105</v>
      </c>
    </row>
    <row r="426" customFormat="false" ht="15" hidden="false" customHeight="false" outlineLevel="0" collapsed="false">
      <c r="A426" s="101" t="n">
        <v>45930</v>
      </c>
      <c r="B426" s="102" t="n">
        <f aca="false">YEAR(A426)</f>
        <v>2025</v>
      </c>
      <c r="C426" s="102" t="n">
        <f aca="false">MONTH(A426)</f>
        <v>9</v>
      </c>
      <c r="D426" s="100" t="s">
        <v>302</v>
      </c>
      <c r="E426" s="68" t="str">
        <f aca="false">VLOOKUP(D426,Map_Table,3,FALSE())</f>
        <v>General &amp; Administrative</v>
      </c>
      <c r="F426" s="68" t="str">
        <f aca="false">VLOOKUP(D426,Map_Table,4,FALSE())</f>
        <v>Fixed</v>
      </c>
      <c r="G426" s="96" t="n">
        <v>2520</v>
      </c>
      <c r="H426" s="68" t="str">
        <f aca="false">"E"&amp;TEXT(A426,"yyyymm")&amp;"-"&amp;TEXT(VLOOKUP(D426,Map_Table,2,FALSE()),"0")</f>
        <v>E202509-6201</v>
      </c>
    </row>
    <row r="427" customFormat="false" ht="15" hidden="false" customHeight="false" outlineLevel="0" collapsed="false">
      <c r="A427" s="101" t="n">
        <v>45930</v>
      </c>
      <c r="B427" s="102" t="n">
        <f aca="false">YEAR(A427)</f>
        <v>2025</v>
      </c>
      <c r="C427" s="102" t="n">
        <f aca="false">MONTH(A427)</f>
        <v>9</v>
      </c>
      <c r="D427" s="100" t="s">
        <v>303</v>
      </c>
      <c r="E427" s="68" t="str">
        <f aca="false">VLOOKUP(D427,Map_Table,3,FALSE())</f>
        <v>General &amp; Administrative</v>
      </c>
      <c r="F427" s="68" t="str">
        <f aca="false">VLOOKUP(D427,Map_Table,4,FALSE())</f>
        <v>Fixed</v>
      </c>
      <c r="G427" s="96" t="n">
        <v>686</v>
      </c>
      <c r="H427" s="68" t="str">
        <f aca="false">"E"&amp;TEXT(A427,"yyyymm")&amp;"-"&amp;TEXT(VLOOKUP(D427,Map_Table,2,FALSE()),"0")</f>
        <v>E202509-6202</v>
      </c>
    </row>
    <row r="428" customFormat="false" ht="15" hidden="false" customHeight="false" outlineLevel="0" collapsed="false">
      <c r="A428" s="101" t="n">
        <v>45930</v>
      </c>
      <c r="B428" s="102" t="n">
        <f aca="false">YEAR(A428)</f>
        <v>2025</v>
      </c>
      <c r="C428" s="102" t="n">
        <f aca="false">MONTH(A428)</f>
        <v>9</v>
      </c>
      <c r="D428" s="100" t="s">
        <v>304</v>
      </c>
      <c r="E428" s="68" t="str">
        <f aca="false">VLOOKUP(D428,Map_Table,3,FALSE())</f>
        <v>General &amp; Administrative</v>
      </c>
      <c r="F428" s="68" t="str">
        <f aca="false">VLOOKUP(D428,Map_Table,4,FALSE())</f>
        <v>Fixed</v>
      </c>
      <c r="G428" s="96" t="n">
        <v>327</v>
      </c>
      <c r="H428" s="68" t="str">
        <f aca="false">"E"&amp;TEXT(A428,"yyyymm")&amp;"-"&amp;TEXT(VLOOKUP(D428,Map_Table,2,FALSE()),"0")</f>
        <v>E202509-6203</v>
      </c>
    </row>
    <row r="429" customFormat="false" ht="15" hidden="false" customHeight="false" outlineLevel="0" collapsed="false">
      <c r="A429" s="101" t="n">
        <v>45930</v>
      </c>
      <c r="B429" s="102" t="n">
        <f aca="false">YEAR(A429)</f>
        <v>2025</v>
      </c>
      <c r="C429" s="102" t="n">
        <f aca="false">MONTH(A429)</f>
        <v>9</v>
      </c>
      <c r="D429" s="100" t="s">
        <v>305</v>
      </c>
      <c r="E429" s="68" t="str">
        <f aca="false">VLOOKUP(D429,Map_Table,3,FALSE())</f>
        <v>General &amp; Administrative</v>
      </c>
      <c r="F429" s="68" t="str">
        <f aca="false">VLOOKUP(D429,Map_Table,4,FALSE())</f>
        <v>Fixed</v>
      </c>
      <c r="G429" s="96" t="n">
        <v>561</v>
      </c>
      <c r="H429" s="68" t="str">
        <f aca="false">"E"&amp;TEXT(A429,"yyyymm")&amp;"-"&amp;TEXT(VLOOKUP(D429,Map_Table,2,FALSE()),"0")</f>
        <v>E202509-6204</v>
      </c>
    </row>
    <row r="430" customFormat="false" ht="15" hidden="false" customHeight="false" outlineLevel="0" collapsed="false">
      <c r="A430" s="101" t="n">
        <v>45930</v>
      </c>
      <c r="B430" s="102" t="n">
        <f aca="false">YEAR(A430)</f>
        <v>2025</v>
      </c>
      <c r="C430" s="102" t="n">
        <f aca="false">MONTH(A430)</f>
        <v>9</v>
      </c>
      <c r="D430" s="100" t="s">
        <v>306</v>
      </c>
      <c r="E430" s="68" t="str">
        <f aca="false">VLOOKUP(D430,Map_Table,3,FALSE())</f>
        <v>General &amp; Administrative</v>
      </c>
      <c r="F430" s="68" t="str">
        <f aca="false">VLOOKUP(D430,Map_Table,4,FALSE())</f>
        <v>Fixed</v>
      </c>
      <c r="G430" s="96" t="n">
        <v>210</v>
      </c>
      <c r="H430" s="68" t="str">
        <f aca="false">"E"&amp;TEXT(A430,"yyyymm")&amp;"-"&amp;TEXT(VLOOKUP(D430,Map_Table,2,FALSE()),"0")</f>
        <v>E202509-6205</v>
      </c>
    </row>
    <row r="431" customFormat="false" ht="15" hidden="false" customHeight="false" outlineLevel="0" collapsed="false">
      <c r="A431" s="101" t="n">
        <v>45930</v>
      </c>
      <c r="B431" s="102" t="n">
        <f aca="false">YEAR(A431)</f>
        <v>2025</v>
      </c>
      <c r="C431" s="102" t="n">
        <f aca="false">MONTH(A431)</f>
        <v>9</v>
      </c>
      <c r="D431" s="100" t="s">
        <v>307</v>
      </c>
      <c r="E431" s="68" t="str">
        <f aca="false">VLOOKUP(D431,Map_Table,3,FALSE())</f>
        <v>General &amp; Administrative</v>
      </c>
      <c r="F431" s="68" t="str">
        <f aca="false">VLOOKUP(D431,Map_Table,4,FALSE())</f>
        <v>Fixed</v>
      </c>
      <c r="G431" s="96" t="n">
        <v>452</v>
      </c>
      <c r="H431" s="68" t="str">
        <f aca="false">"E"&amp;TEXT(A431,"yyyymm")&amp;"-"&amp;TEXT(VLOOKUP(D431,Map_Table,2,FALSE()),"0")</f>
        <v>E202509-6206</v>
      </c>
    </row>
    <row r="432" customFormat="false" ht="15" hidden="false" customHeight="false" outlineLevel="0" collapsed="false">
      <c r="A432" s="101" t="n">
        <v>45930</v>
      </c>
      <c r="B432" s="102" t="n">
        <f aca="false">YEAR(A432)</f>
        <v>2025</v>
      </c>
      <c r="C432" s="102" t="n">
        <f aca="false">MONTH(A432)</f>
        <v>9</v>
      </c>
      <c r="D432" s="100" t="s">
        <v>308</v>
      </c>
      <c r="E432" s="68" t="str">
        <f aca="false">VLOOKUP(D432,Map_Table,3,FALSE())</f>
        <v>General &amp; Administrative</v>
      </c>
      <c r="F432" s="68" t="str">
        <f aca="false">VLOOKUP(D432,Map_Table,4,FALSE())</f>
        <v>Fixed</v>
      </c>
      <c r="G432" s="96" t="n">
        <v>378</v>
      </c>
      <c r="H432" s="68" t="str">
        <f aca="false">"E"&amp;TEXT(A432,"yyyymm")&amp;"-"&amp;TEXT(VLOOKUP(D432,Map_Table,2,FALSE()),"0")</f>
        <v>E202509-6207</v>
      </c>
    </row>
    <row r="433" customFormat="false" ht="15" hidden="false" customHeight="false" outlineLevel="0" collapsed="false">
      <c r="A433" s="101" t="n">
        <v>45930</v>
      </c>
      <c r="B433" s="102" t="n">
        <f aca="false">YEAR(A433)</f>
        <v>2025</v>
      </c>
      <c r="C433" s="102" t="n">
        <f aca="false">MONTH(A433)</f>
        <v>9</v>
      </c>
      <c r="D433" s="100" t="s">
        <v>309</v>
      </c>
      <c r="E433" s="68" t="str">
        <f aca="false">VLOOKUP(D433,Map_Table,3,FALSE())</f>
        <v>General &amp; Administrative</v>
      </c>
      <c r="F433" s="68" t="str">
        <f aca="false">VLOOKUP(D433,Map_Table,4,FALSE())</f>
        <v>Variable</v>
      </c>
      <c r="G433" s="96" t="n">
        <v>121</v>
      </c>
      <c r="H433" s="68" t="str">
        <f aca="false">"E"&amp;TEXT(A433,"yyyymm")&amp;"-"&amp;TEXT(VLOOKUP(D433,Map_Table,2,FALSE()),"0")</f>
        <v>E202509-6208</v>
      </c>
    </row>
    <row r="434" customFormat="false" ht="15" hidden="false" customHeight="false" outlineLevel="0" collapsed="false">
      <c r="A434" s="101" t="n">
        <v>45961</v>
      </c>
      <c r="B434" s="102" t="n">
        <f aca="false">YEAR(A434)</f>
        <v>2025</v>
      </c>
      <c r="C434" s="102" t="n">
        <f aca="false">MONTH(A434)</f>
        <v>10</v>
      </c>
      <c r="D434" s="100" t="s">
        <v>297</v>
      </c>
      <c r="E434" s="68" t="str">
        <f aca="false">VLOOKUP(D434,Map_Table,3,FALSE())</f>
        <v>Selling &amp; Distribution</v>
      </c>
      <c r="F434" s="68" t="str">
        <f aca="false">VLOOKUP(D434,Map_Table,4,FALSE())</f>
        <v>Variable</v>
      </c>
      <c r="G434" s="96" t="n">
        <v>1324</v>
      </c>
      <c r="H434" s="68" t="str">
        <f aca="false">"E"&amp;TEXT(A434,"yyyymm")&amp;"-"&amp;TEXT(VLOOKUP(D434,Map_Table,2,FALSE()),"0")</f>
        <v>E202510-6101</v>
      </c>
    </row>
    <row r="435" customFormat="false" ht="15" hidden="false" customHeight="false" outlineLevel="0" collapsed="false">
      <c r="A435" s="101" t="n">
        <v>45961</v>
      </c>
      <c r="B435" s="102" t="n">
        <f aca="false">YEAR(A435)</f>
        <v>2025</v>
      </c>
      <c r="C435" s="102" t="n">
        <f aca="false">MONTH(A435)</f>
        <v>10</v>
      </c>
      <c r="D435" s="100" t="s">
        <v>298</v>
      </c>
      <c r="E435" s="68" t="str">
        <f aca="false">VLOOKUP(D435,Map_Table,3,FALSE())</f>
        <v>Selling &amp; Distribution</v>
      </c>
      <c r="F435" s="68" t="str">
        <f aca="false">VLOOKUP(D435,Map_Table,4,FALSE())</f>
        <v>Variable</v>
      </c>
      <c r="G435" s="96" t="n">
        <v>945</v>
      </c>
      <c r="H435" s="68" t="str">
        <f aca="false">"E"&amp;TEXT(A435,"yyyymm")&amp;"-"&amp;TEXT(VLOOKUP(D435,Map_Table,2,FALSE()),"0")</f>
        <v>E202510-6102</v>
      </c>
    </row>
    <row r="436" customFormat="false" ht="15" hidden="false" customHeight="false" outlineLevel="0" collapsed="false">
      <c r="A436" s="101" t="n">
        <v>45961</v>
      </c>
      <c r="B436" s="102" t="n">
        <f aca="false">YEAR(A436)</f>
        <v>2025</v>
      </c>
      <c r="C436" s="102" t="n">
        <f aca="false">MONTH(A436)</f>
        <v>10</v>
      </c>
      <c r="D436" s="100" t="s">
        <v>299</v>
      </c>
      <c r="E436" s="68" t="str">
        <f aca="false">VLOOKUP(D436,Map_Table,3,FALSE())</f>
        <v>Selling &amp; Distribution</v>
      </c>
      <c r="F436" s="68" t="str">
        <f aca="false">VLOOKUP(D436,Map_Table,4,FALSE())</f>
        <v>Variable</v>
      </c>
      <c r="G436" s="96" t="n">
        <v>1985</v>
      </c>
      <c r="H436" s="68" t="str">
        <f aca="false">"E"&amp;TEXT(A436,"yyyymm")&amp;"-"&amp;TEXT(VLOOKUP(D436,Map_Table,2,FALSE()),"0")</f>
        <v>E202510-6103</v>
      </c>
    </row>
    <row r="437" customFormat="false" ht="15" hidden="false" customHeight="false" outlineLevel="0" collapsed="false">
      <c r="A437" s="101" t="n">
        <v>45961</v>
      </c>
      <c r="B437" s="102" t="n">
        <f aca="false">YEAR(A437)</f>
        <v>2025</v>
      </c>
      <c r="C437" s="102" t="n">
        <f aca="false">MONTH(A437)</f>
        <v>10</v>
      </c>
      <c r="D437" s="100" t="s">
        <v>300</v>
      </c>
      <c r="E437" s="68" t="str">
        <f aca="false">VLOOKUP(D437,Map_Table,3,FALSE())</f>
        <v>Selling &amp; Distribution</v>
      </c>
      <c r="F437" s="68" t="str">
        <f aca="false">VLOOKUP(D437,Map_Table,4,FALSE())</f>
        <v>Fixed</v>
      </c>
      <c r="G437" s="96" t="n">
        <v>2058</v>
      </c>
      <c r="H437" s="68" t="str">
        <f aca="false">"E"&amp;TEXT(A437,"yyyymm")&amp;"-"&amp;TEXT(VLOOKUP(D437,Map_Table,2,FALSE()),"0")</f>
        <v>E202510-6104</v>
      </c>
    </row>
    <row r="438" customFormat="false" ht="15" hidden="false" customHeight="false" outlineLevel="0" collapsed="false">
      <c r="A438" s="101" t="n">
        <v>45961</v>
      </c>
      <c r="B438" s="102" t="n">
        <f aca="false">YEAR(A438)</f>
        <v>2025</v>
      </c>
      <c r="C438" s="102" t="n">
        <f aca="false">MONTH(A438)</f>
        <v>10</v>
      </c>
      <c r="D438" s="100" t="s">
        <v>301</v>
      </c>
      <c r="E438" s="68" t="str">
        <f aca="false">VLOOKUP(D438,Map_Table,3,FALSE())</f>
        <v>Selling &amp; Distribution</v>
      </c>
      <c r="F438" s="68" t="str">
        <f aca="false">VLOOKUP(D438,Map_Table,4,FALSE())</f>
        <v>Fixed</v>
      </c>
      <c r="G438" s="96" t="n">
        <v>2750</v>
      </c>
      <c r="H438" s="68" t="str">
        <f aca="false">"E"&amp;TEXT(A438,"yyyymm")&amp;"-"&amp;TEXT(VLOOKUP(D438,Map_Table,2,FALSE()),"0")</f>
        <v>E202510-6105</v>
      </c>
    </row>
    <row r="439" customFormat="false" ht="15" hidden="false" customHeight="false" outlineLevel="0" collapsed="false">
      <c r="A439" s="101" t="n">
        <v>45961</v>
      </c>
      <c r="B439" s="102" t="n">
        <f aca="false">YEAR(A439)</f>
        <v>2025</v>
      </c>
      <c r="C439" s="102" t="n">
        <f aca="false">MONTH(A439)</f>
        <v>10</v>
      </c>
      <c r="D439" s="100" t="s">
        <v>302</v>
      </c>
      <c r="E439" s="68" t="str">
        <f aca="false">VLOOKUP(D439,Map_Table,3,FALSE())</f>
        <v>General &amp; Administrative</v>
      </c>
      <c r="F439" s="68" t="str">
        <f aca="false">VLOOKUP(D439,Map_Table,4,FALSE())</f>
        <v>Fixed</v>
      </c>
      <c r="G439" s="96" t="n">
        <v>2495</v>
      </c>
      <c r="H439" s="68" t="str">
        <f aca="false">"E"&amp;TEXT(A439,"yyyymm")&amp;"-"&amp;TEXT(VLOOKUP(D439,Map_Table,2,FALSE()),"0")</f>
        <v>E202510-6201</v>
      </c>
    </row>
    <row r="440" customFormat="false" ht="15" hidden="false" customHeight="false" outlineLevel="0" collapsed="false">
      <c r="A440" s="101" t="n">
        <v>45961</v>
      </c>
      <c r="B440" s="102" t="n">
        <f aca="false">YEAR(A440)</f>
        <v>2025</v>
      </c>
      <c r="C440" s="102" t="n">
        <f aca="false">MONTH(A440)</f>
        <v>10</v>
      </c>
      <c r="D440" s="100" t="s">
        <v>303</v>
      </c>
      <c r="E440" s="68" t="str">
        <f aca="false">VLOOKUP(D440,Map_Table,3,FALSE())</f>
        <v>General &amp; Administrative</v>
      </c>
      <c r="F440" s="68" t="str">
        <f aca="false">VLOOKUP(D440,Map_Table,4,FALSE())</f>
        <v>Fixed</v>
      </c>
      <c r="G440" s="96" t="n">
        <v>684</v>
      </c>
      <c r="H440" s="68" t="str">
        <f aca="false">"E"&amp;TEXT(A440,"yyyymm")&amp;"-"&amp;TEXT(VLOOKUP(D440,Map_Table,2,FALSE()),"0")</f>
        <v>E202510-6202</v>
      </c>
    </row>
    <row r="441" customFormat="false" ht="15" hidden="false" customHeight="false" outlineLevel="0" collapsed="false">
      <c r="A441" s="101" t="n">
        <v>45961</v>
      </c>
      <c r="B441" s="102" t="n">
        <f aca="false">YEAR(A441)</f>
        <v>2025</v>
      </c>
      <c r="C441" s="102" t="n">
        <f aca="false">MONTH(A441)</f>
        <v>10</v>
      </c>
      <c r="D441" s="100" t="s">
        <v>304</v>
      </c>
      <c r="E441" s="68" t="str">
        <f aca="false">VLOOKUP(D441,Map_Table,3,FALSE())</f>
        <v>General &amp; Administrative</v>
      </c>
      <c r="F441" s="68" t="str">
        <f aca="false">VLOOKUP(D441,Map_Table,4,FALSE())</f>
        <v>Fixed</v>
      </c>
      <c r="G441" s="96" t="n">
        <v>334</v>
      </c>
      <c r="H441" s="68" t="str">
        <f aca="false">"E"&amp;TEXT(A441,"yyyymm")&amp;"-"&amp;TEXT(VLOOKUP(D441,Map_Table,2,FALSE()),"0")</f>
        <v>E202510-6203</v>
      </c>
    </row>
    <row r="442" customFormat="false" ht="15" hidden="false" customHeight="false" outlineLevel="0" collapsed="false">
      <c r="A442" s="101" t="n">
        <v>45961</v>
      </c>
      <c r="B442" s="102" t="n">
        <f aca="false">YEAR(A442)</f>
        <v>2025</v>
      </c>
      <c r="C442" s="102" t="n">
        <f aca="false">MONTH(A442)</f>
        <v>10</v>
      </c>
      <c r="D442" s="100" t="s">
        <v>305</v>
      </c>
      <c r="E442" s="68" t="str">
        <f aca="false">VLOOKUP(D442,Map_Table,3,FALSE())</f>
        <v>General &amp; Administrative</v>
      </c>
      <c r="F442" s="68" t="str">
        <f aca="false">VLOOKUP(D442,Map_Table,4,FALSE())</f>
        <v>Fixed</v>
      </c>
      <c r="G442" s="96" t="n">
        <v>571</v>
      </c>
      <c r="H442" s="68" t="str">
        <f aca="false">"E"&amp;TEXT(A442,"yyyymm")&amp;"-"&amp;TEXT(VLOOKUP(D442,Map_Table,2,FALSE()),"0")</f>
        <v>E202510-6204</v>
      </c>
    </row>
    <row r="443" customFormat="false" ht="15" hidden="false" customHeight="false" outlineLevel="0" collapsed="false">
      <c r="A443" s="101" t="n">
        <v>45961</v>
      </c>
      <c r="B443" s="102" t="n">
        <f aca="false">YEAR(A443)</f>
        <v>2025</v>
      </c>
      <c r="C443" s="102" t="n">
        <f aca="false">MONTH(A443)</f>
        <v>10</v>
      </c>
      <c r="D443" s="100" t="s">
        <v>306</v>
      </c>
      <c r="E443" s="68" t="str">
        <f aca="false">VLOOKUP(D443,Map_Table,3,FALSE())</f>
        <v>General &amp; Administrative</v>
      </c>
      <c r="F443" s="68" t="str">
        <f aca="false">VLOOKUP(D443,Map_Table,4,FALSE())</f>
        <v>Fixed</v>
      </c>
      <c r="G443" s="96" t="n">
        <v>227</v>
      </c>
      <c r="H443" s="68" t="str">
        <f aca="false">"E"&amp;TEXT(A443,"yyyymm")&amp;"-"&amp;TEXT(VLOOKUP(D443,Map_Table,2,FALSE()),"0")</f>
        <v>E202510-6205</v>
      </c>
    </row>
    <row r="444" customFormat="false" ht="15" hidden="false" customHeight="false" outlineLevel="0" collapsed="false">
      <c r="A444" s="101" t="n">
        <v>45961</v>
      </c>
      <c r="B444" s="102" t="n">
        <f aca="false">YEAR(A444)</f>
        <v>2025</v>
      </c>
      <c r="C444" s="102" t="n">
        <f aca="false">MONTH(A444)</f>
        <v>10</v>
      </c>
      <c r="D444" s="100" t="s">
        <v>307</v>
      </c>
      <c r="E444" s="68" t="str">
        <f aca="false">VLOOKUP(D444,Map_Table,3,FALSE())</f>
        <v>General &amp; Administrative</v>
      </c>
      <c r="F444" s="68" t="str">
        <f aca="false">VLOOKUP(D444,Map_Table,4,FALSE())</f>
        <v>Fixed</v>
      </c>
      <c r="G444" s="96" t="n">
        <v>459</v>
      </c>
      <c r="H444" s="68" t="str">
        <f aca="false">"E"&amp;TEXT(A444,"yyyymm")&amp;"-"&amp;TEXT(VLOOKUP(D444,Map_Table,2,FALSE()),"0")</f>
        <v>E202510-6206</v>
      </c>
    </row>
    <row r="445" customFormat="false" ht="15" hidden="false" customHeight="false" outlineLevel="0" collapsed="false">
      <c r="A445" s="101" t="n">
        <v>45961</v>
      </c>
      <c r="B445" s="102" t="n">
        <f aca="false">YEAR(A445)</f>
        <v>2025</v>
      </c>
      <c r="C445" s="102" t="n">
        <f aca="false">MONTH(A445)</f>
        <v>10</v>
      </c>
      <c r="D445" s="100" t="s">
        <v>308</v>
      </c>
      <c r="E445" s="68" t="str">
        <f aca="false">VLOOKUP(D445,Map_Table,3,FALSE())</f>
        <v>General &amp; Administrative</v>
      </c>
      <c r="F445" s="68" t="str">
        <f aca="false">VLOOKUP(D445,Map_Table,4,FALSE())</f>
        <v>Fixed</v>
      </c>
      <c r="G445" s="96" t="n">
        <v>373</v>
      </c>
      <c r="H445" s="68" t="str">
        <f aca="false">"E"&amp;TEXT(A445,"yyyymm")&amp;"-"&amp;TEXT(VLOOKUP(D445,Map_Table,2,FALSE()),"0")</f>
        <v>E202510-6207</v>
      </c>
    </row>
    <row r="446" customFormat="false" ht="15" hidden="false" customHeight="false" outlineLevel="0" collapsed="false">
      <c r="A446" s="101" t="n">
        <v>45961</v>
      </c>
      <c r="B446" s="102" t="n">
        <f aca="false">YEAR(A446)</f>
        <v>2025</v>
      </c>
      <c r="C446" s="102" t="n">
        <f aca="false">MONTH(A446)</f>
        <v>10</v>
      </c>
      <c r="D446" s="100" t="s">
        <v>309</v>
      </c>
      <c r="E446" s="68" t="str">
        <f aca="false">VLOOKUP(D446,Map_Table,3,FALSE())</f>
        <v>General &amp; Administrative</v>
      </c>
      <c r="F446" s="68" t="str">
        <f aca="false">VLOOKUP(D446,Map_Table,4,FALSE())</f>
        <v>Variable</v>
      </c>
      <c r="G446" s="96" t="n">
        <v>127</v>
      </c>
      <c r="H446" s="68" t="str">
        <f aca="false">"E"&amp;TEXT(A446,"yyyymm")&amp;"-"&amp;TEXT(VLOOKUP(D446,Map_Table,2,FALSE()),"0")</f>
        <v>E202510-6208</v>
      </c>
    </row>
    <row r="447" customFormat="false" ht="15" hidden="false" customHeight="false" outlineLevel="0" collapsed="false">
      <c r="A447" s="101" t="n">
        <v>45991</v>
      </c>
      <c r="B447" s="102" t="n">
        <f aca="false">YEAR(A447)</f>
        <v>2025</v>
      </c>
      <c r="C447" s="102" t="n">
        <f aca="false">MONTH(A447)</f>
        <v>11</v>
      </c>
      <c r="D447" s="100" t="s">
        <v>297</v>
      </c>
      <c r="E447" s="68" t="str">
        <f aca="false">VLOOKUP(D447,Map_Table,3,FALSE())</f>
        <v>Selling &amp; Distribution</v>
      </c>
      <c r="F447" s="68" t="str">
        <f aca="false">VLOOKUP(D447,Map_Table,4,FALSE())</f>
        <v>Variable</v>
      </c>
      <c r="G447" s="96" t="n">
        <v>1393</v>
      </c>
      <c r="H447" s="68" t="str">
        <f aca="false">"E"&amp;TEXT(A447,"yyyymm")&amp;"-"&amp;TEXT(VLOOKUP(D447,Map_Table,2,FALSE()),"0")</f>
        <v>E202511-6101</v>
      </c>
    </row>
    <row r="448" customFormat="false" ht="15" hidden="false" customHeight="false" outlineLevel="0" collapsed="false">
      <c r="A448" s="101" t="n">
        <v>45991</v>
      </c>
      <c r="B448" s="102" t="n">
        <f aca="false">YEAR(A448)</f>
        <v>2025</v>
      </c>
      <c r="C448" s="102" t="n">
        <f aca="false">MONTH(A448)</f>
        <v>11</v>
      </c>
      <c r="D448" s="100" t="s">
        <v>298</v>
      </c>
      <c r="E448" s="68" t="str">
        <f aca="false">VLOOKUP(D448,Map_Table,3,FALSE())</f>
        <v>Selling &amp; Distribution</v>
      </c>
      <c r="F448" s="68" t="str">
        <f aca="false">VLOOKUP(D448,Map_Table,4,FALSE())</f>
        <v>Variable</v>
      </c>
      <c r="G448" s="96" t="n">
        <v>981</v>
      </c>
      <c r="H448" s="68" t="str">
        <f aca="false">"E"&amp;TEXT(A448,"yyyymm")&amp;"-"&amp;TEXT(VLOOKUP(D448,Map_Table,2,FALSE()),"0")</f>
        <v>E202511-6102</v>
      </c>
    </row>
    <row r="449" customFormat="false" ht="15" hidden="false" customHeight="false" outlineLevel="0" collapsed="false">
      <c r="A449" s="101" t="n">
        <v>45991</v>
      </c>
      <c r="B449" s="102" t="n">
        <f aca="false">YEAR(A449)</f>
        <v>2025</v>
      </c>
      <c r="C449" s="102" t="n">
        <f aca="false">MONTH(A449)</f>
        <v>11</v>
      </c>
      <c r="D449" s="100" t="s">
        <v>299</v>
      </c>
      <c r="E449" s="68" t="str">
        <f aca="false">VLOOKUP(D449,Map_Table,3,FALSE())</f>
        <v>Selling &amp; Distribution</v>
      </c>
      <c r="F449" s="68" t="str">
        <f aca="false">VLOOKUP(D449,Map_Table,4,FALSE())</f>
        <v>Variable</v>
      </c>
      <c r="G449" s="96" t="n">
        <v>2013</v>
      </c>
      <c r="H449" s="68" t="str">
        <f aca="false">"E"&amp;TEXT(A449,"yyyymm")&amp;"-"&amp;TEXT(VLOOKUP(D449,Map_Table,2,FALSE()),"0")</f>
        <v>E202511-6103</v>
      </c>
    </row>
    <row r="450" customFormat="false" ht="15" hidden="false" customHeight="false" outlineLevel="0" collapsed="false">
      <c r="A450" s="101" t="n">
        <v>45991</v>
      </c>
      <c r="B450" s="102" t="n">
        <f aca="false">YEAR(A450)</f>
        <v>2025</v>
      </c>
      <c r="C450" s="102" t="n">
        <f aca="false">MONTH(A450)</f>
        <v>11</v>
      </c>
      <c r="D450" s="100" t="s">
        <v>300</v>
      </c>
      <c r="E450" s="68" t="str">
        <f aca="false">VLOOKUP(D450,Map_Table,3,FALSE())</f>
        <v>Selling &amp; Distribution</v>
      </c>
      <c r="F450" s="68" t="str">
        <f aca="false">VLOOKUP(D450,Map_Table,4,FALSE())</f>
        <v>Fixed</v>
      </c>
      <c r="G450" s="96" t="n">
        <v>2106</v>
      </c>
      <c r="H450" s="68" t="str">
        <f aca="false">"E"&amp;TEXT(A450,"yyyymm")&amp;"-"&amp;TEXT(VLOOKUP(D450,Map_Table,2,FALSE()),"0")</f>
        <v>E202511-6104</v>
      </c>
    </row>
    <row r="451" customFormat="false" ht="15" hidden="false" customHeight="false" outlineLevel="0" collapsed="false">
      <c r="A451" s="101" t="n">
        <v>45991</v>
      </c>
      <c r="B451" s="102" t="n">
        <f aca="false">YEAR(A451)</f>
        <v>2025</v>
      </c>
      <c r="C451" s="102" t="n">
        <f aca="false">MONTH(A451)</f>
        <v>11</v>
      </c>
      <c r="D451" s="100" t="s">
        <v>301</v>
      </c>
      <c r="E451" s="68" t="str">
        <f aca="false">VLOOKUP(D451,Map_Table,3,FALSE())</f>
        <v>Selling &amp; Distribution</v>
      </c>
      <c r="F451" s="68" t="str">
        <f aca="false">VLOOKUP(D451,Map_Table,4,FALSE())</f>
        <v>Fixed</v>
      </c>
      <c r="G451" s="96" t="n">
        <v>2726</v>
      </c>
      <c r="H451" s="68" t="str">
        <f aca="false">"E"&amp;TEXT(A451,"yyyymm")&amp;"-"&amp;TEXT(VLOOKUP(D451,Map_Table,2,FALSE()),"0")</f>
        <v>E202511-6105</v>
      </c>
    </row>
    <row r="452" customFormat="false" ht="15" hidden="false" customHeight="false" outlineLevel="0" collapsed="false">
      <c r="A452" s="101" t="n">
        <v>45991</v>
      </c>
      <c r="B452" s="102" t="n">
        <f aca="false">YEAR(A452)</f>
        <v>2025</v>
      </c>
      <c r="C452" s="102" t="n">
        <f aca="false">MONTH(A452)</f>
        <v>11</v>
      </c>
      <c r="D452" s="100" t="s">
        <v>302</v>
      </c>
      <c r="E452" s="68" t="str">
        <f aca="false">VLOOKUP(D452,Map_Table,3,FALSE())</f>
        <v>General &amp; Administrative</v>
      </c>
      <c r="F452" s="68" t="str">
        <f aca="false">VLOOKUP(D452,Map_Table,4,FALSE())</f>
        <v>Fixed</v>
      </c>
      <c r="G452" s="96" t="n">
        <v>2486</v>
      </c>
      <c r="H452" s="68" t="str">
        <f aca="false">"E"&amp;TEXT(A452,"yyyymm")&amp;"-"&amp;TEXT(VLOOKUP(D452,Map_Table,2,FALSE()),"0")</f>
        <v>E202511-6201</v>
      </c>
    </row>
    <row r="453" customFormat="false" ht="15" hidden="false" customHeight="false" outlineLevel="0" collapsed="false">
      <c r="A453" s="101" t="n">
        <v>45991</v>
      </c>
      <c r="B453" s="102" t="n">
        <f aca="false">YEAR(A453)</f>
        <v>2025</v>
      </c>
      <c r="C453" s="102" t="n">
        <f aca="false">MONTH(A453)</f>
        <v>11</v>
      </c>
      <c r="D453" s="100" t="s">
        <v>303</v>
      </c>
      <c r="E453" s="68" t="str">
        <f aca="false">VLOOKUP(D453,Map_Table,3,FALSE())</f>
        <v>General &amp; Administrative</v>
      </c>
      <c r="F453" s="68" t="str">
        <f aca="false">VLOOKUP(D453,Map_Table,4,FALSE())</f>
        <v>Fixed</v>
      </c>
      <c r="G453" s="96" t="n">
        <v>691</v>
      </c>
      <c r="H453" s="68" t="str">
        <f aca="false">"E"&amp;TEXT(A453,"yyyymm")&amp;"-"&amp;TEXT(VLOOKUP(D453,Map_Table,2,FALSE()),"0")</f>
        <v>E202511-6202</v>
      </c>
    </row>
    <row r="454" customFormat="false" ht="15" hidden="false" customHeight="false" outlineLevel="0" collapsed="false">
      <c r="A454" s="101" t="n">
        <v>45991</v>
      </c>
      <c r="B454" s="102" t="n">
        <f aca="false">YEAR(A454)</f>
        <v>2025</v>
      </c>
      <c r="C454" s="102" t="n">
        <f aca="false">MONTH(A454)</f>
        <v>11</v>
      </c>
      <c r="D454" s="100" t="s">
        <v>304</v>
      </c>
      <c r="E454" s="68" t="str">
        <f aca="false">VLOOKUP(D454,Map_Table,3,FALSE())</f>
        <v>General &amp; Administrative</v>
      </c>
      <c r="F454" s="68" t="str">
        <f aca="false">VLOOKUP(D454,Map_Table,4,FALSE())</f>
        <v>Fixed</v>
      </c>
      <c r="G454" s="96" t="n">
        <v>330</v>
      </c>
      <c r="H454" s="68" t="str">
        <f aca="false">"E"&amp;TEXT(A454,"yyyymm")&amp;"-"&amp;TEXT(VLOOKUP(D454,Map_Table,2,FALSE()),"0")</f>
        <v>E202511-6203</v>
      </c>
    </row>
    <row r="455" customFormat="false" ht="15" hidden="false" customHeight="false" outlineLevel="0" collapsed="false">
      <c r="A455" s="101" t="n">
        <v>45991</v>
      </c>
      <c r="B455" s="102" t="n">
        <f aca="false">YEAR(A455)</f>
        <v>2025</v>
      </c>
      <c r="C455" s="102" t="n">
        <f aca="false">MONTH(A455)</f>
        <v>11</v>
      </c>
      <c r="D455" s="100" t="s">
        <v>305</v>
      </c>
      <c r="E455" s="68" t="str">
        <f aca="false">VLOOKUP(D455,Map_Table,3,FALSE())</f>
        <v>General &amp; Administrative</v>
      </c>
      <c r="F455" s="68" t="str">
        <f aca="false">VLOOKUP(D455,Map_Table,4,FALSE())</f>
        <v>Fixed</v>
      </c>
      <c r="G455" s="96" t="n">
        <v>567</v>
      </c>
      <c r="H455" s="68" t="str">
        <f aca="false">"E"&amp;TEXT(A455,"yyyymm")&amp;"-"&amp;TEXT(VLOOKUP(D455,Map_Table,2,FALSE()),"0")</f>
        <v>E202511-6204</v>
      </c>
    </row>
    <row r="456" customFormat="false" ht="15" hidden="false" customHeight="false" outlineLevel="0" collapsed="false">
      <c r="A456" s="101" t="n">
        <v>45991</v>
      </c>
      <c r="B456" s="102" t="n">
        <f aca="false">YEAR(A456)</f>
        <v>2025</v>
      </c>
      <c r="C456" s="102" t="n">
        <f aca="false">MONTH(A456)</f>
        <v>11</v>
      </c>
      <c r="D456" s="100" t="s">
        <v>306</v>
      </c>
      <c r="E456" s="68" t="str">
        <f aca="false">VLOOKUP(D456,Map_Table,3,FALSE())</f>
        <v>General &amp; Administrative</v>
      </c>
      <c r="F456" s="68" t="str">
        <f aca="false">VLOOKUP(D456,Map_Table,4,FALSE())</f>
        <v>Fixed</v>
      </c>
      <c r="G456" s="96" t="n">
        <v>203</v>
      </c>
      <c r="H456" s="68" t="str">
        <f aca="false">"E"&amp;TEXT(A456,"yyyymm")&amp;"-"&amp;TEXT(VLOOKUP(D456,Map_Table,2,FALSE()),"0")</f>
        <v>E202511-6205</v>
      </c>
    </row>
    <row r="457" customFormat="false" ht="15" hidden="false" customHeight="false" outlineLevel="0" collapsed="false">
      <c r="A457" s="101" t="n">
        <v>45991</v>
      </c>
      <c r="B457" s="102" t="n">
        <f aca="false">YEAR(A457)</f>
        <v>2025</v>
      </c>
      <c r="C457" s="102" t="n">
        <f aca="false">MONTH(A457)</f>
        <v>11</v>
      </c>
      <c r="D457" s="100" t="s">
        <v>307</v>
      </c>
      <c r="E457" s="68" t="str">
        <f aca="false">VLOOKUP(D457,Map_Table,3,FALSE())</f>
        <v>General &amp; Administrative</v>
      </c>
      <c r="F457" s="68" t="str">
        <f aca="false">VLOOKUP(D457,Map_Table,4,FALSE())</f>
        <v>Fixed</v>
      </c>
      <c r="G457" s="96" t="n">
        <v>461</v>
      </c>
      <c r="H457" s="68" t="str">
        <f aca="false">"E"&amp;TEXT(A457,"yyyymm")&amp;"-"&amp;TEXT(VLOOKUP(D457,Map_Table,2,FALSE()),"0")</f>
        <v>E202511-6206</v>
      </c>
    </row>
    <row r="458" customFormat="false" ht="15" hidden="false" customHeight="false" outlineLevel="0" collapsed="false">
      <c r="A458" s="101" t="n">
        <v>45991</v>
      </c>
      <c r="B458" s="102" t="n">
        <f aca="false">YEAR(A458)</f>
        <v>2025</v>
      </c>
      <c r="C458" s="102" t="n">
        <f aca="false">MONTH(A458)</f>
        <v>11</v>
      </c>
      <c r="D458" s="100" t="s">
        <v>308</v>
      </c>
      <c r="E458" s="68" t="str">
        <f aca="false">VLOOKUP(D458,Map_Table,3,FALSE())</f>
        <v>General &amp; Administrative</v>
      </c>
      <c r="F458" s="68" t="str">
        <f aca="false">VLOOKUP(D458,Map_Table,4,FALSE())</f>
        <v>Fixed</v>
      </c>
      <c r="G458" s="96" t="n">
        <v>366</v>
      </c>
      <c r="H458" s="68" t="str">
        <f aca="false">"E"&amp;TEXT(A458,"yyyymm")&amp;"-"&amp;TEXT(VLOOKUP(D458,Map_Table,2,FALSE()),"0")</f>
        <v>E202511-6207</v>
      </c>
    </row>
    <row r="459" customFormat="false" ht="15" hidden="false" customHeight="false" outlineLevel="0" collapsed="false">
      <c r="A459" s="101" t="n">
        <v>45991</v>
      </c>
      <c r="B459" s="102" t="n">
        <f aca="false">YEAR(A459)</f>
        <v>2025</v>
      </c>
      <c r="C459" s="102" t="n">
        <f aca="false">MONTH(A459)</f>
        <v>11</v>
      </c>
      <c r="D459" s="100" t="s">
        <v>309</v>
      </c>
      <c r="E459" s="68" t="str">
        <f aca="false">VLOOKUP(D459,Map_Table,3,FALSE())</f>
        <v>General &amp; Administrative</v>
      </c>
      <c r="F459" s="68" t="str">
        <f aca="false">VLOOKUP(D459,Map_Table,4,FALSE())</f>
        <v>Variable</v>
      </c>
      <c r="G459" s="96" t="n">
        <v>132</v>
      </c>
      <c r="H459" s="68" t="str">
        <f aca="false">"E"&amp;TEXT(A459,"yyyymm")&amp;"-"&amp;TEXT(VLOOKUP(D459,Map_Table,2,FALSE()),"0")</f>
        <v>E202511-6208</v>
      </c>
    </row>
    <row r="460" customFormat="false" ht="15" hidden="false" customHeight="false" outlineLevel="0" collapsed="false">
      <c r="A460" s="101" t="n">
        <v>46022</v>
      </c>
      <c r="B460" s="102" t="n">
        <f aca="false">YEAR(A460)</f>
        <v>2025</v>
      </c>
      <c r="C460" s="102" t="n">
        <f aca="false">MONTH(A460)</f>
        <v>12</v>
      </c>
      <c r="D460" s="100" t="s">
        <v>297</v>
      </c>
      <c r="E460" s="68" t="str">
        <f aca="false">VLOOKUP(D460,Map_Table,3,FALSE())</f>
        <v>Selling &amp; Distribution</v>
      </c>
      <c r="F460" s="68" t="str">
        <f aca="false">VLOOKUP(D460,Map_Table,4,FALSE())</f>
        <v>Variable</v>
      </c>
      <c r="G460" s="96" t="n">
        <v>1546</v>
      </c>
      <c r="H460" s="68" t="str">
        <f aca="false">"E"&amp;TEXT(A460,"yyyymm")&amp;"-"&amp;TEXT(VLOOKUP(D460,Map_Table,2,FALSE()),"0")</f>
        <v>E202512-6101</v>
      </c>
    </row>
    <row r="461" customFormat="false" ht="15" hidden="false" customHeight="false" outlineLevel="0" collapsed="false">
      <c r="A461" s="101" t="n">
        <v>46022</v>
      </c>
      <c r="B461" s="102" t="n">
        <f aca="false">YEAR(A461)</f>
        <v>2025</v>
      </c>
      <c r="C461" s="102" t="n">
        <f aca="false">MONTH(A461)</f>
        <v>12</v>
      </c>
      <c r="D461" s="100" t="s">
        <v>298</v>
      </c>
      <c r="E461" s="68" t="str">
        <f aca="false">VLOOKUP(D461,Map_Table,3,FALSE())</f>
        <v>Selling &amp; Distribution</v>
      </c>
      <c r="F461" s="68" t="str">
        <f aca="false">VLOOKUP(D461,Map_Table,4,FALSE())</f>
        <v>Variable</v>
      </c>
      <c r="G461" s="96" t="n">
        <v>1027</v>
      </c>
      <c r="H461" s="68" t="str">
        <f aca="false">"E"&amp;TEXT(A461,"yyyymm")&amp;"-"&amp;TEXT(VLOOKUP(D461,Map_Table,2,FALSE()),"0")</f>
        <v>E202512-6102</v>
      </c>
    </row>
    <row r="462" customFormat="false" ht="15" hidden="false" customHeight="false" outlineLevel="0" collapsed="false">
      <c r="A462" s="101" t="n">
        <v>46022</v>
      </c>
      <c r="B462" s="102" t="n">
        <f aca="false">YEAR(A462)</f>
        <v>2025</v>
      </c>
      <c r="C462" s="102" t="n">
        <f aca="false">MONTH(A462)</f>
        <v>12</v>
      </c>
      <c r="D462" s="100" t="s">
        <v>299</v>
      </c>
      <c r="E462" s="68" t="str">
        <f aca="false">VLOOKUP(D462,Map_Table,3,FALSE())</f>
        <v>Selling &amp; Distribution</v>
      </c>
      <c r="F462" s="68" t="str">
        <f aca="false">VLOOKUP(D462,Map_Table,4,FALSE())</f>
        <v>Variable</v>
      </c>
      <c r="G462" s="96" t="n">
        <v>2228</v>
      </c>
      <c r="H462" s="68" t="str">
        <f aca="false">"E"&amp;TEXT(A462,"yyyymm")&amp;"-"&amp;TEXT(VLOOKUP(D462,Map_Table,2,FALSE()),"0")</f>
        <v>E202512-6103</v>
      </c>
    </row>
    <row r="463" customFormat="false" ht="15" hidden="false" customHeight="false" outlineLevel="0" collapsed="false">
      <c r="A463" s="101" t="n">
        <v>46022</v>
      </c>
      <c r="B463" s="102" t="n">
        <f aca="false">YEAR(A463)</f>
        <v>2025</v>
      </c>
      <c r="C463" s="102" t="n">
        <f aca="false">MONTH(A463)</f>
        <v>12</v>
      </c>
      <c r="D463" s="100" t="s">
        <v>300</v>
      </c>
      <c r="E463" s="68" t="str">
        <f aca="false">VLOOKUP(D463,Map_Table,3,FALSE())</f>
        <v>Selling &amp; Distribution</v>
      </c>
      <c r="F463" s="68" t="str">
        <f aca="false">VLOOKUP(D463,Map_Table,4,FALSE())</f>
        <v>Fixed</v>
      </c>
      <c r="G463" s="96" t="n">
        <v>2050</v>
      </c>
      <c r="H463" s="68" t="str">
        <f aca="false">"E"&amp;TEXT(A463,"yyyymm")&amp;"-"&amp;TEXT(VLOOKUP(D463,Map_Table,2,FALSE()),"0")</f>
        <v>E202512-6104</v>
      </c>
    </row>
    <row r="464" customFormat="false" ht="15" hidden="false" customHeight="false" outlineLevel="0" collapsed="false">
      <c r="A464" s="101" t="n">
        <v>46022</v>
      </c>
      <c r="B464" s="102" t="n">
        <f aca="false">YEAR(A464)</f>
        <v>2025</v>
      </c>
      <c r="C464" s="102" t="n">
        <f aca="false">MONTH(A464)</f>
        <v>12</v>
      </c>
      <c r="D464" s="100" t="s">
        <v>301</v>
      </c>
      <c r="E464" s="68" t="str">
        <f aca="false">VLOOKUP(D464,Map_Table,3,FALSE())</f>
        <v>Selling &amp; Distribution</v>
      </c>
      <c r="F464" s="68" t="str">
        <f aca="false">VLOOKUP(D464,Map_Table,4,FALSE())</f>
        <v>Fixed</v>
      </c>
      <c r="G464" s="96" t="n">
        <v>2685</v>
      </c>
      <c r="H464" s="68" t="str">
        <f aca="false">"E"&amp;TEXT(A464,"yyyymm")&amp;"-"&amp;TEXT(VLOOKUP(D464,Map_Table,2,FALSE()),"0")</f>
        <v>E202512-6105</v>
      </c>
    </row>
    <row r="465" customFormat="false" ht="15" hidden="false" customHeight="false" outlineLevel="0" collapsed="false">
      <c r="A465" s="101" t="n">
        <v>46022</v>
      </c>
      <c r="B465" s="102" t="n">
        <f aca="false">YEAR(A465)</f>
        <v>2025</v>
      </c>
      <c r="C465" s="102" t="n">
        <f aca="false">MONTH(A465)</f>
        <v>12</v>
      </c>
      <c r="D465" s="100" t="s">
        <v>302</v>
      </c>
      <c r="E465" s="68" t="str">
        <f aca="false">VLOOKUP(D465,Map_Table,3,FALSE())</f>
        <v>General &amp; Administrative</v>
      </c>
      <c r="F465" s="68" t="str">
        <f aca="false">VLOOKUP(D465,Map_Table,4,FALSE())</f>
        <v>Fixed</v>
      </c>
      <c r="G465" s="96" t="n">
        <v>2473</v>
      </c>
      <c r="H465" s="68" t="str">
        <f aca="false">"E"&amp;TEXT(A465,"yyyymm")&amp;"-"&amp;TEXT(VLOOKUP(D465,Map_Table,2,FALSE()),"0")</f>
        <v>E202512-6201</v>
      </c>
    </row>
    <row r="466" customFormat="false" ht="15" hidden="false" customHeight="false" outlineLevel="0" collapsed="false">
      <c r="A466" s="101" t="n">
        <v>46022</v>
      </c>
      <c r="B466" s="102" t="n">
        <f aca="false">YEAR(A466)</f>
        <v>2025</v>
      </c>
      <c r="C466" s="102" t="n">
        <f aca="false">MONTH(A466)</f>
        <v>12</v>
      </c>
      <c r="D466" s="100" t="s">
        <v>303</v>
      </c>
      <c r="E466" s="68" t="str">
        <f aca="false">VLOOKUP(D466,Map_Table,3,FALSE())</f>
        <v>General &amp; Administrative</v>
      </c>
      <c r="F466" s="68" t="str">
        <f aca="false">VLOOKUP(D466,Map_Table,4,FALSE())</f>
        <v>Fixed</v>
      </c>
      <c r="G466" s="96" t="n">
        <v>666</v>
      </c>
      <c r="H466" s="68" t="str">
        <f aca="false">"E"&amp;TEXT(A466,"yyyymm")&amp;"-"&amp;TEXT(VLOOKUP(D466,Map_Table,2,FALSE()),"0")</f>
        <v>E202512-6202</v>
      </c>
    </row>
    <row r="467" customFormat="false" ht="15" hidden="false" customHeight="false" outlineLevel="0" collapsed="false">
      <c r="A467" s="101" t="n">
        <v>46022</v>
      </c>
      <c r="B467" s="102" t="n">
        <f aca="false">YEAR(A467)</f>
        <v>2025</v>
      </c>
      <c r="C467" s="102" t="n">
        <f aca="false">MONTH(A467)</f>
        <v>12</v>
      </c>
      <c r="D467" s="100" t="s">
        <v>304</v>
      </c>
      <c r="E467" s="68" t="str">
        <f aca="false">VLOOKUP(D467,Map_Table,3,FALSE())</f>
        <v>General &amp; Administrative</v>
      </c>
      <c r="F467" s="68" t="str">
        <f aca="false">VLOOKUP(D467,Map_Table,4,FALSE())</f>
        <v>Fixed</v>
      </c>
      <c r="G467" s="96" t="n">
        <v>334</v>
      </c>
      <c r="H467" s="68" t="str">
        <f aca="false">"E"&amp;TEXT(A467,"yyyymm")&amp;"-"&amp;TEXT(VLOOKUP(D467,Map_Table,2,FALSE()),"0")</f>
        <v>E202512-6203</v>
      </c>
    </row>
    <row r="468" customFormat="false" ht="15" hidden="false" customHeight="false" outlineLevel="0" collapsed="false">
      <c r="A468" s="101" t="n">
        <v>46022</v>
      </c>
      <c r="B468" s="102" t="n">
        <f aca="false">YEAR(A468)</f>
        <v>2025</v>
      </c>
      <c r="C468" s="102" t="n">
        <f aca="false">MONTH(A468)</f>
        <v>12</v>
      </c>
      <c r="D468" s="100" t="s">
        <v>305</v>
      </c>
      <c r="E468" s="68" t="str">
        <f aca="false">VLOOKUP(D468,Map_Table,3,FALSE())</f>
        <v>General &amp; Administrative</v>
      </c>
      <c r="F468" s="68" t="str">
        <f aca="false">VLOOKUP(D468,Map_Table,4,FALSE())</f>
        <v>Fixed</v>
      </c>
      <c r="G468" s="96" t="n">
        <v>568</v>
      </c>
      <c r="H468" s="68" t="str">
        <f aca="false">"E"&amp;TEXT(A468,"yyyymm")&amp;"-"&amp;TEXT(VLOOKUP(D468,Map_Table,2,FALSE()),"0")</f>
        <v>E202512-6204</v>
      </c>
    </row>
    <row r="469" customFormat="false" ht="15" hidden="false" customHeight="false" outlineLevel="0" collapsed="false">
      <c r="A469" s="101" t="n">
        <v>46022</v>
      </c>
      <c r="B469" s="102" t="n">
        <f aca="false">YEAR(A469)</f>
        <v>2025</v>
      </c>
      <c r="C469" s="102" t="n">
        <f aca="false">MONTH(A469)</f>
        <v>12</v>
      </c>
      <c r="D469" s="100" t="s">
        <v>306</v>
      </c>
      <c r="E469" s="68" t="str">
        <f aca="false">VLOOKUP(D469,Map_Table,3,FALSE())</f>
        <v>General &amp; Administrative</v>
      </c>
      <c r="F469" s="68" t="str">
        <f aca="false">VLOOKUP(D469,Map_Table,4,FALSE())</f>
        <v>Fixed</v>
      </c>
      <c r="G469" s="96" t="n">
        <v>239</v>
      </c>
      <c r="H469" s="68" t="str">
        <f aca="false">"E"&amp;TEXT(A469,"yyyymm")&amp;"-"&amp;TEXT(VLOOKUP(D469,Map_Table,2,FALSE()),"0")</f>
        <v>E202512-6205</v>
      </c>
    </row>
    <row r="470" customFormat="false" ht="15" hidden="false" customHeight="false" outlineLevel="0" collapsed="false">
      <c r="A470" s="101" t="n">
        <v>46022</v>
      </c>
      <c r="B470" s="102" t="n">
        <f aca="false">YEAR(A470)</f>
        <v>2025</v>
      </c>
      <c r="C470" s="102" t="n">
        <f aca="false">MONTH(A470)</f>
        <v>12</v>
      </c>
      <c r="D470" s="100" t="s">
        <v>307</v>
      </c>
      <c r="E470" s="68" t="str">
        <f aca="false">VLOOKUP(D470,Map_Table,3,FALSE())</f>
        <v>General &amp; Administrative</v>
      </c>
      <c r="F470" s="68" t="str">
        <f aca="false">VLOOKUP(D470,Map_Table,4,FALSE())</f>
        <v>Fixed</v>
      </c>
      <c r="G470" s="96" t="n">
        <v>462</v>
      </c>
      <c r="H470" s="68" t="str">
        <f aca="false">"E"&amp;TEXT(A470,"yyyymm")&amp;"-"&amp;TEXT(VLOOKUP(D470,Map_Table,2,FALSE()),"0")</f>
        <v>E202512-6206</v>
      </c>
    </row>
    <row r="471" customFormat="false" ht="15" hidden="false" customHeight="false" outlineLevel="0" collapsed="false">
      <c r="A471" s="101" t="n">
        <v>46022</v>
      </c>
      <c r="B471" s="102" t="n">
        <f aca="false">YEAR(A471)</f>
        <v>2025</v>
      </c>
      <c r="C471" s="102" t="n">
        <f aca="false">MONTH(A471)</f>
        <v>12</v>
      </c>
      <c r="D471" s="100" t="s">
        <v>308</v>
      </c>
      <c r="E471" s="68" t="str">
        <f aca="false">VLOOKUP(D471,Map_Table,3,FALSE())</f>
        <v>General &amp; Administrative</v>
      </c>
      <c r="F471" s="68" t="str">
        <f aca="false">VLOOKUP(D471,Map_Table,4,FALSE())</f>
        <v>Fixed</v>
      </c>
      <c r="G471" s="96" t="n">
        <v>372</v>
      </c>
      <c r="H471" s="68" t="str">
        <f aca="false">"E"&amp;TEXT(A471,"yyyymm")&amp;"-"&amp;TEXT(VLOOKUP(D471,Map_Table,2,FALSE()),"0")</f>
        <v>E202512-6207</v>
      </c>
    </row>
    <row r="472" customFormat="false" ht="15" hidden="false" customHeight="false" outlineLevel="0" collapsed="false">
      <c r="A472" s="101" t="n">
        <v>46022</v>
      </c>
      <c r="B472" s="102" t="n">
        <f aca="false">YEAR(A472)</f>
        <v>2025</v>
      </c>
      <c r="C472" s="102" t="n">
        <f aca="false">MONTH(A472)</f>
        <v>12</v>
      </c>
      <c r="D472" s="100" t="s">
        <v>309</v>
      </c>
      <c r="E472" s="68" t="str">
        <f aca="false">VLOOKUP(D472,Map_Table,3,FALSE())</f>
        <v>General &amp; Administrative</v>
      </c>
      <c r="F472" s="68" t="str">
        <f aca="false">VLOOKUP(D472,Map_Table,4,FALSE())</f>
        <v>Variable</v>
      </c>
      <c r="G472" s="96" t="n">
        <v>145</v>
      </c>
      <c r="H472" s="68" t="str">
        <f aca="false">"E"&amp;TEXT(A472,"yyyymm")&amp;"-"&amp;TEXT(VLOOKUP(D472,Map_Table,2,FALSE()),"0")</f>
        <v>E202512-6208</v>
      </c>
    </row>
  </sheetData>
  <autoFilter ref="A4:H47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B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4"/>
  </cols>
  <sheetData>
    <row r="1" customFormat="false" ht="24" hidden="false" customHeight="true" outlineLevel="0" collapsed="false">
      <c r="B1" s="17" t="s">
        <v>73</v>
      </c>
    </row>
    <row r="2" customFormat="false" ht="15" hidden="false" customHeight="false" outlineLevel="0" collapsed="false">
      <c r="B2" s="18" t="s">
        <v>664</v>
      </c>
    </row>
    <row r="3" customFormat="false" ht="15" hidden="false" customHeight="false" outlineLevel="0" collapsed="false">
      <c r="B3" s="19" t="str">
        <f aca="false">HYPERLINK("#Cover!A1","◄ Back to Cover")</f>
        <v>◄ Back to Cover</v>
      </c>
    </row>
    <row r="5" customFormat="false" ht="15" hidden="false" customHeight="false" outlineLevel="0" collapsed="false">
      <c r="B5" s="33" t="s">
        <v>665</v>
      </c>
      <c r="C5" s="62" t="str">
        <f aca="false">"FY"&amp;Inputs!D$22</f>
        <v>FY2023</v>
      </c>
      <c r="D5" s="62" t="str">
        <f aca="false">"FY"&amp;Inputs!E$22</f>
        <v>FY2024</v>
      </c>
      <c r="E5" s="62" t="str">
        <f aca="false">"FY"&amp;Inputs!F$22</f>
        <v>FY2025</v>
      </c>
    </row>
    <row r="6" customFormat="false" ht="15" hidden="false" customHeight="false" outlineLevel="0" collapsed="false">
      <c r="B6" s="39" t="s">
        <v>133</v>
      </c>
      <c r="C6" s="44" t="n">
        <f aca="false">Income_Statement!D7</f>
        <v>821118</v>
      </c>
      <c r="D6" s="44" t="n">
        <f aca="false">Income_Statement!E7</f>
        <v>897238</v>
      </c>
      <c r="E6" s="44" t="n">
        <f aca="false">Income_Statement!F7</f>
        <v>972442</v>
      </c>
    </row>
    <row r="7" customFormat="false" ht="15" hidden="false" customHeight="false" outlineLevel="0" collapsed="false">
      <c r="B7" s="39" t="s">
        <v>137</v>
      </c>
      <c r="C7" s="44" t="n">
        <f aca="false">Income_Statement!D9</f>
        <v>207141</v>
      </c>
      <c r="D7" s="44" t="n">
        <f aca="false">Income_Statement!E9</f>
        <v>228680</v>
      </c>
      <c r="E7" s="44" t="n">
        <f aca="false">Income_Statement!F9</f>
        <v>249894</v>
      </c>
    </row>
    <row r="8" customFormat="false" ht="15" hidden="false" customHeight="false" outlineLevel="0" collapsed="false">
      <c r="B8" s="39" t="s">
        <v>121</v>
      </c>
      <c r="C8" s="44" t="n">
        <f aca="false">Income_Statement!D24</f>
        <v>57360</v>
      </c>
      <c r="D8" s="44" t="n">
        <f aca="false">Income_Statement!E24</f>
        <v>68923</v>
      </c>
      <c r="E8" s="44" t="n">
        <f aca="false">Income_Statement!F24</f>
        <v>82040</v>
      </c>
    </row>
    <row r="9" customFormat="false" ht="15" hidden="false" customHeight="false" outlineLevel="0" collapsed="false">
      <c r="B9" s="39" t="s">
        <v>397</v>
      </c>
      <c r="C9" s="44" t="n">
        <f aca="false">Income_Statement!D20</f>
        <v>22482</v>
      </c>
      <c r="D9" s="44" t="n">
        <f aca="false">Income_Statement!E20</f>
        <v>29009</v>
      </c>
      <c r="E9" s="44" t="n">
        <f aca="false">Income_Statement!F20</f>
        <v>37406</v>
      </c>
    </row>
    <row r="12" customFormat="false" ht="15" hidden="false" customHeight="false" outlineLevel="0" collapsed="false">
      <c r="B12" s="33" t="s">
        <v>666</v>
      </c>
      <c r="C12" s="62" t="str">
        <f aca="false">"FY"&amp;Inputs!D$22</f>
        <v>FY2023</v>
      </c>
      <c r="D12" s="62" t="str">
        <f aca="false">"FY"&amp;Inputs!E$22</f>
        <v>FY2024</v>
      </c>
      <c r="E12" s="62" t="str">
        <f aca="false">"FY"&amp;Inputs!F$22</f>
        <v>FY2025</v>
      </c>
    </row>
    <row r="13" customFormat="false" ht="15" hidden="false" customHeight="false" outlineLevel="0" collapsed="false">
      <c r="B13" s="39" t="s">
        <v>667</v>
      </c>
      <c r="C13" s="65" t="n">
        <f aca="false">Ratio_Analysis!D7</f>
        <v>0.252267031047913</v>
      </c>
      <c r="D13" s="65" t="n">
        <f aca="false">Ratio_Analysis!E7</f>
        <v>0.25487105985257</v>
      </c>
      <c r="E13" s="65" t="n">
        <f aca="false">Ratio_Analysis!F7</f>
        <v>0.256975737370455</v>
      </c>
    </row>
    <row r="14" customFormat="false" ht="15" hidden="false" customHeight="false" outlineLevel="0" collapsed="false">
      <c r="B14" s="39" t="s">
        <v>479</v>
      </c>
      <c r="C14" s="65" t="n">
        <f aca="false">Ratio_Analysis!D8</f>
        <v>0.0698559768510738</v>
      </c>
      <c r="D14" s="65" t="n">
        <f aca="false">Ratio_Analysis!E8</f>
        <v>0.0768168534992945</v>
      </c>
      <c r="E14" s="65" t="n">
        <f aca="false">Ratio_Analysis!F8</f>
        <v>0.0843649287052595</v>
      </c>
    </row>
    <row r="15" customFormat="false" ht="15" hidden="false" customHeight="false" outlineLevel="0" collapsed="false">
      <c r="B15" s="39" t="s">
        <v>668</v>
      </c>
      <c r="C15" s="65" t="n">
        <f aca="false">Ratio_Analysis!D10</f>
        <v>0.0273797432281353</v>
      </c>
      <c r="D15" s="65" t="n">
        <f aca="false">Ratio_Analysis!E10</f>
        <v>0.0323314438309568</v>
      </c>
      <c r="E15" s="65" t="n">
        <f aca="false">Ratio_Analysis!F10</f>
        <v>0.0384660473323859</v>
      </c>
    </row>
    <row r="18" customFormat="false" ht="15" hidden="false" customHeight="false" outlineLevel="0" collapsed="false">
      <c r="B18" s="33" t="s">
        <v>669</v>
      </c>
      <c r="C18" s="62" t="str">
        <f aca="false">"FY"&amp;Dash_Year</f>
        <v>FY2025</v>
      </c>
    </row>
    <row r="19" customFormat="false" ht="15" hidden="false" customHeight="false" outlineLevel="0" collapsed="false">
      <c r="B19" s="78" t="str">
        <f aca="false">Lists!C5</f>
        <v>Packaged Food</v>
      </c>
      <c r="C19" s="40" t="n">
        <f aca="false">SUMIFS(Sales_Net,Sales_Year,Dash_Year,Sales_Cat,B19)</f>
        <v>382510</v>
      </c>
    </row>
    <row r="20" customFormat="false" ht="15" hidden="false" customHeight="false" outlineLevel="0" collapsed="false">
      <c r="B20" s="78" t="str">
        <f aca="false">Lists!C6</f>
        <v>Beverages</v>
      </c>
      <c r="C20" s="40" t="n">
        <f aca="false">SUMIFS(Sales_Net,Sales_Year,Dash_Year,Sales_Cat,B20)</f>
        <v>292182</v>
      </c>
    </row>
    <row r="21" customFormat="false" ht="15" hidden="false" customHeight="false" outlineLevel="0" collapsed="false">
      <c r="B21" s="78" t="str">
        <f aca="false">Lists!C7</f>
        <v>Household &amp; Personal Care</v>
      </c>
      <c r="C21" s="40" t="n">
        <f aca="false">SUMIFS(Sales_Net,Sales_Year,Dash_Year,Sales_Cat,B21)</f>
        <v>170561</v>
      </c>
    </row>
    <row r="22" customFormat="false" ht="15" hidden="false" customHeight="false" outlineLevel="0" collapsed="false">
      <c r="B22" s="78" t="str">
        <f aca="false">Lists!C8</f>
        <v>Fresh &amp; Frozen</v>
      </c>
      <c r="C22" s="40" t="n">
        <f aca="false">SUMIFS(Sales_Net,Sales_Year,Dash_Year,Sales_Cat,B22)</f>
        <v>127189</v>
      </c>
    </row>
    <row r="25" customFormat="false" ht="15" hidden="false" customHeight="false" outlineLevel="0" collapsed="false">
      <c r="B25" s="33" t="s">
        <v>670</v>
      </c>
      <c r="C25" s="62" t="str">
        <f aca="false">"FY"&amp;Inputs!D$22</f>
        <v>FY2023</v>
      </c>
      <c r="D25" s="62" t="str">
        <f aca="false">"FY"&amp;Inputs!E$22</f>
        <v>FY2024</v>
      </c>
      <c r="E25" s="62" t="str">
        <f aca="false">"FY"&amp;Inputs!F$22</f>
        <v>FY2025</v>
      </c>
    </row>
    <row r="26" customFormat="false" ht="15" hidden="false" customHeight="false" outlineLevel="0" collapsed="false">
      <c r="B26" s="39" t="s">
        <v>671</v>
      </c>
      <c r="C26" s="44" t="n">
        <f aca="false">Cash_Flow!D22</f>
        <v>32237</v>
      </c>
      <c r="D26" s="44" t="n">
        <f aca="false">Cash_Flow!E22</f>
        <v>44246</v>
      </c>
      <c r="E26" s="44" t="n">
        <f aca="false">Cash_Flow!F22</f>
        <v>57760</v>
      </c>
    </row>
    <row r="27" customFormat="false" ht="15" hidden="false" customHeight="false" outlineLevel="0" collapsed="false">
      <c r="B27" s="39" t="s">
        <v>672</v>
      </c>
      <c r="C27" s="44" t="n">
        <f aca="false">Cash_Flow!D28</f>
        <v>-21400</v>
      </c>
      <c r="D27" s="44" t="n">
        <f aca="false">Cash_Flow!E28</f>
        <v>-30750</v>
      </c>
      <c r="E27" s="44" t="n">
        <f aca="false">Cash_Flow!F28</f>
        <v>-26250</v>
      </c>
    </row>
    <row r="28" customFormat="false" ht="15" hidden="false" customHeight="false" outlineLevel="0" collapsed="false">
      <c r="B28" s="39" t="s">
        <v>673</v>
      </c>
      <c r="C28" s="44" t="n">
        <f aca="false">Cash_Flow!D36</f>
        <v>-14621</v>
      </c>
      <c r="D28" s="44" t="n">
        <f aca="false">Cash_Flow!E36</f>
        <v>8748</v>
      </c>
      <c r="E28" s="44" t="n">
        <f aca="false">Cash_Flow!F36</f>
        <v>-30222</v>
      </c>
    </row>
    <row r="30" customFormat="false" ht="15" hidden="false" customHeight="false" outlineLevel="0" collapsed="false">
      <c r="B30" s="33" t="s">
        <v>674</v>
      </c>
      <c r="C30" s="62" t="str">
        <f aca="false">"FY"&amp;Inputs!D$22</f>
        <v>FY2023</v>
      </c>
      <c r="D30" s="62" t="str">
        <f aca="false">"FY"&amp;Inputs!E$22</f>
        <v>FY2024</v>
      </c>
      <c r="E30" s="62" t="str">
        <f aca="false">"FY"&amp;Inputs!F$22</f>
        <v>FY2025</v>
      </c>
    </row>
    <row r="31" customFormat="false" ht="15" hidden="false" customHeight="false" outlineLevel="0" collapsed="false">
      <c r="B31" s="39" t="s">
        <v>322</v>
      </c>
      <c r="C31" s="103" t="n">
        <f aca="false">Ratio_Analysis!D16</f>
        <v>1.57550099572465</v>
      </c>
      <c r="D31" s="103" t="n">
        <f aca="false">Ratio_Analysis!E16</f>
        <v>1.76093716347189</v>
      </c>
      <c r="E31" s="103" t="n">
        <f aca="false">Ratio_Analysis!F16</f>
        <v>1.75515074326367</v>
      </c>
    </row>
    <row r="32" customFormat="false" ht="15" hidden="false" customHeight="false" outlineLevel="0" collapsed="false">
      <c r="B32" s="39" t="s">
        <v>493</v>
      </c>
      <c r="C32" s="103" t="n">
        <f aca="false">Ratio_Analysis!D17</f>
        <v>0.969285724233014</v>
      </c>
      <c r="D32" s="103" t="n">
        <f aca="false">Ratio_Analysis!E17</f>
        <v>1.13716212578075</v>
      </c>
      <c r="E32" s="103" t="n">
        <f aca="false">Ratio_Analysis!F17</f>
        <v>1.12564404392042</v>
      </c>
    </row>
    <row r="33" customFormat="false" ht="15" hidden="false" customHeight="false" outlineLevel="0" collapsed="false">
      <c r="B33" s="39" t="s">
        <v>504</v>
      </c>
      <c r="C33" s="103" t="n">
        <f aca="false">Ratio_Analysis!D24</f>
        <v>0.69189717187031</v>
      </c>
      <c r="D33" s="103" t="n">
        <f aca="false">Ratio_Analysis!E24</f>
        <v>0.696232101796462</v>
      </c>
      <c r="E33" s="103" t="n">
        <f aca="false">Ratio_Analysis!F24</f>
        <v>0.543962830569893</v>
      </c>
    </row>
    <row r="34" customFormat="false" ht="15" hidden="false" customHeight="false" outlineLevel="0" collapsed="false">
      <c r="B34" s="39" t="s">
        <v>517</v>
      </c>
      <c r="C34" s="103" t="n">
        <f aca="false">Ratio_Analysis!D30</f>
        <v>1.35606694560669</v>
      </c>
      <c r="D34" s="103" t="n">
        <f aca="false">Ratio_Analysis!E30</f>
        <v>1.03796990844856</v>
      </c>
      <c r="E34" s="103" t="n">
        <f aca="false">Ratio_Analysis!F30</f>
        <v>0.624719648951731</v>
      </c>
    </row>
    <row r="36" customFormat="false" ht="15" hidden="false" customHeight="false" outlineLevel="0" collapsed="false">
      <c r="B36" s="33" t="s">
        <v>675</v>
      </c>
      <c r="C36" s="62" t="str">
        <f aca="false">"FY"&amp;Dash_Year</f>
        <v>FY2025</v>
      </c>
    </row>
    <row r="37" customFormat="false" ht="15" hidden="false" customHeight="false" outlineLevel="0" collapsed="false">
      <c r="B37" s="39" t="s">
        <v>135</v>
      </c>
      <c r="C37" s="50" t="n">
        <f aca="false">IFERROR(-INDEX(Income_Statement!$D$8:$F$8,MATCH(Dash_Year,Income_Statement!$D$5:$F$5,0))/INDEX(Income_Statement!$D$7:$F$7,MATCH(Dash_Year,Income_Statement!$D$5:$F$5,0)),0)</f>
        <v>0.743024262629545</v>
      </c>
    </row>
    <row r="38" customFormat="false" ht="15" hidden="false" customHeight="false" outlineLevel="0" collapsed="false">
      <c r="B38" s="39" t="s">
        <v>446</v>
      </c>
      <c r="C38" s="50" t="n">
        <f aca="false">IFERROR(-INDEX(Income_Statement!$D$10:$F$10,MATCH(Dash_Year,Income_Statement!$D$5:$F$5,0))/INDEX(Income_Statement!$D$7:$F$7,MATCH(Dash_Year,Income_Statement!$D$5:$F$5,0)),0)</f>
        <v>0.109083112411846</v>
      </c>
    </row>
    <row r="39" customFormat="false" ht="15" hidden="false" customHeight="false" outlineLevel="0" collapsed="false">
      <c r="B39" s="39" t="s">
        <v>447</v>
      </c>
      <c r="C39" s="50" t="n">
        <f aca="false">IFERROR(-INDEX(Income_Statement!$D$11:$F$11,MATCH(Dash_Year,Income_Statement!$D$5:$F$5,0))/INDEX(Income_Statement!$D$7:$F$7,MATCH(Dash_Year,Income_Statement!$D$5:$F$5,0)),0)</f>
        <v>0.0656357911320161</v>
      </c>
    </row>
    <row r="40" customFormat="false" ht="15" hidden="false" customHeight="false" outlineLevel="0" collapsed="false">
      <c r="B40" s="39" t="s">
        <v>92</v>
      </c>
      <c r="C40" s="50" t="n">
        <f aca="false">IFERROR(-INDEX(Income_Statement!$D$12:$F$12,MATCH(Dash_Year,Income_Statement!$D$5:$F$5,0))/INDEX(Income_Statement!$D$7:$F$7,MATCH(Dash_Year,Income_Statement!$D$5:$F$5,0)),0)</f>
        <v>0.0218594013833216</v>
      </c>
    </row>
    <row r="41" customFormat="false" ht="15" hidden="false" customHeight="false" outlineLevel="0" collapsed="false">
      <c r="B41" s="39" t="s">
        <v>145</v>
      </c>
      <c r="C41" s="50" t="n">
        <f aca="false">IFERROR(-INDEX(Income_Statement!$D$17:$F$17,MATCH(Dash_Year,Income_Statement!$D$5:$F$5,0))/INDEX(Income_Statement!$D$7:$F$7,MATCH(Dash_Year,Income_Statement!$D$5:$F$5,0)),0)</f>
        <v>0.0120274525370151</v>
      </c>
    </row>
    <row r="42" customFormat="false" ht="15" hidden="false" customHeight="false" outlineLevel="0" collapsed="false">
      <c r="B42" s="39" t="s">
        <v>676</v>
      </c>
      <c r="C42" s="50" t="n">
        <f aca="false">IFERROR(-INDEX(Income_Statement!$D$19:$F$19,MATCH(Dash_Year,Income_Statement!$D$5:$F$5,0))/INDEX(Income_Statement!$D$7:$F$7,MATCH(Dash_Year,Income_Statement!$D$5:$F$5,0)),0)</f>
        <v>0.0132532325835371</v>
      </c>
    </row>
    <row r="43" customFormat="false" ht="15" hidden="false" customHeight="false" outlineLevel="0" collapsed="false">
      <c r="B43" s="39" t="s">
        <v>397</v>
      </c>
      <c r="C43" s="50" t="n">
        <f aca="false">IFERROR(INDEX(Income_Statement!$D$20:$F$20,MATCH(Dash_Year,Income_Statement!$D$5:$F$5,0))/INDEX(Income_Statement!$D$7:$F$7,MATCH(Dash_Year,Income_Statement!$D$5:$F$5,0)),0)</f>
        <v>0.0384660473323859</v>
      </c>
    </row>
    <row r="44" customFormat="false" ht="15" hidden="false" customHeight="false" outlineLevel="0" collapsed="false">
      <c r="B44" s="39" t="s">
        <v>677</v>
      </c>
      <c r="C44" s="50" t="n">
        <f aca="false">1-SUM(C37:C43)</f>
        <v>-0.00334930000966627</v>
      </c>
    </row>
    <row r="47" customFormat="false" ht="24" hidden="false" customHeight="true" outlineLevel="0" collapsed="false">
      <c r="B47" s="49" t="s">
        <v>678</v>
      </c>
      <c r="C47" s="62" t="str">
        <f aca="false">"FY"&amp;Inputs!D$22</f>
        <v>FY2023</v>
      </c>
      <c r="D47" s="62" t="str">
        <f aca="false">"FY"&amp;Inputs!E$22</f>
        <v>FY2024</v>
      </c>
      <c r="E47" s="62" t="str">
        <f aca="false">"FY"&amp;Inputs!F$22</f>
        <v>FY2025</v>
      </c>
      <c r="F47" s="36" t="s">
        <v>416</v>
      </c>
      <c r="G47" s="36" t="s">
        <v>406</v>
      </c>
      <c r="H47" s="36" t="s">
        <v>679</v>
      </c>
    </row>
    <row r="48" customFormat="false" ht="15" hidden="false" customHeight="false" outlineLevel="0" collapsed="false">
      <c r="B48" s="39" t="s">
        <v>133</v>
      </c>
      <c r="C48" s="44" t="n">
        <f aca="false">Income_Statement!D7</f>
        <v>821118</v>
      </c>
      <c r="D48" s="44" t="n">
        <f aca="false">Income_Statement!E7</f>
        <v>897238</v>
      </c>
      <c r="E48" s="44" t="n">
        <f aca="false">Income_Statement!F7</f>
        <v>972442</v>
      </c>
      <c r="F48" s="40" t="n">
        <f aca="false">INDEX(C48:E48,MATCH(Dash_Year,FY_List,0))</f>
        <v>972442</v>
      </c>
      <c r="G48" s="40" t="n">
        <f aca="false">IF(MATCH(Dash_Year,FY_List,0)=1,"",INDEX(C48:E48,MATCH(Dash_Year,FY_List,0)-1))</f>
        <v>897238</v>
      </c>
      <c r="H48" s="70" t="n">
        <f aca="false">IF(G48="","n/a",IFERROR((F48-G48)/ABS(G48),0))</f>
        <v>0.0838172257528103</v>
      </c>
    </row>
    <row r="49" customFormat="false" ht="15" hidden="false" customHeight="false" outlineLevel="0" collapsed="false">
      <c r="B49" s="39" t="s">
        <v>137</v>
      </c>
      <c r="C49" s="44" t="n">
        <f aca="false">Income_Statement!D9</f>
        <v>207141</v>
      </c>
      <c r="D49" s="44" t="n">
        <f aca="false">Income_Statement!E9</f>
        <v>228680</v>
      </c>
      <c r="E49" s="44" t="n">
        <f aca="false">Income_Statement!F9</f>
        <v>249894</v>
      </c>
      <c r="F49" s="40" t="n">
        <f aca="false">INDEX(C49:E49,MATCH(Dash_Year,FY_List,0))</f>
        <v>249894</v>
      </c>
      <c r="G49" s="40" t="n">
        <f aca="false">IF(MATCH(Dash_Year,FY_List,0)=1,"",INDEX(C49:E49,MATCH(Dash_Year,FY_List,0)-1))</f>
        <v>228680</v>
      </c>
      <c r="H49" s="70" t="n">
        <f aca="false">IF(G49="","n/a",IFERROR((F49-G49)/ABS(G49),0))</f>
        <v>0.0927671855868463</v>
      </c>
    </row>
    <row r="50" customFormat="false" ht="15" hidden="false" customHeight="false" outlineLevel="0" collapsed="false">
      <c r="B50" s="39" t="s">
        <v>121</v>
      </c>
      <c r="C50" s="44" t="n">
        <f aca="false">Income_Statement!D24</f>
        <v>57360</v>
      </c>
      <c r="D50" s="44" t="n">
        <f aca="false">Income_Statement!E24</f>
        <v>68923</v>
      </c>
      <c r="E50" s="44" t="n">
        <f aca="false">Income_Statement!F24</f>
        <v>82040</v>
      </c>
      <c r="F50" s="40" t="n">
        <f aca="false">INDEX(C50:E50,MATCH(Dash_Year,FY_List,0))</f>
        <v>82040</v>
      </c>
      <c r="G50" s="40" t="n">
        <f aca="false">IF(MATCH(Dash_Year,FY_List,0)=1,"",INDEX(C50:E50,MATCH(Dash_Year,FY_List,0)-1))</f>
        <v>68923</v>
      </c>
      <c r="H50" s="70" t="n">
        <f aca="false">IF(G50="","n/a",IFERROR((F50-G50)/ABS(G50),0))</f>
        <v>0.190313828475255</v>
      </c>
    </row>
    <row r="51" customFormat="false" ht="15" hidden="false" customHeight="false" outlineLevel="0" collapsed="false">
      <c r="B51" s="39" t="s">
        <v>397</v>
      </c>
      <c r="C51" s="44" t="n">
        <f aca="false">Income_Statement!D20</f>
        <v>22482</v>
      </c>
      <c r="D51" s="44" t="n">
        <f aca="false">Income_Statement!E20</f>
        <v>29009</v>
      </c>
      <c r="E51" s="44" t="n">
        <f aca="false">Income_Statement!F20</f>
        <v>37406</v>
      </c>
      <c r="F51" s="40" t="n">
        <f aca="false">INDEX(C51:E51,MATCH(Dash_Year,FY_List,0))</f>
        <v>37406</v>
      </c>
      <c r="G51" s="40" t="n">
        <f aca="false">IF(MATCH(Dash_Year,FY_List,0)=1,"",INDEX(C51:E51,MATCH(Dash_Year,FY_List,0)-1))</f>
        <v>29009</v>
      </c>
      <c r="H51" s="70" t="n">
        <f aca="false">IF(G51="","n/a",IFERROR((F51-G51)/ABS(G51),0))</f>
        <v>0.289461891137233</v>
      </c>
    </row>
    <row r="52" customFormat="false" ht="15" hidden="false" customHeight="false" outlineLevel="0" collapsed="false">
      <c r="B52" s="39" t="s">
        <v>398</v>
      </c>
      <c r="C52" s="44" t="n">
        <f aca="false">Balance_Sheet!D17</f>
        <v>415175</v>
      </c>
      <c r="D52" s="44" t="n">
        <f aca="false">Balance_Sheet!E17</f>
        <v>461894</v>
      </c>
      <c r="E52" s="44" t="n">
        <f aca="false">Balance_Sheet!F17</f>
        <v>478465</v>
      </c>
      <c r="F52" s="40" t="n">
        <f aca="false">INDEX(C52:E52,MATCH(Dash_Year,FY_List,0))</f>
        <v>478465</v>
      </c>
      <c r="G52" s="40" t="n">
        <f aca="false">IF(MATCH(Dash_Year,FY_List,0)=1,"",INDEX(C52:E52,MATCH(Dash_Year,FY_List,0)-1))</f>
        <v>461894</v>
      </c>
      <c r="H52" s="70" t="n">
        <f aca="false">IF(G52="","n/a",IFERROR((F52-G52)/ABS(G52),0))</f>
        <v>0.0358761967031397</v>
      </c>
    </row>
    <row r="53" customFormat="false" ht="15" hidden="false" customHeight="false" outlineLevel="0" collapsed="false">
      <c r="B53" s="39" t="s">
        <v>186</v>
      </c>
      <c r="C53" s="44" t="n">
        <f aca="false">Balance_Sheet!D34</f>
        <v>196561</v>
      </c>
      <c r="D53" s="44" t="n">
        <f aca="false">Balance_Sheet!E34</f>
        <v>218318</v>
      </c>
      <c r="E53" s="44" t="n">
        <f aca="false">Balance_Sheet!F34</f>
        <v>244502</v>
      </c>
      <c r="F53" s="40" t="n">
        <f aca="false">INDEX(C53:E53,MATCH(Dash_Year,FY_List,0))</f>
        <v>244502</v>
      </c>
      <c r="G53" s="40" t="n">
        <f aca="false">IF(MATCH(Dash_Year,FY_List,0)=1,"",INDEX(C53:E53,MATCH(Dash_Year,FY_List,0)-1))</f>
        <v>218318</v>
      </c>
      <c r="H53" s="70" t="n">
        <f aca="false">IF(G53="","n/a",IFERROR((F53-G53)/ABS(G53),0))</f>
        <v>0.119935140483148</v>
      </c>
    </row>
    <row r="54" customFormat="false" ht="15" hidden="false" customHeight="false" outlineLevel="0" collapsed="false">
      <c r="B54" s="39" t="s">
        <v>680</v>
      </c>
      <c r="C54" s="40" t="n">
        <f aca="false">Schedules!D87-Balance_Sheet!D8</f>
        <v>77784</v>
      </c>
      <c r="D54" s="40" t="n">
        <f aca="false">Schedules!E87-Balance_Sheet!E8</f>
        <v>71540</v>
      </c>
      <c r="E54" s="40" t="n">
        <f aca="false">Schedules!F87-Balance_Sheet!F8</f>
        <v>51252</v>
      </c>
      <c r="F54" s="40" t="n">
        <f aca="false">INDEX(C54:E54,MATCH(Dash_Year,FY_List,0))</f>
        <v>51252</v>
      </c>
      <c r="G54" s="40" t="n">
        <f aca="false">IF(MATCH(Dash_Year,FY_List,0)=1,"",INDEX(C54:E54,MATCH(Dash_Year,FY_List,0)-1))</f>
        <v>71540</v>
      </c>
      <c r="H54" s="70" t="n">
        <f aca="false">IF(G54="","n/a",IFERROR((F54-G54)/ABS(G54),0))</f>
        <v>-0.283589600223651</v>
      </c>
    </row>
    <row r="55" customFormat="false" ht="15" hidden="false" customHeight="false" outlineLevel="0" collapsed="false">
      <c r="B55" s="39" t="s">
        <v>681</v>
      </c>
      <c r="C55" s="44" t="n">
        <f aca="false">Cash_Flow!D43</f>
        <v>10137</v>
      </c>
      <c r="D55" s="44" t="n">
        <f aca="false">Cash_Flow!E43</f>
        <v>13346</v>
      </c>
      <c r="E55" s="44" t="n">
        <f aca="false">Cash_Flow!F43</f>
        <v>30860</v>
      </c>
      <c r="F55" s="40" t="n">
        <f aca="false">INDEX(C55:E55,MATCH(Dash_Year,FY_List,0))</f>
        <v>30860</v>
      </c>
      <c r="G55" s="40" t="n">
        <f aca="false">IF(MATCH(Dash_Year,FY_List,0)=1,"",INDEX(C55:E55,MATCH(Dash_Year,FY_List,0)-1))</f>
        <v>13346</v>
      </c>
      <c r="H55" s="70" t="n">
        <f aca="false">IF(G55="","n/a",IFERROR((F55-G55)/ABS(G55),0))</f>
        <v>1.31230331185374</v>
      </c>
    </row>
    <row r="59" customFormat="false" ht="15" hidden="false" customHeight="false" outlineLevel="0" collapsed="false">
      <c r="B59" s="33" t="s">
        <v>682</v>
      </c>
      <c r="C59" s="62" t="str">
        <f aca="false">"FY"&amp;Inputs!D$22</f>
        <v>FY2023</v>
      </c>
      <c r="D59" s="62" t="str">
        <f aca="false">"FY"&amp;Inputs!E$22</f>
        <v>FY2024</v>
      </c>
      <c r="E59" s="62" t="str">
        <f aca="false">"FY"&amp;Inputs!F$22</f>
        <v>FY2025</v>
      </c>
      <c r="F59" s="62" t="str">
        <f aca="false">"FY"&amp;(Inputs!F$22+1)&amp;"F"</f>
        <v>FY2026F</v>
      </c>
      <c r="G59" s="62" t="str">
        <f aca="false">"FY"&amp;(Inputs!F$22+2)&amp;"F"</f>
        <v>FY2027F</v>
      </c>
    </row>
    <row r="60" customFormat="false" ht="15" hidden="false" customHeight="false" outlineLevel="0" collapsed="false">
      <c r="B60" s="39" t="s">
        <v>683</v>
      </c>
      <c r="C60" s="44" t="n">
        <f aca="false">Income_Statement!D7</f>
        <v>821118</v>
      </c>
      <c r="D60" s="44" t="n">
        <f aca="false">Income_Statement!E7</f>
        <v>897238</v>
      </c>
      <c r="E60" s="44" t="n">
        <f aca="false">Income_Statement!F7</f>
        <v>972442</v>
      </c>
    </row>
    <row r="61" customFormat="false" ht="15" hidden="false" customHeight="false" outlineLevel="0" collapsed="false">
      <c r="B61" s="39" t="s">
        <v>684</v>
      </c>
      <c r="E61" s="44" t="n">
        <f aca="false">Income_Statement!F7</f>
        <v>972442</v>
      </c>
      <c r="F61" s="44" t="n">
        <f aca="false">Trend!F18</f>
        <v>1048256.66666667</v>
      </c>
      <c r="G61" s="44" t="n">
        <f aca="false">Trend!G18</f>
        <v>1123918.66666667</v>
      </c>
    </row>
    <row r="62" customFormat="false" ht="15" hidden="false" customHeight="false" outlineLevel="0" collapsed="false">
      <c r="B62" s="39" t="s">
        <v>685</v>
      </c>
      <c r="E62" s="44" t="n">
        <f aca="false">Income_Statement!F7</f>
        <v>972442</v>
      </c>
      <c r="F62" s="44" t="n">
        <f aca="false">Trend!H18</f>
        <v>1058260.96127532</v>
      </c>
      <c r="G62" s="44" t="n">
        <f aca="false">Trend!I18</f>
        <v>1151653.53014305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9BB0"/>
    <pageSetUpPr fitToPage="true"/>
  </sheetPr>
  <dimension ref="A1:Q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
    <col collapsed="false" customWidth="true" hidden="false" outlineLevel="0" max="17" min="3" style="0" width="24"/>
  </cols>
  <sheetData>
    <row r="1" customFormat="false" ht="24" hidden="false" customHeight="true" outlineLevel="0" collapsed="false">
      <c r="B1" s="17" t="s">
        <v>74</v>
      </c>
    </row>
    <row r="2" customFormat="false" ht="15" hidden="false" customHeight="false" outlineLevel="0" collapsed="false">
      <c r="B2" s="18" t="s">
        <v>686</v>
      </c>
    </row>
    <row r="3" customFormat="false" ht="15" hidden="false" customHeight="false" outlineLevel="0" collapsed="false">
      <c r="B3" s="19" t="str">
        <f aca="false">HYPERLINK("#Cover!A1","◄ Back to Cover")</f>
        <v>◄ Back to Cover</v>
      </c>
    </row>
    <row r="4" customFormat="false" ht="15" hidden="false" customHeight="false" outlineLevel="0" collapsed="false">
      <c r="A4" s="33" t="s">
        <v>687</v>
      </c>
      <c r="C4" s="33" t="s">
        <v>688</v>
      </c>
      <c r="E4" s="33" t="s">
        <v>689</v>
      </c>
      <c r="G4" s="33" t="s">
        <v>690</v>
      </c>
      <c r="I4" s="33" t="s">
        <v>691</v>
      </c>
      <c r="K4" s="33" t="s">
        <v>692</v>
      </c>
      <c r="M4" s="33" t="s">
        <v>101</v>
      </c>
      <c r="O4" s="33" t="s">
        <v>693</v>
      </c>
      <c r="Q4" s="33" t="s">
        <v>452</v>
      </c>
    </row>
    <row r="5" customFormat="false" ht="15" hidden="false" customHeight="false" outlineLevel="0" collapsed="false">
      <c r="A5" s="104" t="n">
        <f aca="false">Inputs!D$22</f>
        <v>2023</v>
      </c>
      <c r="C5" s="100" t="s">
        <v>252</v>
      </c>
      <c r="E5" s="100" t="s">
        <v>405</v>
      </c>
      <c r="G5" s="100" t="s">
        <v>291</v>
      </c>
      <c r="I5" s="100" t="s">
        <v>405</v>
      </c>
      <c r="K5" s="100" t="s">
        <v>410</v>
      </c>
      <c r="M5" s="100" t="s">
        <v>651</v>
      </c>
      <c r="O5" s="100" t="s">
        <v>694</v>
      </c>
      <c r="Q5" s="100" t="s">
        <v>652</v>
      </c>
    </row>
    <row r="6" customFormat="false" ht="15" hidden="false" customHeight="false" outlineLevel="0" collapsed="false">
      <c r="A6" s="104" t="n">
        <f aca="false">Inputs!E$22</f>
        <v>2024</v>
      </c>
      <c r="C6" s="100" t="s">
        <v>253</v>
      </c>
      <c r="E6" s="68" t="str">
        <f aca="false">C5</f>
        <v>Packaged Food</v>
      </c>
      <c r="G6" s="100" t="s">
        <v>292</v>
      </c>
      <c r="I6" s="68" t="str">
        <f aca="false">G5</f>
        <v>Luzon</v>
      </c>
      <c r="K6" s="100" t="s">
        <v>695</v>
      </c>
      <c r="M6" s="100" t="s">
        <v>655</v>
      </c>
      <c r="O6" s="100" t="s">
        <v>696</v>
      </c>
      <c r="Q6" s="100" t="s">
        <v>654</v>
      </c>
    </row>
    <row r="7" customFormat="false" ht="15" hidden="false" customHeight="false" outlineLevel="0" collapsed="false">
      <c r="A7" s="104" t="n">
        <f aca="false">Inputs!F$22</f>
        <v>2025</v>
      </c>
      <c r="C7" s="100" t="s">
        <v>254</v>
      </c>
      <c r="E7" s="68" t="str">
        <f aca="false">C6</f>
        <v>Beverages</v>
      </c>
      <c r="G7" s="100" t="s">
        <v>293</v>
      </c>
      <c r="I7" s="68" t="str">
        <f aca="false">G6</f>
        <v>Visayas</v>
      </c>
      <c r="K7" s="100" t="s">
        <v>697</v>
      </c>
      <c r="O7" s="100" t="s">
        <v>698</v>
      </c>
    </row>
    <row r="8" customFormat="false" ht="15" hidden="false" customHeight="false" outlineLevel="0" collapsed="false">
      <c r="C8" s="100" t="s">
        <v>255</v>
      </c>
      <c r="E8" s="68" t="str">
        <f aca="false">C7</f>
        <v>Household &amp; Personal Care</v>
      </c>
      <c r="I8" s="68" t="str">
        <f aca="false">G7</f>
        <v>Mindanao</v>
      </c>
      <c r="O8" s="100" t="s">
        <v>699</v>
      </c>
    </row>
    <row r="9" customFormat="false" ht="15" hidden="false" customHeight="false" outlineLevel="0" collapsed="false">
      <c r="E9" s="68" t="str">
        <f aca="false">C8</f>
        <v>Fresh &amp; Frozen</v>
      </c>
      <c r="O9" s="100" t="s">
        <v>700</v>
      </c>
    </row>
    <row r="10" customFormat="false" ht="15" hidden="false" customHeight="false" outlineLevel="0" collapsed="false">
      <c r="O10" s="100" t="s">
        <v>701</v>
      </c>
    </row>
    <row r="11" customFormat="false" ht="15" hidden="false" customHeight="false" outlineLevel="0" collapsed="false">
      <c r="O11" s="100" t="s">
        <v>702</v>
      </c>
    </row>
    <row r="12" customFormat="false" ht="15" hidden="false" customHeight="false" outlineLevel="0" collapsed="false">
      <c r="O12" s="100" t="s">
        <v>703</v>
      </c>
    </row>
    <row r="13" customFormat="false" ht="15" hidden="false" customHeight="false" outlineLevel="0" collapsed="false">
      <c r="O13" s="100" t="s">
        <v>704</v>
      </c>
    </row>
    <row r="14" customFormat="false" ht="15" hidden="false" customHeight="false" outlineLevel="0" collapsed="false">
      <c r="O14" s="100" t="s">
        <v>705</v>
      </c>
    </row>
    <row r="15" customFormat="false" ht="15" hidden="false" customHeight="false" outlineLevel="0" collapsed="false">
      <c r="O15" s="100" t="s">
        <v>706</v>
      </c>
    </row>
    <row r="16" customFormat="false" ht="15" hidden="false" customHeight="false" outlineLevel="0" collapsed="false">
      <c r="O16" s="100" t="s">
        <v>707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7" min="3" style="0" width="12"/>
    <col collapsed="false" customWidth="true" hidden="false" outlineLevel="0" max="8" min="8" style="0" width="56"/>
  </cols>
  <sheetData>
    <row r="1" customFormat="false" ht="24" hidden="false" customHeight="true" outlineLevel="0" collapsed="false">
      <c r="B1" s="17" t="s">
        <v>708</v>
      </c>
    </row>
    <row r="2" customFormat="false" ht="15" hidden="false" customHeight="false" outlineLevel="0" collapsed="false">
      <c r="B2" s="18" t="str">
        <f aca="false">Inputs!$C$6&amp;"  |  "&amp;Inputs!$C$11</f>
        <v>Sampaguita Foods &amp; Distribution Corporation (SFDC)  |  PHP in thousands (unless otherwise stated)</v>
      </c>
    </row>
    <row r="3" customFormat="false" ht="15" hidden="false" customHeight="false" outlineLevel="0" collapsed="false">
      <c r="B3" s="19" t="str">
        <f aca="false">HYPERLINK("#Cover!A1","◄ Back to Cover")</f>
        <v>◄ Back to Cover</v>
      </c>
    </row>
    <row r="4" customFormat="false" ht="15" hidden="false" customHeight="false" outlineLevel="0" collapsed="false">
      <c r="B4" s="8" t="s">
        <v>709</v>
      </c>
      <c r="C4" s="9" t="str">
        <f aca="false">IF(COUNTIF(G7:G29,"ERROR")=0,"✔ All "&amp;COUNTA(G7:G29)&amp;" integrity checks passed","✖ "&amp;COUNTIF(G7:G29,"ERROR")&amp;" check(s) failing - review the Checks sheet")</f>
        <v>✔ All 23 integrity checks passed</v>
      </c>
      <c r="D4" s="9"/>
      <c r="E4" s="9"/>
      <c r="F4" s="9"/>
      <c r="G4" s="9"/>
    </row>
    <row r="6" customFormat="false" ht="24" hidden="false" customHeight="true" outlineLevel="0" collapsed="false">
      <c r="B6" s="33" t="s">
        <v>710</v>
      </c>
      <c r="C6" s="35" t="n">
        <f aca="false">Inputs!C$22</f>
        <v>2022</v>
      </c>
      <c r="D6" s="35" t="n">
        <f aca="false">Inputs!D$22</f>
        <v>2023</v>
      </c>
      <c r="E6" s="35" t="n">
        <f aca="false">Inputs!E$22</f>
        <v>2024</v>
      </c>
      <c r="F6" s="35" t="n">
        <f aca="false">Inputs!F$22</f>
        <v>2025</v>
      </c>
      <c r="G6" s="36" t="s">
        <v>711</v>
      </c>
      <c r="H6" s="36" t="s">
        <v>712</v>
      </c>
    </row>
    <row r="7" customFormat="false" ht="15" hidden="false" customHeight="false" outlineLevel="0" collapsed="false">
      <c r="B7" s="39" t="s">
        <v>713</v>
      </c>
      <c r="C7" s="44" t="n">
        <f aca="false">Balance_Sheet!C37</f>
        <v>0</v>
      </c>
      <c r="D7" s="44" t="n">
        <f aca="false">Balance_Sheet!D37</f>
        <v>0</v>
      </c>
      <c r="E7" s="44" t="n">
        <f aca="false">Balance_Sheet!E37</f>
        <v>0</v>
      </c>
      <c r="F7" s="44" t="n">
        <f aca="false">Balance_Sheet!F37</f>
        <v>0</v>
      </c>
      <c r="G7" s="77" t="str">
        <f aca="false">IF(SUMPRODUCT(ABS(C7:F7))&lt;0.5,"OK","ERROR")</f>
        <v>OK</v>
      </c>
      <c r="H7" s="52" t="s">
        <v>714</v>
      </c>
    </row>
    <row r="8" customFormat="false" ht="15" hidden="false" customHeight="false" outlineLevel="0" collapsed="false">
      <c r="B8" s="39" t="s">
        <v>715</v>
      </c>
      <c r="D8" s="40" t="n">
        <f aca="false">Cash_Flow!D39-Balance_Sheet!C8</f>
        <v>0</v>
      </c>
      <c r="E8" s="40" t="n">
        <f aca="false">Cash_Flow!E39-Balance_Sheet!D8</f>
        <v>0</v>
      </c>
      <c r="F8" s="40" t="n">
        <f aca="false">Cash_Flow!F39-Balance_Sheet!E8</f>
        <v>0</v>
      </c>
      <c r="G8" s="77" t="str">
        <f aca="false">IF(SUMPRODUCT(ABS(C8:F8))&lt;0.5,"OK","ERROR")</f>
        <v>OK</v>
      </c>
      <c r="H8" s="52" t="s">
        <v>716</v>
      </c>
    </row>
    <row r="9" customFormat="false" ht="15" hidden="false" customHeight="false" outlineLevel="0" collapsed="false">
      <c r="B9" s="39" t="s">
        <v>717</v>
      </c>
      <c r="D9" s="40" t="n">
        <f aca="false">Cash_Flow!D40-Balance_Sheet!D8</f>
        <v>0</v>
      </c>
      <c r="E9" s="40" t="n">
        <f aca="false">Cash_Flow!E40-Balance_Sheet!E8</f>
        <v>0</v>
      </c>
      <c r="F9" s="40" t="n">
        <f aca="false">Cash_Flow!F40-Balance_Sheet!F8</f>
        <v>0</v>
      </c>
      <c r="G9" s="77" t="str">
        <f aca="false">IF(SUMPRODUCT(ABS(C9:F9))&lt;0.5,"OK","ERROR")</f>
        <v>OK</v>
      </c>
      <c r="H9" s="52" t="s">
        <v>718</v>
      </c>
    </row>
    <row r="10" customFormat="false" ht="15" hidden="false" customHeight="false" outlineLevel="0" collapsed="false">
      <c r="B10" s="39" t="s">
        <v>719</v>
      </c>
      <c r="D10" s="40" t="n">
        <f aca="false">Equity_Changes!F11-Balance_Sheet!D34</f>
        <v>0</v>
      </c>
      <c r="E10" s="40" t="n">
        <f aca="false">Equity_Changes!F19-Balance_Sheet!E34</f>
        <v>0</v>
      </c>
      <c r="F10" s="40" t="n">
        <f aca="false">Equity_Changes!F27-Balance_Sheet!F34</f>
        <v>0</v>
      </c>
      <c r="G10" s="77" t="str">
        <f aca="false">IF(SUMPRODUCT(ABS(C10:F10))&lt;0.5,"OK","ERROR")</f>
        <v>OK</v>
      </c>
      <c r="H10" s="52" t="s">
        <v>720</v>
      </c>
    </row>
    <row r="11" customFormat="false" ht="15" hidden="false" customHeight="false" outlineLevel="0" collapsed="false">
      <c r="B11" s="39" t="s">
        <v>721</v>
      </c>
      <c r="D11" s="40" t="n">
        <f aca="false">Notes_to_FS!D90-Income_Statement!D7</f>
        <v>0</v>
      </c>
      <c r="E11" s="40" t="n">
        <f aca="false">Notes_to_FS!E90-Income_Statement!E7</f>
        <v>0</v>
      </c>
      <c r="F11" s="40" t="n">
        <f aca="false">Notes_to_FS!F90-Income_Statement!F7</f>
        <v>0</v>
      </c>
      <c r="G11" s="77" t="str">
        <f aca="false">IF(SUMPRODUCT(ABS(C11:F11))&lt;0.5,"OK","ERROR")</f>
        <v>OK</v>
      </c>
      <c r="H11" s="52" t="s">
        <v>722</v>
      </c>
    </row>
    <row r="12" customFormat="false" ht="15" hidden="false" customHeight="false" outlineLevel="0" collapsed="false">
      <c r="B12" s="39" t="s">
        <v>723</v>
      </c>
      <c r="D12" s="40" t="n">
        <f aca="false">Notes_to_FS!D94-Income_Statement!D7</f>
        <v>0</v>
      </c>
      <c r="E12" s="40" t="n">
        <f aca="false">Notes_to_FS!E94-Income_Statement!E7</f>
        <v>0</v>
      </c>
      <c r="F12" s="40" t="n">
        <f aca="false">Notes_to_FS!F94-Income_Statement!F7</f>
        <v>0</v>
      </c>
      <c r="G12" s="77" t="str">
        <f aca="false">IF(SUMPRODUCT(ABS(C12:F12))&lt;0.5,"OK","ERROR")</f>
        <v>OK</v>
      </c>
      <c r="H12" s="52" t="s">
        <v>724</v>
      </c>
    </row>
    <row r="13" customFormat="false" ht="15" hidden="false" customHeight="false" outlineLevel="0" collapsed="false">
      <c r="B13" s="39" t="s">
        <v>725</v>
      </c>
      <c r="D13" s="40" t="n">
        <f aca="false">SUMIFS(Exp_Amt,Exp_Year,D$6)+Income_Statement!D10+Income_Statement!D11</f>
        <v>0</v>
      </c>
      <c r="E13" s="40" t="n">
        <f aca="false">SUMIFS(Exp_Amt,Exp_Year,E$6)+Income_Statement!E10+Income_Statement!E11</f>
        <v>0</v>
      </c>
      <c r="F13" s="40" t="n">
        <f aca="false">SUMIFS(Exp_Amt,Exp_Year,F$6)+Income_Statement!F10+Income_Statement!F11</f>
        <v>0</v>
      </c>
      <c r="G13" s="77" t="str">
        <f aca="false">IF(SUMPRODUCT(ABS(C13:F13))&lt;0.5,"OK","ERROR")</f>
        <v>OK</v>
      </c>
      <c r="H13" s="52" t="s">
        <v>726</v>
      </c>
    </row>
    <row r="14" customFormat="false" ht="15" hidden="false" customHeight="false" outlineLevel="0" collapsed="false">
      <c r="B14" s="39" t="s">
        <v>727</v>
      </c>
      <c r="D14" s="40" t="n">
        <f aca="false">Notes_to_FS!D22-Balance_Sheet!D8</f>
        <v>0</v>
      </c>
      <c r="E14" s="40" t="n">
        <f aca="false">Notes_to_FS!E22-Balance_Sheet!E8</f>
        <v>0</v>
      </c>
      <c r="F14" s="40" t="n">
        <f aca="false">Notes_to_FS!F22-Balance_Sheet!F8</f>
        <v>0</v>
      </c>
      <c r="G14" s="77" t="str">
        <f aca="false">IF(SUMPRODUCT(ABS(C14:F14))&lt;0.5,"OK","ERROR")</f>
        <v>OK</v>
      </c>
      <c r="H14" s="52" t="s">
        <v>728</v>
      </c>
    </row>
    <row r="15" customFormat="false" ht="15" hidden="false" customHeight="false" outlineLevel="0" collapsed="false">
      <c r="B15" s="39" t="s">
        <v>729</v>
      </c>
      <c r="D15" s="40" t="n">
        <f aca="false">Notes_to_FS!D30-Balance_Sheet!D9</f>
        <v>0</v>
      </c>
      <c r="E15" s="40" t="n">
        <f aca="false">Notes_to_FS!E30-Balance_Sheet!E9</f>
        <v>0</v>
      </c>
      <c r="F15" s="40" t="n">
        <f aca="false">Notes_to_FS!F30-Balance_Sheet!F9</f>
        <v>0</v>
      </c>
      <c r="G15" s="77" t="str">
        <f aca="false">IF(SUMPRODUCT(ABS(C15:F15))&lt;0.5,"OK","ERROR")</f>
        <v>OK</v>
      </c>
      <c r="H15" s="52" t="s">
        <v>728</v>
      </c>
    </row>
    <row r="16" customFormat="false" ht="15" hidden="false" customHeight="false" outlineLevel="0" collapsed="false">
      <c r="B16" s="39" t="s">
        <v>730</v>
      </c>
      <c r="D16" s="40" t="n">
        <f aca="false">Notes_to_FS!D40-Balance_Sheet!D10</f>
        <v>0</v>
      </c>
      <c r="E16" s="40" t="n">
        <f aca="false">Notes_to_FS!E40-Balance_Sheet!E10</f>
        <v>0</v>
      </c>
      <c r="F16" s="40" t="n">
        <f aca="false">Notes_to_FS!F40-Balance_Sheet!F10</f>
        <v>0</v>
      </c>
      <c r="G16" s="77" t="str">
        <f aca="false">IF(SUMPRODUCT(ABS(C16:F16))&lt;0.5,"OK","ERROR")</f>
        <v>OK</v>
      </c>
      <c r="H16" s="52" t="s">
        <v>728</v>
      </c>
    </row>
    <row r="17" customFormat="false" ht="15" hidden="false" customHeight="false" outlineLevel="0" collapsed="false">
      <c r="B17" s="39" t="s">
        <v>731</v>
      </c>
      <c r="D17" s="40" t="n">
        <f aca="false">Notes_to_FS!D50-Balance_Sheet!D14</f>
        <v>0</v>
      </c>
      <c r="E17" s="40" t="n">
        <f aca="false">Notes_to_FS!E50-Balance_Sheet!E14</f>
        <v>0</v>
      </c>
      <c r="F17" s="40" t="n">
        <f aca="false">Notes_to_FS!F50-Balance_Sheet!F14</f>
        <v>0</v>
      </c>
      <c r="G17" s="77" t="str">
        <f aca="false">IF(SUMPRODUCT(ABS(C17:F17))&lt;0.5,"OK","ERROR")</f>
        <v>OK</v>
      </c>
      <c r="H17" s="52" t="s">
        <v>728</v>
      </c>
    </row>
    <row r="18" customFormat="false" ht="15" hidden="false" customHeight="false" outlineLevel="0" collapsed="false">
      <c r="B18" s="39" t="s">
        <v>732</v>
      </c>
      <c r="D18" s="40" t="n">
        <f aca="false">Notes_to_FS!D67-Schedules!D87</f>
        <v>0</v>
      </c>
      <c r="E18" s="40" t="n">
        <f aca="false">Notes_to_FS!E67-Schedules!E87</f>
        <v>0</v>
      </c>
      <c r="F18" s="40" t="n">
        <f aca="false">Notes_to_FS!F67-Schedules!F87</f>
        <v>0</v>
      </c>
      <c r="G18" s="77" t="str">
        <f aca="false">IF(SUMPRODUCT(ABS(C18:F18))&lt;0.5,"OK","ERROR")</f>
        <v>OK</v>
      </c>
      <c r="H18" s="52" t="s">
        <v>733</v>
      </c>
    </row>
    <row r="19" customFormat="false" ht="15" hidden="false" customHeight="false" outlineLevel="0" collapsed="false">
      <c r="B19" s="39" t="s">
        <v>734</v>
      </c>
      <c r="D19" s="40" t="n">
        <f aca="false">Notes_to_FS!D113+Income_Statement!D8+Income_Statement!D10+Income_Statement!D11+Income_Statement!D12</f>
        <v>0</v>
      </c>
      <c r="E19" s="40" t="n">
        <f aca="false">Notes_to_FS!E113+Income_Statement!E8+Income_Statement!E10+Income_Statement!E11+Income_Statement!E12</f>
        <v>0</v>
      </c>
      <c r="F19" s="40" t="n">
        <f aca="false">Notes_to_FS!F113+Income_Statement!F8+Income_Statement!F10+Income_Statement!F11+Income_Statement!F12</f>
        <v>0</v>
      </c>
      <c r="G19" s="77" t="str">
        <f aca="false">IF(SUMPRODUCT(ABS(C19:F19))&lt;0.5,"OK","ERROR")</f>
        <v>OK</v>
      </c>
      <c r="H19" s="52" t="s">
        <v>735</v>
      </c>
    </row>
    <row r="20" customFormat="false" ht="15" hidden="false" customHeight="false" outlineLevel="0" collapsed="false">
      <c r="B20" s="39" t="s">
        <v>736</v>
      </c>
      <c r="D20" s="40" t="n">
        <f aca="false">Notes_to_FS!D123+Income_Statement!D19</f>
        <v>0</v>
      </c>
      <c r="E20" s="40" t="n">
        <f aca="false">Notes_to_FS!E123+Income_Statement!E19</f>
        <v>0</v>
      </c>
      <c r="F20" s="40" t="n">
        <f aca="false">Notes_to_FS!F123+Income_Statement!F19</f>
        <v>0</v>
      </c>
      <c r="G20" s="77" t="str">
        <f aca="false">IF(SUMPRODUCT(ABS(C20:F20))&lt;0.5,"OK","ERROR")</f>
        <v>OK</v>
      </c>
      <c r="H20" s="52" t="s">
        <v>737</v>
      </c>
    </row>
    <row r="21" customFormat="false" ht="15" hidden="false" customHeight="false" outlineLevel="0" collapsed="false">
      <c r="B21" s="39" t="s">
        <v>738</v>
      </c>
      <c r="F21" s="44" t="n">
        <f aca="false">Expense_Analysis!C50</f>
        <v>0</v>
      </c>
      <c r="G21" s="77" t="str">
        <f aca="false">IF(SUMPRODUCT(ABS(C21:F21))&lt;0.5,"OK","ERROR")</f>
        <v>OK</v>
      </c>
      <c r="H21" s="52" t="s">
        <v>739</v>
      </c>
    </row>
    <row r="22" customFormat="false" ht="15" hidden="false" customHeight="false" outlineLevel="0" collapsed="false">
      <c r="B22" s="39" t="s">
        <v>740</v>
      </c>
      <c r="D22" s="44" t="n">
        <f aca="false">Ratio_Analysis!D53</f>
        <v>0</v>
      </c>
      <c r="E22" s="44" t="n">
        <f aca="false">Ratio_Analysis!E53</f>
        <v>0</v>
      </c>
      <c r="F22" s="44" t="n">
        <f aca="false">Ratio_Analysis!F53</f>
        <v>0</v>
      </c>
      <c r="G22" s="77" t="str">
        <f aca="false">IF(SUMPRODUCT(ABS(C22:F22))&lt;0.5,"OK","ERROR")</f>
        <v>OK</v>
      </c>
      <c r="H22" s="52" t="s">
        <v>741</v>
      </c>
    </row>
    <row r="23" customFormat="false" ht="15" hidden="false" customHeight="false" outlineLevel="0" collapsed="false">
      <c r="B23" s="39" t="s">
        <v>742</v>
      </c>
      <c r="D23" s="40" t="n">
        <f aca="false">MIN(0,Schedules!D16,Schedules!D26,Schedules!D36,Schedules!D46,Schedules!D56)</f>
        <v>0</v>
      </c>
      <c r="E23" s="40" t="n">
        <f aca="false">MIN(0,Schedules!E16,Schedules!E26,Schedules!E36,Schedules!E46,Schedules!E56)</f>
        <v>0</v>
      </c>
      <c r="F23" s="40" t="n">
        <f aca="false">MIN(0,Schedules!F16,Schedules!F26,Schedules!F36,Schedules!F46,Schedules!F56)</f>
        <v>0</v>
      </c>
      <c r="G23" s="77" t="str">
        <f aca="false">IF(SUMPRODUCT(ABS(C23:F23))&lt;0.5,"OK","ERROR")</f>
        <v>OK</v>
      </c>
      <c r="H23" s="52" t="s">
        <v>743</v>
      </c>
    </row>
    <row r="24" customFormat="false" ht="15" hidden="false" customHeight="false" outlineLevel="0" collapsed="false">
      <c r="B24" s="39" t="s">
        <v>744</v>
      </c>
      <c r="C24" s="40" t="n">
        <f aca="false">MIN(0,Balance_Sheet!C8)</f>
        <v>0</v>
      </c>
      <c r="D24" s="40" t="n">
        <f aca="false">MIN(0,Balance_Sheet!D8)</f>
        <v>0</v>
      </c>
      <c r="E24" s="40" t="n">
        <f aca="false">MIN(0,Balance_Sheet!E8)</f>
        <v>0</v>
      </c>
      <c r="F24" s="40" t="n">
        <f aca="false">MIN(0,Balance_Sheet!F8)</f>
        <v>0</v>
      </c>
      <c r="G24" s="77" t="str">
        <f aca="false">IF(SUMPRODUCT(ABS(C24:F24))&lt;0.5,"OK","ERROR")</f>
        <v>OK</v>
      </c>
      <c r="H24" s="52" t="s">
        <v>745</v>
      </c>
    </row>
    <row r="25" customFormat="false" ht="15" hidden="false" customHeight="false" outlineLevel="0" collapsed="false">
      <c r="B25" s="39" t="s">
        <v>746</v>
      </c>
      <c r="D25" s="40" t="n">
        <f aca="false">COUNTIFS(Sales_Year,D$6)-12*ROWS(Cat_List)*ROWS(Region_List)</f>
        <v>0</v>
      </c>
      <c r="E25" s="40" t="n">
        <f aca="false">COUNTIFS(Sales_Year,E$6)-12*ROWS(Cat_List)*ROWS(Region_List)</f>
        <v>0</v>
      </c>
      <c r="F25" s="40" t="n">
        <f aca="false">COUNTIFS(Sales_Year,F$6)-12*ROWS(Cat_List)*ROWS(Region_List)</f>
        <v>0</v>
      </c>
      <c r="G25" s="77" t="str">
        <f aca="false">IF(SUMPRODUCT(ABS(C25:F25))&lt;0.5,"OK","ERROR")</f>
        <v>OK</v>
      </c>
      <c r="H25" s="52" t="s">
        <v>747</v>
      </c>
    </row>
    <row r="26" customFormat="false" ht="15" hidden="false" customHeight="false" outlineLevel="0" collapsed="false">
      <c r="B26" s="39" t="s">
        <v>748</v>
      </c>
      <c r="D26" s="40" t="n">
        <f aca="false">COUNTIFS(Exp_Year,D$6)-12*ROWS(Map_Table)</f>
        <v>0</v>
      </c>
      <c r="E26" s="40" t="n">
        <f aca="false">COUNTIFS(Exp_Year,E$6)-12*ROWS(Map_Table)</f>
        <v>0</v>
      </c>
      <c r="F26" s="40" t="n">
        <f aca="false">COUNTIFS(Exp_Year,F$6)-12*ROWS(Map_Table)</f>
        <v>0</v>
      </c>
      <c r="G26" s="77" t="str">
        <f aca="false">IF(SUMPRODUCT(ABS(C26:F26))&lt;0.5,"OK","ERROR")</f>
        <v>OK</v>
      </c>
      <c r="H26" s="52" t="s">
        <v>747</v>
      </c>
    </row>
    <row r="27" customFormat="false" ht="15" hidden="false" customHeight="false" outlineLevel="0" collapsed="false">
      <c r="B27" s="39" t="s">
        <v>749</v>
      </c>
      <c r="D27" s="40" t="n">
        <f aca="false">MAX(0,Inputs!D30-1)</f>
        <v>0</v>
      </c>
      <c r="E27" s="40" t="n">
        <f aca="false">MAX(0,Inputs!E30-1)</f>
        <v>0</v>
      </c>
      <c r="F27" s="40" t="n">
        <f aca="false">MAX(0,Inputs!F30-1)</f>
        <v>0</v>
      </c>
      <c r="G27" s="77" t="str">
        <f aca="false">IF(SUMPRODUCT(ABS(C27:F27))&lt;0.5,"OK","ERROR")</f>
        <v>OK</v>
      </c>
      <c r="H27" s="52" t="s">
        <v>750</v>
      </c>
    </row>
    <row r="28" customFormat="false" ht="15" hidden="false" customHeight="false" outlineLevel="0" collapsed="false">
      <c r="B28" s="39" t="s">
        <v>751</v>
      </c>
      <c r="D28" s="40" t="n">
        <f aca="false">MAX(0,Inputs!D60+Inputs!D61+Inputs!D62-1)+MAX(0,Inputs!D58+Inputs!D59-1)</f>
        <v>0</v>
      </c>
      <c r="E28" s="40" t="n">
        <f aca="false">MAX(0,Inputs!E60+Inputs!E61+Inputs!E62-1)+MAX(0,Inputs!E58+Inputs!E59-1)</f>
        <v>0</v>
      </c>
      <c r="F28" s="40" t="n">
        <f aca="false">MAX(0,Inputs!F60+Inputs!F61+Inputs!F62-1)+MAX(0,Inputs!F58+Inputs!F59-1)</f>
        <v>0</v>
      </c>
      <c r="G28" s="77" t="str">
        <f aca="false">IF(SUMPRODUCT(ABS(C28:F28))&lt;0.5,"OK","ERROR")</f>
        <v>OK</v>
      </c>
      <c r="H28" s="52" t="s">
        <v>750</v>
      </c>
    </row>
    <row r="29" customFormat="false" ht="15" hidden="false" customHeight="false" outlineLevel="0" collapsed="false">
      <c r="B29" s="39" t="s">
        <v>752</v>
      </c>
      <c r="D29" s="40" t="n">
        <f aca="false">MIN(0,IFERROR(Income_Statement!D23/-Income_Statement!D17,1)-1)</f>
        <v>0</v>
      </c>
      <c r="E29" s="40" t="n">
        <f aca="false">MIN(0,IFERROR(Income_Statement!E23/-Income_Statement!E17,1)-1)</f>
        <v>0</v>
      </c>
      <c r="F29" s="40" t="n">
        <f aca="false">MIN(0,IFERROR(Income_Statement!F23/-Income_Statement!F17,1)-1)</f>
        <v>0</v>
      </c>
      <c r="G29" s="77" t="str">
        <f aca="false">IF(SUMPRODUCT(ABS(C29:F29))&lt;0.5,"OK","ERROR")</f>
        <v>OK</v>
      </c>
      <c r="H29" s="52" t="s">
        <v>753</v>
      </c>
    </row>
  </sheetData>
  <mergeCells count="1">
    <mergeCell ref="C4:G4"/>
  </mergeCells>
  <conditionalFormatting sqref="G7:G29">
    <cfRule type="cellIs" priority="2" operator="equal" aboveAverage="0" equalAverage="0" bottom="0" percent="0" rank="0" text="" dxfId="0">
      <formula>"OK"</formula>
    </cfRule>
    <cfRule type="cellIs" priority="3" operator="equal" aboveAverage="0" equalAverage="0" bottom="0" percent="0" rank="0" text="" dxfId="1">
      <formula>"ERROR"</formula>
    </cfRule>
  </conditionalFormatting>
  <conditionalFormatting sqref="C4">
    <cfRule type="expression" priority="4" aboveAverage="0" equalAverage="0" bottom="0" percent="0" rank="0" text="" dxfId="0">
      <formula>LEFT(C4,1)="✔"</formula>
    </cfRule>
    <cfRule type="expression" priority="5" aboveAverage="0" equalAverage="0" bottom="0" percent="0" rank="0" text="" dxfId="1">
      <formula>LEFT(C4,1)="✖"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2026-10-06T05:27:41Z</dcterms:created>
  <dc:creator>openpyxl</dc:creator>
  <dc:description/>
  <dc:language>en-US</dc:language>
  <cp:lastModifiedBy/>
  <dcterms:modified xsi:type="dcterms:W3CDTF">2026-10-06T05:27:44Z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